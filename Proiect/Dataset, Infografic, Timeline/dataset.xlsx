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hidePivotFieldList="1" defaultThemeVersion="166925"/>
  <mc:AlternateContent xmlns:mc="http://schemas.openxmlformats.org/markup-compatibility/2006">
    <mc:Choice Requires="x15">
      <x15ac:absPath xmlns:x15ac="http://schemas.microsoft.com/office/spreadsheetml/2010/11/ac" url="/Users/lysanderpitu/Desktop/Proiect/Dataset, Infografic, Timeline/"/>
    </mc:Choice>
  </mc:AlternateContent>
  <xr:revisionPtr revIDLastSave="0" documentId="13_ncr:1_{B4CC258E-7D4A-784A-B0D5-B737F517B8D0}" xr6:coauthVersionLast="47" xr6:coauthVersionMax="47" xr10:uidLastSave="{00000000-0000-0000-0000-000000000000}"/>
  <bookViews>
    <workbookView xWindow="0" yWindow="500" windowWidth="28800" windowHeight="15980" activeTab="6" xr2:uid="{E2868FE7-0461-2847-B3EA-77C8A390093D}"/>
  </bookViews>
  <sheets>
    <sheet name="2.09.2021" sheetId="5" r:id="rId1"/>
    <sheet name="9.09.2021" sheetId="4" r:id="rId2"/>
    <sheet name="16.09.2021" sheetId="3" r:id="rId3"/>
    <sheet name="23.09.2021" sheetId="2" r:id="rId4"/>
    <sheet name="30.09.2021" sheetId="1" r:id="rId5"/>
    <sheet name="Dataset" sheetId="7" r:id="rId6"/>
    <sheet name="Pivotables" sheetId="9" r:id="rId7"/>
    <sheet name="Dashboard" sheetId="8" r:id="rId8"/>
  </sheets>
  <definedNames>
    <definedName name="Slicer_Artist">#N/A</definedName>
    <definedName name="solver_adj" localSheetId="6" hidden="1">Pivotables!$L$5</definedName>
    <definedName name="solver_cvg" localSheetId="6" hidden="1">0.0001</definedName>
    <definedName name="solver_drv" localSheetId="6" hidden="1">1</definedName>
    <definedName name="solver_eng" localSheetId="6" hidden="1">1</definedName>
    <definedName name="solver_itr" localSheetId="6" hidden="1">2147483647</definedName>
    <definedName name="solver_lhs1" localSheetId="6" hidden="1">Pivotables!#REF!</definedName>
    <definedName name="solver_lin" localSheetId="6" hidden="1">2</definedName>
    <definedName name="solver_mip" localSheetId="6" hidden="1">2147483647</definedName>
    <definedName name="solver_mni" localSheetId="6" hidden="1">30</definedName>
    <definedName name="solver_mrt" localSheetId="6" hidden="1">0.075</definedName>
    <definedName name="solver_msl" localSheetId="6" hidden="1">2</definedName>
    <definedName name="solver_neg" localSheetId="6" hidden="1">1</definedName>
    <definedName name="solver_nod" localSheetId="6" hidden="1">2147483647</definedName>
    <definedName name="solver_num" localSheetId="6" hidden="1">0</definedName>
    <definedName name="solver_opt" localSheetId="6" hidden="1">Pivotables!$M$3</definedName>
    <definedName name="solver_pre" localSheetId="6" hidden="1">0.000001</definedName>
    <definedName name="solver_rbv" localSheetId="6" hidden="1">1</definedName>
    <definedName name="solver_rel1" localSheetId="6" hidden="1">1</definedName>
    <definedName name="solver_rhs1" localSheetId="6" hidden="1">100000</definedName>
    <definedName name="solver_rlx" localSheetId="6" hidden="1">2</definedName>
    <definedName name="solver_rsd" localSheetId="6" hidden="1">0</definedName>
    <definedName name="solver_scl" localSheetId="6" hidden="1">1</definedName>
    <definedName name="solver_sho" localSheetId="6" hidden="1">2</definedName>
    <definedName name="solver_ssz" localSheetId="6" hidden="1">100</definedName>
    <definedName name="solver_tim" localSheetId="6" hidden="1">2147483647</definedName>
    <definedName name="solver_tol" localSheetId="6" hidden="1">0.01</definedName>
    <definedName name="solver_typ" localSheetId="6" hidden="1">3</definedName>
    <definedName name="solver_val" localSheetId="6" hidden="1">100000</definedName>
    <definedName name="solver_ver" localSheetId="6" hidden="1">2</definedName>
  </definedNames>
  <calcPr calcId="191029" calcMode="manual"/>
  <pivotCaches>
    <pivotCache cacheId="4"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I6" i="9" l="1"/>
  <c r="J6" i="9" s="1"/>
  <c r="I7" i="9"/>
  <c r="J7" i="9" s="1"/>
  <c r="J9" i="9" s="1"/>
  <c r="J1001" i="7"/>
  <c r="D1001" i="7"/>
  <c r="J1000" i="7"/>
  <c r="I1000" i="7"/>
  <c r="H1000" i="7"/>
  <c r="G1000" i="7"/>
  <c r="E1000" i="7"/>
  <c r="D1000" i="7"/>
  <c r="J999" i="7"/>
  <c r="I999" i="7"/>
  <c r="H999" i="7"/>
  <c r="G999" i="7"/>
  <c r="E999" i="7"/>
  <c r="D999" i="7"/>
  <c r="J998" i="7"/>
  <c r="D998" i="7"/>
  <c r="J997" i="7"/>
  <c r="I997" i="7"/>
  <c r="H997" i="7"/>
  <c r="G997" i="7"/>
  <c r="E997" i="7"/>
  <c r="D997" i="7"/>
  <c r="J996" i="7"/>
  <c r="D996" i="7"/>
  <c r="J995" i="7"/>
  <c r="I995" i="7"/>
  <c r="H995" i="7"/>
  <c r="G995" i="7"/>
  <c r="E995" i="7"/>
  <c r="D995" i="7"/>
  <c r="J994" i="7"/>
  <c r="D994" i="7"/>
  <c r="J993" i="7"/>
  <c r="D993" i="7"/>
  <c r="J992" i="7"/>
  <c r="I992" i="7"/>
  <c r="H992" i="7"/>
  <c r="G992" i="7"/>
  <c r="E992" i="7"/>
  <c r="D992" i="7"/>
  <c r="J991" i="7"/>
  <c r="D991" i="7"/>
  <c r="J990" i="7"/>
  <c r="D990" i="7"/>
  <c r="J989" i="7"/>
  <c r="D989" i="7"/>
  <c r="J988" i="7"/>
  <c r="I988" i="7"/>
  <c r="H988" i="7"/>
  <c r="G988" i="7"/>
  <c r="E988" i="7"/>
  <c r="D988" i="7"/>
  <c r="J987" i="7"/>
  <c r="D987" i="7"/>
  <c r="J986" i="7"/>
  <c r="I986" i="7"/>
  <c r="H986" i="7"/>
  <c r="G986" i="7"/>
  <c r="E986" i="7"/>
  <c r="D986" i="7"/>
  <c r="J985" i="7"/>
  <c r="I985" i="7"/>
  <c r="H985" i="7"/>
  <c r="G985" i="7"/>
  <c r="E985" i="7"/>
  <c r="D985" i="7"/>
  <c r="J984" i="7"/>
  <c r="D984" i="7"/>
  <c r="J983" i="7"/>
  <c r="I983" i="7"/>
  <c r="H983" i="7"/>
  <c r="G983" i="7"/>
  <c r="E983" i="7"/>
  <c r="D983" i="7"/>
  <c r="J982" i="7"/>
  <c r="I982" i="7"/>
  <c r="H982" i="7"/>
  <c r="G982" i="7"/>
  <c r="E982" i="7"/>
  <c r="D982" i="7"/>
  <c r="J981" i="7"/>
  <c r="I981" i="7"/>
  <c r="H981" i="7"/>
  <c r="G981" i="7"/>
  <c r="E981" i="7"/>
  <c r="D981" i="7"/>
  <c r="J980" i="7"/>
  <c r="I980" i="7"/>
  <c r="H980" i="7"/>
  <c r="G980" i="7"/>
  <c r="E980" i="7"/>
  <c r="D980" i="7"/>
  <c r="J979" i="7"/>
  <c r="D979" i="7"/>
  <c r="J978" i="7"/>
  <c r="I978" i="7"/>
  <c r="H978" i="7"/>
  <c r="G978" i="7"/>
  <c r="E978" i="7"/>
  <c r="D978" i="7"/>
  <c r="J977" i="7"/>
  <c r="I977" i="7"/>
  <c r="H977" i="7"/>
  <c r="G977" i="7"/>
  <c r="E977" i="7"/>
  <c r="D977" i="7"/>
  <c r="J976" i="7"/>
  <c r="I976" i="7"/>
  <c r="H976" i="7"/>
  <c r="G976" i="7"/>
  <c r="E976" i="7"/>
  <c r="D976" i="7"/>
  <c r="J975" i="7"/>
  <c r="D975" i="7"/>
  <c r="J974" i="7"/>
  <c r="I974" i="7"/>
  <c r="H974" i="7"/>
  <c r="G974" i="7"/>
  <c r="E974" i="7"/>
  <c r="D974" i="7"/>
  <c r="J973" i="7"/>
  <c r="I973" i="7"/>
  <c r="H973" i="7"/>
  <c r="G973" i="7"/>
  <c r="E973" i="7"/>
  <c r="D973" i="7"/>
  <c r="J972" i="7"/>
  <c r="I972" i="7"/>
  <c r="H972" i="7"/>
  <c r="G972" i="7"/>
  <c r="E972" i="7"/>
  <c r="D972" i="7"/>
  <c r="J971" i="7"/>
  <c r="I971" i="7"/>
  <c r="H971" i="7"/>
  <c r="G971" i="7"/>
  <c r="E971" i="7"/>
  <c r="D971" i="7"/>
  <c r="J970" i="7"/>
  <c r="I970" i="7"/>
  <c r="H970" i="7"/>
  <c r="G970" i="7"/>
  <c r="E970" i="7"/>
  <c r="D970" i="7"/>
  <c r="J969" i="7"/>
  <c r="I969" i="7"/>
  <c r="H969" i="7"/>
  <c r="G969" i="7"/>
  <c r="E969" i="7"/>
  <c r="D969" i="7"/>
  <c r="J968" i="7"/>
  <c r="I968" i="7"/>
  <c r="H968" i="7"/>
  <c r="G968" i="7"/>
  <c r="E968" i="7"/>
  <c r="D968" i="7"/>
  <c r="J967" i="7"/>
  <c r="I967" i="7"/>
  <c r="H967" i="7"/>
  <c r="G967" i="7"/>
  <c r="E967" i="7"/>
  <c r="D967" i="7"/>
  <c r="J966" i="7"/>
  <c r="D966" i="7"/>
  <c r="J965" i="7"/>
  <c r="I965" i="7"/>
  <c r="H965" i="7"/>
  <c r="G965" i="7"/>
  <c r="E965" i="7"/>
  <c r="D965" i="7"/>
  <c r="J964" i="7"/>
  <c r="D964" i="7"/>
  <c r="J963" i="7"/>
  <c r="I963" i="7"/>
  <c r="H963" i="7"/>
  <c r="G963" i="7"/>
  <c r="E963" i="7"/>
  <c r="D963" i="7"/>
  <c r="J962" i="7"/>
  <c r="D962" i="7"/>
  <c r="J961" i="7"/>
  <c r="I961" i="7"/>
  <c r="H961" i="7"/>
  <c r="G961" i="7"/>
  <c r="E961" i="7"/>
  <c r="D961" i="7"/>
  <c r="J960" i="7"/>
  <c r="I960" i="7"/>
  <c r="H960" i="7"/>
  <c r="G960" i="7"/>
  <c r="E960" i="7"/>
  <c r="D960" i="7"/>
  <c r="J959" i="7"/>
  <c r="D959" i="7"/>
  <c r="J958" i="7"/>
  <c r="I958" i="7"/>
  <c r="H958" i="7"/>
  <c r="G958" i="7"/>
  <c r="E958" i="7"/>
  <c r="D958" i="7"/>
  <c r="J957" i="7"/>
  <c r="I957" i="7"/>
  <c r="H957" i="7"/>
  <c r="G957" i="7"/>
  <c r="E957" i="7"/>
  <c r="D957" i="7"/>
  <c r="J956" i="7"/>
  <c r="I956" i="7"/>
  <c r="H956" i="7"/>
  <c r="G956" i="7"/>
  <c r="E956" i="7"/>
  <c r="D956" i="7"/>
  <c r="J955" i="7"/>
  <c r="I955" i="7"/>
  <c r="H955" i="7"/>
  <c r="G955" i="7"/>
  <c r="E955" i="7"/>
  <c r="D955" i="7"/>
  <c r="J954" i="7"/>
  <c r="I954" i="7"/>
  <c r="H954" i="7"/>
  <c r="G954" i="7"/>
  <c r="E954" i="7"/>
  <c r="D954" i="7"/>
  <c r="J953" i="7"/>
  <c r="I953" i="7"/>
  <c r="H953" i="7"/>
  <c r="G953" i="7"/>
  <c r="E953" i="7"/>
  <c r="D953" i="7"/>
  <c r="J952" i="7"/>
  <c r="I952" i="7"/>
  <c r="H952" i="7"/>
  <c r="G952" i="7"/>
  <c r="E952" i="7"/>
  <c r="D952" i="7"/>
  <c r="J951" i="7"/>
  <c r="I951" i="7"/>
  <c r="H951" i="7"/>
  <c r="G951" i="7"/>
  <c r="E951" i="7"/>
  <c r="D951" i="7"/>
  <c r="J950" i="7"/>
  <c r="I950" i="7"/>
  <c r="H950" i="7"/>
  <c r="G950" i="7"/>
  <c r="E950" i="7"/>
  <c r="D950" i="7"/>
  <c r="J949" i="7"/>
  <c r="I949" i="7"/>
  <c r="H949" i="7"/>
  <c r="G949" i="7"/>
  <c r="E949" i="7"/>
  <c r="D949" i="7"/>
  <c r="J948" i="7"/>
  <c r="I948" i="7"/>
  <c r="H948" i="7"/>
  <c r="G948" i="7"/>
  <c r="E948" i="7"/>
  <c r="D948" i="7"/>
  <c r="J947" i="7"/>
  <c r="I947" i="7"/>
  <c r="H947" i="7"/>
  <c r="G947" i="7"/>
  <c r="E947" i="7"/>
  <c r="D947" i="7"/>
  <c r="J946" i="7"/>
  <c r="I946" i="7"/>
  <c r="H946" i="7"/>
  <c r="G946" i="7"/>
  <c r="E946" i="7"/>
  <c r="D946" i="7"/>
  <c r="J945" i="7"/>
  <c r="D945" i="7"/>
  <c r="J944" i="7"/>
  <c r="I944" i="7"/>
  <c r="H944" i="7"/>
  <c r="G944" i="7"/>
  <c r="E944" i="7"/>
  <c r="D944" i="7"/>
  <c r="J943" i="7"/>
  <c r="I943" i="7"/>
  <c r="H943" i="7"/>
  <c r="G943" i="7"/>
  <c r="E943" i="7"/>
  <c r="D943" i="7"/>
  <c r="J942" i="7"/>
  <c r="I942" i="7"/>
  <c r="H942" i="7"/>
  <c r="G942" i="7"/>
  <c r="E942" i="7"/>
  <c r="D942" i="7"/>
  <c r="J941" i="7"/>
  <c r="I941" i="7"/>
  <c r="H941" i="7"/>
  <c r="G941" i="7"/>
  <c r="E941" i="7"/>
  <c r="D941" i="7"/>
  <c r="J940" i="7"/>
  <c r="I940" i="7"/>
  <c r="H940" i="7"/>
  <c r="G940" i="7"/>
  <c r="E940" i="7"/>
  <c r="D940" i="7"/>
  <c r="J939" i="7"/>
  <c r="I939" i="7"/>
  <c r="H939" i="7"/>
  <c r="G939" i="7"/>
  <c r="E939" i="7"/>
  <c r="D939" i="7"/>
  <c r="J938" i="7"/>
  <c r="I938" i="7"/>
  <c r="H938" i="7"/>
  <c r="G938" i="7"/>
  <c r="E938" i="7"/>
  <c r="D938" i="7"/>
  <c r="J937" i="7"/>
  <c r="D937" i="7"/>
  <c r="J936" i="7"/>
  <c r="D936" i="7"/>
  <c r="J935" i="7"/>
  <c r="I935" i="7"/>
  <c r="H935" i="7"/>
  <c r="G935" i="7"/>
  <c r="E935" i="7"/>
  <c r="D935" i="7"/>
  <c r="J934" i="7"/>
  <c r="I934" i="7"/>
  <c r="H934" i="7"/>
  <c r="G934" i="7"/>
  <c r="E934" i="7"/>
  <c r="D934" i="7"/>
  <c r="J933" i="7"/>
  <c r="D933" i="7"/>
  <c r="J932" i="7"/>
  <c r="I932" i="7"/>
  <c r="H932" i="7"/>
  <c r="G932" i="7"/>
  <c r="E932" i="7"/>
  <c r="D932" i="7"/>
  <c r="J931" i="7"/>
  <c r="I931" i="7"/>
  <c r="H931" i="7"/>
  <c r="G931" i="7"/>
  <c r="E931" i="7"/>
  <c r="D931" i="7"/>
  <c r="J930" i="7"/>
  <c r="I930" i="7"/>
  <c r="H930" i="7"/>
  <c r="G930" i="7"/>
  <c r="E930" i="7"/>
  <c r="D930" i="7"/>
  <c r="J929" i="7"/>
  <c r="D929" i="7"/>
  <c r="J928" i="7"/>
  <c r="I928" i="7"/>
  <c r="H928" i="7"/>
  <c r="G928" i="7"/>
  <c r="E928" i="7"/>
  <c r="D928" i="7"/>
  <c r="J927" i="7"/>
  <c r="I927" i="7"/>
  <c r="H927" i="7"/>
  <c r="G927" i="7"/>
  <c r="E927" i="7"/>
  <c r="D927" i="7"/>
  <c r="J926" i="7"/>
  <c r="I926" i="7"/>
  <c r="H926" i="7"/>
  <c r="G926" i="7"/>
  <c r="E926" i="7"/>
  <c r="D926" i="7"/>
  <c r="J925" i="7"/>
  <c r="D925" i="7"/>
  <c r="J924" i="7"/>
  <c r="I924" i="7"/>
  <c r="H924" i="7"/>
  <c r="G924" i="7"/>
  <c r="E924" i="7"/>
  <c r="D924" i="7"/>
  <c r="J923" i="7"/>
  <c r="I923" i="7"/>
  <c r="H923" i="7"/>
  <c r="G923" i="7"/>
  <c r="E923" i="7"/>
  <c r="D923" i="7"/>
  <c r="J922" i="7"/>
  <c r="I922" i="7"/>
  <c r="H922" i="7"/>
  <c r="G922" i="7"/>
  <c r="E922" i="7"/>
  <c r="D922" i="7"/>
  <c r="J921" i="7"/>
  <c r="D921" i="7"/>
  <c r="J920" i="7"/>
  <c r="D920" i="7"/>
  <c r="J919" i="7"/>
  <c r="I919" i="7"/>
  <c r="H919" i="7"/>
  <c r="G919" i="7"/>
  <c r="E919" i="7"/>
  <c r="D919" i="7"/>
  <c r="J918" i="7"/>
  <c r="I918" i="7"/>
  <c r="H918" i="7"/>
  <c r="G918" i="7"/>
  <c r="E918" i="7"/>
  <c r="D918" i="7"/>
  <c r="J917" i="7"/>
  <c r="I917" i="7"/>
  <c r="H917" i="7"/>
  <c r="G917" i="7"/>
  <c r="E917" i="7"/>
  <c r="D917" i="7"/>
  <c r="J916" i="7"/>
  <c r="I916" i="7"/>
  <c r="H916" i="7"/>
  <c r="G916" i="7"/>
  <c r="E916" i="7"/>
  <c r="D916" i="7"/>
  <c r="J915" i="7"/>
  <c r="I915" i="7"/>
  <c r="H915" i="7"/>
  <c r="G915" i="7"/>
  <c r="E915" i="7"/>
  <c r="D915" i="7"/>
  <c r="J914" i="7"/>
  <c r="I914" i="7"/>
  <c r="H914" i="7"/>
  <c r="G914" i="7"/>
  <c r="E914" i="7"/>
  <c r="D914" i="7"/>
  <c r="J913" i="7"/>
  <c r="D913" i="7"/>
  <c r="J912" i="7"/>
  <c r="I912" i="7"/>
  <c r="H912" i="7"/>
  <c r="G912" i="7"/>
  <c r="E912" i="7"/>
  <c r="D912" i="7"/>
  <c r="J911" i="7"/>
  <c r="I911" i="7"/>
  <c r="H911" i="7"/>
  <c r="G911" i="7"/>
  <c r="E911" i="7"/>
  <c r="D911" i="7"/>
  <c r="J910" i="7"/>
  <c r="I910" i="7"/>
  <c r="H910" i="7"/>
  <c r="G910" i="7"/>
  <c r="E910" i="7"/>
  <c r="D910" i="7"/>
  <c r="J909" i="7"/>
  <c r="D909" i="7"/>
  <c r="J908" i="7"/>
  <c r="I908" i="7"/>
  <c r="H908" i="7"/>
  <c r="G908" i="7"/>
  <c r="E908" i="7"/>
  <c r="D908" i="7"/>
  <c r="J907" i="7"/>
  <c r="I907" i="7"/>
  <c r="H907" i="7"/>
  <c r="G907" i="7"/>
  <c r="E907" i="7"/>
  <c r="D907" i="7"/>
  <c r="J906" i="7"/>
  <c r="I906" i="7"/>
  <c r="H906" i="7"/>
  <c r="G906" i="7"/>
  <c r="E906" i="7"/>
  <c r="D906" i="7"/>
  <c r="J905" i="7"/>
  <c r="I905" i="7"/>
  <c r="H905" i="7"/>
  <c r="G905" i="7"/>
  <c r="E905" i="7"/>
  <c r="D905" i="7"/>
  <c r="J904" i="7"/>
  <c r="I904" i="7"/>
  <c r="H904" i="7"/>
  <c r="G904" i="7"/>
  <c r="E904" i="7"/>
  <c r="D904" i="7"/>
  <c r="J903" i="7"/>
  <c r="I903" i="7"/>
  <c r="H903" i="7"/>
  <c r="G903" i="7"/>
  <c r="E903" i="7"/>
  <c r="D903" i="7"/>
  <c r="J902" i="7"/>
  <c r="I902" i="7"/>
  <c r="H902" i="7"/>
  <c r="G902" i="7"/>
  <c r="E902" i="7"/>
  <c r="D902" i="7"/>
  <c r="J901" i="7"/>
  <c r="I901" i="7"/>
  <c r="H901" i="7"/>
  <c r="G901" i="7"/>
  <c r="E901" i="7"/>
  <c r="D901" i="7"/>
  <c r="J900" i="7"/>
  <c r="D900" i="7"/>
  <c r="J899" i="7"/>
  <c r="D899" i="7"/>
  <c r="J898" i="7"/>
  <c r="I898" i="7"/>
  <c r="H898" i="7"/>
  <c r="G898" i="7"/>
  <c r="E898" i="7"/>
  <c r="D898" i="7"/>
  <c r="J897" i="7"/>
  <c r="I897" i="7"/>
  <c r="H897" i="7"/>
  <c r="G897" i="7"/>
  <c r="E897" i="7"/>
  <c r="D897" i="7"/>
  <c r="J896" i="7"/>
  <c r="I896" i="7"/>
  <c r="H896" i="7"/>
  <c r="G896" i="7"/>
  <c r="E896" i="7"/>
  <c r="D896" i="7"/>
  <c r="J895" i="7"/>
  <c r="I895" i="7"/>
  <c r="H895" i="7"/>
  <c r="G895" i="7"/>
  <c r="E895" i="7"/>
  <c r="D895" i="7"/>
  <c r="J894" i="7"/>
  <c r="I894" i="7"/>
  <c r="H894" i="7"/>
  <c r="G894" i="7"/>
  <c r="E894" i="7"/>
  <c r="D894" i="7"/>
  <c r="J893" i="7"/>
  <c r="I893" i="7"/>
  <c r="H893" i="7"/>
  <c r="G893" i="7"/>
  <c r="E893" i="7"/>
  <c r="D893" i="7"/>
  <c r="J892" i="7"/>
  <c r="I892" i="7"/>
  <c r="H892" i="7"/>
  <c r="G892" i="7"/>
  <c r="E892" i="7"/>
  <c r="D892" i="7"/>
  <c r="J891" i="7"/>
  <c r="D891" i="7"/>
  <c r="J890" i="7"/>
  <c r="I890" i="7"/>
  <c r="H890" i="7"/>
  <c r="G890" i="7"/>
  <c r="E890" i="7"/>
  <c r="D890" i="7"/>
  <c r="J889" i="7"/>
  <c r="D889" i="7"/>
  <c r="J888" i="7"/>
  <c r="I888" i="7"/>
  <c r="H888" i="7"/>
  <c r="G888" i="7"/>
  <c r="E888" i="7"/>
  <c r="D888" i="7"/>
  <c r="J887" i="7"/>
  <c r="I887" i="7"/>
  <c r="H887" i="7"/>
  <c r="G887" i="7"/>
  <c r="E887" i="7"/>
  <c r="D887" i="7"/>
  <c r="J886" i="7"/>
  <c r="I886" i="7"/>
  <c r="H886" i="7"/>
  <c r="G886" i="7"/>
  <c r="E886" i="7"/>
  <c r="D886" i="7"/>
  <c r="J885" i="7"/>
  <c r="D885" i="7"/>
  <c r="J884" i="7"/>
  <c r="I884" i="7"/>
  <c r="H884" i="7"/>
  <c r="G884" i="7"/>
  <c r="E884" i="7"/>
  <c r="D884" i="7"/>
  <c r="J883" i="7"/>
  <c r="I883" i="7"/>
  <c r="H883" i="7"/>
  <c r="G883" i="7"/>
  <c r="E883" i="7"/>
  <c r="D883" i="7"/>
  <c r="J882" i="7"/>
  <c r="I882" i="7"/>
  <c r="H882" i="7"/>
  <c r="G882" i="7"/>
  <c r="E882" i="7"/>
  <c r="D882" i="7"/>
  <c r="J881" i="7"/>
  <c r="I881" i="7"/>
  <c r="H881" i="7"/>
  <c r="G881" i="7"/>
  <c r="E881" i="7"/>
  <c r="D881" i="7"/>
  <c r="J880" i="7"/>
  <c r="I880" i="7"/>
  <c r="H880" i="7"/>
  <c r="G880" i="7"/>
  <c r="E880" i="7"/>
  <c r="D880" i="7"/>
  <c r="J879" i="7"/>
  <c r="I879" i="7"/>
  <c r="H879" i="7"/>
  <c r="G879" i="7"/>
  <c r="E879" i="7"/>
  <c r="D879" i="7"/>
  <c r="J878" i="7"/>
  <c r="I878" i="7"/>
  <c r="H878" i="7"/>
  <c r="G878" i="7"/>
  <c r="E878" i="7"/>
  <c r="D878" i="7"/>
  <c r="J877" i="7"/>
  <c r="I877" i="7"/>
  <c r="H877" i="7"/>
  <c r="G877" i="7"/>
  <c r="E877" i="7"/>
  <c r="D877" i="7"/>
  <c r="J876" i="7"/>
  <c r="D876" i="7"/>
  <c r="J875" i="7"/>
  <c r="I875" i="7"/>
  <c r="H875" i="7"/>
  <c r="G875" i="7"/>
  <c r="E875" i="7"/>
  <c r="D875" i="7"/>
  <c r="J874" i="7"/>
  <c r="I874" i="7"/>
  <c r="H874" i="7"/>
  <c r="G874" i="7"/>
  <c r="E874" i="7"/>
  <c r="D874" i="7"/>
  <c r="J873" i="7"/>
  <c r="I873" i="7"/>
  <c r="H873" i="7"/>
  <c r="G873" i="7"/>
  <c r="E873" i="7"/>
  <c r="D873" i="7"/>
  <c r="J872" i="7"/>
  <c r="I872" i="7"/>
  <c r="H872" i="7"/>
  <c r="G872" i="7"/>
  <c r="E872" i="7"/>
  <c r="D872" i="7"/>
  <c r="J871" i="7"/>
  <c r="I871" i="7"/>
  <c r="H871" i="7"/>
  <c r="G871" i="7"/>
  <c r="E871" i="7"/>
  <c r="D871" i="7"/>
  <c r="J870" i="7"/>
  <c r="D870" i="7"/>
  <c r="J869" i="7"/>
  <c r="I869" i="7"/>
  <c r="H869" i="7"/>
  <c r="G869" i="7"/>
  <c r="E869" i="7"/>
  <c r="D869" i="7"/>
  <c r="J868" i="7"/>
  <c r="I868" i="7"/>
  <c r="H868" i="7"/>
  <c r="G868" i="7"/>
  <c r="E868" i="7"/>
  <c r="D868" i="7"/>
  <c r="J867" i="7"/>
  <c r="I867" i="7"/>
  <c r="H867" i="7"/>
  <c r="G867" i="7"/>
  <c r="E867" i="7"/>
  <c r="D867" i="7"/>
  <c r="J866" i="7"/>
  <c r="I866" i="7"/>
  <c r="H866" i="7"/>
  <c r="G866" i="7"/>
  <c r="E866" i="7"/>
  <c r="D866" i="7"/>
  <c r="J865" i="7"/>
  <c r="I865" i="7"/>
  <c r="H865" i="7"/>
  <c r="G865" i="7"/>
  <c r="E865" i="7"/>
  <c r="D865" i="7"/>
  <c r="J864" i="7"/>
  <c r="I864" i="7"/>
  <c r="H864" i="7"/>
  <c r="G864" i="7"/>
  <c r="E864" i="7"/>
  <c r="D864" i="7"/>
  <c r="J863" i="7"/>
  <c r="D863" i="7"/>
  <c r="J862" i="7"/>
  <c r="I862" i="7"/>
  <c r="H862" i="7"/>
  <c r="G862" i="7"/>
  <c r="E862" i="7"/>
  <c r="D862" i="7"/>
  <c r="J861" i="7"/>
  <c r="I861" i="7"/>
  <c r="H861" i="7"/>
  <c r="G861" i="7"/>
  <c r="E861" i="7"/>
  <c r="D861" i="7"/>
  <c r="J860" i="7"/>
  <c r="I860" i="7"/>
  <c r="H860" i="7"/>
  <c r="G860" i="7"/>
  <c r="E860" i="7"/>
  <c r="D860" i="7"/>
  <c r="J859" i="7"/>
  <c r="I859" i="7"/>
  <c r="H859" i="7"/>
  <c r="G859" i="7"/>
  <c r="E859" i="7"/>
  <c r="D859" i="7"/>
  <c r="J858" i="7"/>
  <c r="I858" i="7"/>
  <c r="H858" i="7"/>
  <c r="G858" i="7"/>
  <c r="E858" i="7"/>
  <c r="D858" i="7"/>
  <c r="J857" i="7"/>
  <c r="I857" i="7"/>
  <c r="H857" i="7"/>
  <c r="G857" i="7"/>
  <c r="E857" i="7"/>
  <c r="D857" i="7"/>
  <c r="J856" i="7"/>
  <c r="D856" i="7"/>
  <c r="J855" i="7"/>
  <c r="I855" i="7"/>
  <c r="H855" i="7"/>
  <c r="G855" i="7"/>
  <c r="E855" i="7"/>
  <c r="D855" i="7"/>
  <c r="J854" i="7"/>
  <c r="I854" i="7"/>
  <c r="H854" i="7"/>
  <c r="G854" i="7"/>
  <c r="E854" i="7"/>
  <c r="D854" i="7"/>
  <c r="J853" i="7"/>
  <c r="I853" i="7"/>
  <c r="H853" i="7"/>
  <c r="G853" i="7"/>
  <c r="E853" i="7"/>
  <c r="D853" i="7"/>
  <c r="J852" i="7"/>
  <c r="I852" i="7"/>
  <c r="H852" i="7"/>
  <c r="G852" i="7"/>
  <c r="E852" i="7"/>
  <c r="D852" i="7"/>
  <c r="J851" i="7"/>
  <c r="I851" i="7"/>
  <c r="H851" i="7"/>
  <c r="G851" i="7"/>
  <c r="E851" i="7"/>
  <c r="D851" i="7"/>
  <c r="J850" i="7"/>
  <c r="I850" i="7"/>
  <c r="H850" i="7"/>
  <c r="G850" i="7"/>
  <c r="E850" i="7"/>
  <c r="D850" i="7"/>
  <c r="J849" i="7"/>
  <c r="D849" i="7"/>
  <c r="J848" i="7"/>
  <c r="I848" i="7"/>
  <c r="H848" i="7"/>
  <c r="G848" i="7"/>
  <c r="E848" i="7"/>
  <c r="D848" i="7"/>
  <c r="J847" i="7"/>
  <c r="I847" i="7"/>
  <c r="H847" i="7"/>
  <c r="G847" i="7"/>
  <c r="E847" i="7"/>
  <c r="D847" i="7"/>
  <c r="J846" i="7"/>
  <c r="D846" i="7"/>
  <c r="J845" i="7"/>
  <c r="D845" i="7"/>
  <c r="J844" i="7"/>
  <c r="I844" i="7"/>
  <c r="H844" i="7"/>
  <c r="G844" i="7"/>
  <c r="E844" i="7"/>
  <c r="D844" i="7"/>
  <c r="J843" i="7"/>
  <c r="I843" i="7"/>
  <c r="H843" i="7"/>
  <c r="G843" i="7"/>
  <c r="E843" i="7"/>
  <c r="D843" i="7"/>
  <c r="J842" i="7"/>
  <c r="I842" i="7"/>
  <c r="H842" i="7"/>
  <c r="G842" i="7"/>
  <c r="E842" i="7"/>
  <c r="D842" i="7"/>
  <c r="J841" i="7"/>
  <c r="I841" i="7"/>
  <c r="H841" i="7"/>
  <c r="G841" i="7"/>
  <c r="E841" i="7"/>
  <c r="D841" i="7"/>
  <c r="J840" i="7"/>
  <c r="I840" i="7"/>
  <c r="H840" i="7"/>
  <c r="G840" i="7"/>
  <c r="E840" i="7"/>
  <c r="D840" i="7"/>
  <c r="J839" i="7"/>
  <c r="I839" i="7"/>
  <c r="H839" i="7"/>
  <c r="G839" i="7"/>
  <c r="E839" i="7"/>
  <c r="D839" i="7"/>
  <c r="J838" i="7"/>
  <c r="I838" i="7"/>
  <c r="H838" i="7"/>
  <c r="G838" i="7"/>
  <c r="E838" i="7"/>
  <c r="D838" i="7"/>
  <c r="J837" i="7"/>
  <c r="D837" i="7"/>
  <c r="J836" i="7"/>
  <c r="I836" i="7"/>
  <c r="H836" i="7"/>
  <c r="G836" i="7"/>
  <c r="E836" i="7"/>
  <c r="D836" i="7"/>
  <c r="J835" i="7"/>
  <c r="I835" i="7"/>
  <c r="H835" i="7"/>
  <c r="G835" i="7"/>
  <c r="E835" i="7"/>
  <c r="D835" i="7"/>
  <c r="J834" i="7"/>
  <c r="D834" i="7"/>
  <c r="J833" i="7"/>
  <c r="I833" i="7"/>
  <c r="H833" i="7"/>
  <c r="G833" i="7"/>
  <c r="E833" i="7"/>
  <c r="D833" i="7"/>
  <c r="J832" i="7"/>
  <c r="D832" i="7"/>
  <c r="J831" i="7"/>
  <c r="I831" i="7"/>
  <c r="H831" i="7"/>
  <c r="G831" i="7"/>
  <c r="E831" i="7"/>
  <c r="D831" i="7"/>
  <c r="J830" i="7"/>
  <c r="I830" i="7"/>
  <c r="H830" i="7"/>
  <c r="G830" i="7"/>
  <c r="E830" i="7"/>
  <c r="D830" i="7"/>
  <c r="J829" i="7"/>
  <c r="D829" i="7"/>
  <c r="J828" i="7"/>
  <c r="I828" i="7"/>
  <c r="H828" i="7"/>
  <c r="G828" i="7"/>
  <c r="E828" i="7"/>
  <c r="D828" i="7"/>
  <c r="J827" i="7"/>
  <c r="I827" i="7"/>
  <c r="H827" i="7"/>
  <c r="G827" i="7"/>
  <c r="E827" i="7"/>
  <c r="D827" i="7"/>
  <c r="J826" i="7"/>
  <c r="E826" i="7"/>
  <c r="D826" i="7"/>
  <c r="J825" i="7"/>
  <c r="D825" i="7"/>
  <c r="J824" i="7"/>
  <c r="I824" i="7"/>
  <c r="H824" i="7"/>
  <c r="G824" i="7"/>
  <c r="E824" i="7"/>
  <c r="D824" i="7"/>
  <c r="J823" i="7"/>
  <c r="I823" i="7"/>
  <c r="H823" i="7"/>
  <c r="G823" i="7"/>
  <c r="E823" i="7"/>
  <c r="D823" i="7"/>
  <c r="J822" i="7"/>
  <c r="D822" i="7"/>
  <c r="J821" i="7"/>
  <c r="D821" i="7"/>
  <c r="J820" i="7"/>
  <c r="I820" i="7"/>
  <c r="H820" i="7"/>
  <c r="G820" i="7"/>
  <c r="E820" i="7"/>
  <c r="D820" i="7"/>
  <c r="J819" i="7"/>
  <c r="D819" i="7"/>
  <c r="J818" i="7"/>
  <c r="I818" i="7"/>
  <c r="H818" i="7"/>
  <c r="G818" i="7"/>
  <c r="E818" i="7"/>
  <c r="D818" i="7"/>
  <c r="J817" i="7"/>
  <c r="D817" i="7"/>
  <c r="J816" i="7"/>
  <c r="I816" i="7"/>
  <c r="H816" i="7"/>
  <c r="G816" i="7"/>
  <c r="E816" i="7"/>
  <c r="D816" i="7"/>
  <c r="J815" i="7"/>
  <c r="I815" i="7"/>
  <c r="H815" i="7"/>
  <c r="G815" i="7"/>
  <c r="E815" i="7"/>
  <c r="D815" i="7"/>
  <c r="J814" i="7"/>
  <c r="D814" i="7"/>
  <c r="J813" i="7"/>
  <c r="I813" i="7"/>
  <c r="H813" i="7"/>
  <c r="G813" i="7"/>
  <c r="E813" i="7"/>
  <c r="D813" i="7"/>
  <c r="J812" i="7"/>
  <c r="I812" i="7"/>
  <c r="H812" i="7"/>
  <c r="G812" i="7"/>
  <c r="E812" i="7"/>
  <c r="D812" i="7"/>
  <c r="J811" i="7"/>
  <c r="I811" i="7"/>
  <c r="H811" i="7"/>
  <c r="G811" i="7"/>
  <c r="E811" i="7"/>
  <c r="D811" i="7"/>
  <c r="J810" i="7"/>
  <c r="D810" i="7"/>
  <c r="J809" i="7"/>
  <c r="D809" i="7"/>
  <c r="J808" i="7"/>
  <c r="I808" i="7"/>
  <c r="H808" i="7"/>
  <c r="G808" i="7"/>
  <c r="E808" i="7"/>
  <c r="D808" i="7"/>
  <c r="J807" i="7"/>
  <c r="I807" i="7"/>
  <c r="H807" i="7"/>
  <c r="G807" i="7"/>
  <c r="E807" i="7"/>
  <c r="D807" i="7"/>
  <c r="J806" i="7"/>
  <c r="I806" i="7"/>
  <c r="H806" i="7"/>
  <c r="G806" i="7"/>
  <c r="E806" i="7"/>
  <c r="D806" i="7"/>
  <c r="J805" i="7"/>
  <c r="I805" i="7"/>
  <c r="H805" i="7"/>
  <c r="G805" i="7"/>
  <c r="E805" i="7"/>
  <c r="D805" i="7"/>
  <c r="J804" i="7"/>
  <c r="D804" i="7"/>
  <c r="J803" i="7"/>
  <c r="I803" i="7"/>
  <c r="H803" i="7"/>
  <c r="G803" i="7"/>
  <c r="E803" i="7"/>
  <c r="D803" i="7"/>
  <c r="J802" i="7"/>
  <c r="I802" i="7"/>
  <c r="H802" i="7"/>
  <c r="G802" i="7"/>
  <c r="E802" i="7"/>
  <c r="D802" i="7"/>
  <c r="J801" i="7"/>
  <c r="I801" i="7"/>
  <c r="H801" i="7"/>
  <c r="G801" i="7"/>
  <c r="E801" i="7"/>
  <c r="D801" i="7"/>
  <c r="J800" i="7"/>
  <c r="I800" i="7"/>
  <c r="H800" i="7"/>
  <c r="G800" i="7"/>
  <c r="E800" i="7"/>
  <c r="D800" i="7"/>
  <c r="J799" i="7"/>
  <c r="I799" i="7"/>
  <c r="H799" i="7"/>
  <c r="G799" i="7"/>
  <c r="E799" i="7"/>
  <c r="D799" i="7"/>
  <c r="J798" i="7"/>
  <c r="I798" i="7"/>
  <c r="H798" i="7"/>
  <c r="G798" i="7"/>
  <c r="E798" i="7"/>
  <c r="D798" i="7"/>
  <c r="J797" i="7"/>
  <c r="D797" i="7"/>
  <c r="J796" i="7"/>
  <c r="I796" i="7"/>
  <c r="H796" i="7"/>
  <c r="G796" i="7"/>
  <c r="E796" i="7"/>
  <c r="D796" i="7"/>
  <c r="J795" i="7"/>
  <c r="I795" i="7"/>
  <c r="H795" i="7"/>
  <c r="G795" i="7"/>
  <c r="E795" i="7"/>
  <c r="D795" i="7"/>
  <c r="J794" i="7"/>
  <c r="I794" i="7"/>
  <c r="H794" i="7"/>
  <c r="G794" i="7"/>
  <c r="E794" i="7"/>
  <c r="D794" i="7"/>
  <c r="J793" i="7"/>
  <c r="I793" i="7"/>
  <c r="H793" i="7"/>
  <c r="G793" i="7"/>
  <c r="E793" i="7"/>
  <c r="D793" i="7"/>
  <c r="J792" i="7"/>
  <c r="I792" i="7"/>
  <c r="H792" i="7"/>
  <c r="G792" i="7"/>
  <c r="E792" i="7"/>
  <c r="D792" i="7"/>
  <c r="J791" i="7"/>
  <c r="I791" i="7"/>
  <c r="H791" i="7"/>
  <c r="G791" i="7"/>
  <c r="E791" i="7"/>
  <c r="D791" i="7"/>
  <c r="J790" i="7"/>
  <c r="I790" i="7"/>
  <c r="H790" i="7"/>
  <c r="G790" i="7"/>
  <c r="E790" i="7"/>
  <c r="D790" i="7"/>
  <c r="J789" i="7"/>
  <c r="I789" i="7"/>
  <c r="H789" i="7"/>
  <c r="G789" i="7"/>
  <c r="E789" i="7"/>
  <c r="D789" i="7"/>
  <c r="J788" i="7"/>
  <c r="I788" i="7"/>
  <c r="H788" i="7"/>
  <c r="G788" i="7"/>
  <c r="E788" i="7"/>
  <c r="D788" i="7"/>
  <c r="J787" i="7"/>
  <c r="I787" i="7"/>
  <c r="H787" i="7"/>
  <c r="G787" i="7"/>
  <c r="E787" i="7"/>
  <c r="D787" i="7"/>
  <c r="J786" i="7"/>
  <c r="I786" i="7"/>
  <c r="H786" i="7"/>
  <c r="G786" i="7"/>
  <c r="E786" i="7"/>
  <c r="D786" i="7"/>
  <c r="J785" i="7"/>
  <c r="I785" i="7"/>
  <c r="H785" i="7"/>
  <c r="G785" i="7"/>
  <c r="E785" i="7"/>
  <c r="D785" i="7"/>
  <c r="J784" i="7"/>
  <c r="I784" i="7"/>
  <c r="H784" i="7"/>
  <c r="G784" i="7"/>
  <c r="E784" i="7"/>
  <c r="D784" i="7"/>
  <c r="J783" i="7"/>
  <c r="I783" i="7"/>
  <c r="H783" i="7"/>
  <c r="G783" i="7"/>
  <c r="E783" i="7"/>
  <c r="D783" i="7"/>
  <c r="J782" i="7"/>
  <c r="D782" i="7"/>
  <c r="J781" i="7"/>
  <c r="I781" i="7"/>
  <c r="H781" i="7"/>
  <c r="G781" i="7"/>
  <c r="E781" i="7"/>
  <c r="D781" i="7"/>
  <c r="J780" i="7"/>
  <c r="I780" i="7"/>
  <c r="H780" i="7"/>
  <c r="G780" i="7"/>
  <c r="E780" i="7"/>
  <c r="D780" i="7"/>
  <c r="J779" i="7"/>
  <c r="I779" i="7"/>
  <c r="H779" i="7"/>
  <c r="G779" i="7"/>
  <c r="E779" i="7"/>
  <c r="D779" i="7"/>
  <c r="J778" i="7"/>
  <c r="I778" i="7"/>
  <c r="H778" i="7"/>
  <c r="G778" i="7"/>
  <c r="E778" i="7"/>
  <c r="D778" i="7"/>
  <c r="J777" i="7"/>
  <c r="D777" i="7"/>
  <c r="J776" i="7"/>
  <c r="I776" i="7"/>
  <c r="H776" i="7"/>
  <c r="G776" i="7"/>
  <c r="E776" i="7"/>
  <c r="D776" i="7"/>
  <c r="J775" i="7"/>
  <c r="I775" i="7"/>
  <c r="H775" i="7"/>
  <c r="G775" i="7"/>
  <c r="E775" i="7"/>
  <c r="D775" i="7"/>
  <c r="J774" i="7"/>
  <c r="I774" i="7"/>
  <c r="H774" i="7"/>
  <c r="G774" i="7"/>
  <c r="E774" i="7"/>
  <c r="D774" i="7"/>
  <c r="J773" i="7"/>
  <c r="I773" i="7"/>
  <c r="H773" i="7"/>
  <c r="G773" i="7"/>
  <c r="E773" i="7"/>
  <c r="D773" i="7"/>
  <c r="J772" i="7"/>
  <c r="I772" i="7"/>
  <c r="H772" i="7"/>
  <c r="G772" i="7"/>
  <c r="E772" i="7"/>
  <c r="D772" i="7"/>
  <c r="J771" i="7"/>
  <c r="I771" i="7"/>
  <c r="H771" i="7"/>
  <c r="G771" i="7"/>
  <c r="E771" i="7"/>
  <c r="D771" i="7"/>
  <c r="J770" i="7"/>
  <c r="I770" i="7"/>
  <c r="H770" i="7"/>
  <c r="G770" i="7"/>
  <c r="E770" i="7"/>
  <c r="D770" i="7"/>
  <c r="J769" i="7"/>
  <c r="D769" i="7"/>
  <c r="J768" i="7"/>
  <c r="I768" i="7"/>
  <c r="H768" i="7"/>
  <c r="G768" i="7"/>
  <c r="E768" i="7"/>
  <c r="D768" i="7"/>
  <c r="J767" i="7"/>
  <c r="I767" i="7"/>
  <c r="H767" i="7"/>
  <c r="G767" i="7"/>
  <c r="E767" i="7"/>
  <c r="D767" i="7"/>
  <c r="J766" i="7"/>
  <c r="I766" i="7"/>
  <c r="H766" i="7"/>
  <c r="G766" i="7"/>
  <c r="E766" i="7"/>
  <c r="D766" i="7"/>
  <c r="J765" i="7"/>
  <c r="I765" i="7"/>
  <c r="H765" i="7"/>
  <c r="G765" i="7"/>
  <c r="E765" i="7"/>
  <c r="D765" i="7"/>
  <c r="J764" i="7"/>
  <c r="I764" i="7"/>
  <c r="H764" i="7"/>
  <c r="G764" i="7"/>
  <c r="E764" i="7"/>
  <c r="D764" i="7"/>
  <c r="J763" i="7"/>
  <c r="I763" i="7"/>
  <c r="H763" i="7"/>
  <c r="G763" i="7"/>
  <c r="E763" i="7"/>
  <c r="D763" i="7"/>
  <c r="J762" i="7"/>
  <c r="D762" i="7"/>
  <c r="J761" i="7"/>
  <c r="D761" i="7"/>
  <c r="J760" i="7"/>
  <c r="I760" i="7"/>
  <c r="H760" i="7"/>
  <c r="G760" i="7"/>
  <c r="E760" i="7"/>
  <c r="D760" i="7"/>
  <c r="J759" i="7"/>
  <c r="I759" i="7"/>
  <c r="H759" i="7"/>
  <c r="G759" i="7"/>
  <c r="E759" i="7"/>
  <c r="D759" i="7"/>
  <c r="J758" i="7"/>
  <c r="I758" i="7"/>
  <c r="H758" i="7"/>
  <c r="G758" i="7"/>
  <c r="E758" i="7"/>
  <c r="D758" i="7"/>
  <c r="J757" i="7"/>
  <c r="I757" i="7"/>
  <c r="H757" i="7"/>
  <c r="G757" i="7"/>
  <c r="E757" i="7"/>
  <c r="D757" i="7"/>
  <c r="J756" i="7"/>
  <c r="I756" i="7"/>
  <c r="H756" i="7"/>
  <c r="G756" i="7"/>
  <c r="E756" i="7"/>
  <c r="D756" i="7"/>
  <c r="J755" i="7"/>
  <c r="I755" i="7"/>
  <c r="H755" i="7"/>
  <c r="G755" i="7"/>
  <c r="E755" i="7"/>
  <c r="D755" i="7"/>
  <c r="J754" i="7"/>
  <c r="I754" i="7"/>
  <c r="H754" i="7"/>
  <c r="G754" i="7"/>
  <c r="E754" i="7"/>
  <c r="D754" i="7"/>
  <c r="J753" i="7"/>
  <c r="I753" i="7"/>
  <c r="H753" i="7"/>
  <c r="G753" i="7"/>
  <c r="E753" i="7"/>
  <c r="D753" i="7"/>
  <c r="J752" i="7"/>
  <c r="I752" i="7"/>
  <c r="H752" i="7"/>
  <c r="G752" i="7"/>
  <c r="E752" i="7"/>
  <c r="D752" i="7"/>
  <c r="J751" i="7"/>
  <c r="D751" i="7"/>
  <c r="J750" i="7"/>
  <c r="I750" i="7"/>
  <c r="H750" i="7"/>
  <c r="G750" i="7"/>
  <c r="E750" i="7"/>
  <c r="D750" i="7"/>
  <c r="J749" i="7"/>
  <c r="I749" i="7"/>
  <c r="H749" i="7"/>
  <c r="G749" i="7"/>
  <c r="E749" i="7"/>
  <c r="D749" i="7"/>
  <c r="J748" i="7"/>
  <c r="I748" i="7"/>
  <c r="H748" i="7"/>
  <c r="G748" i="7"/>
  <c r="E748" i="7"/>
  <c r="D748" i="7"/>
  <c r="J747" i="7"/>
  <c r="I747" i="7"/>
  <c r="H747" i="7"/>
  <c r="G747" i="7"/>
  <c r="E747" i="7"/>
  <c r="D747" i="7"/>
  <c r="J746" i="7"/>
  <c r="I746" i="7"/>
  <c r="H746" i="7"/>
  <c r="G746" i="7"/>
  <c r="E746" i="7"/>
  <c r="D746" i="7"/>
  <c r="J745" i="7"/>
  <c r="I745" i="7"/>
  <c r="H745" i="7"/>
  <c r="G745" i="7"/>
  <c r="E745" i="7"/>
  <c r="D745" i="7"/>
  <c r="J744" i="7"/>
  <c r="I744" i="7"/>
  <c r="H744" i="7"/>
  <c r="G744" i="7"/>
  <c r="E744" i="7"/>
  <c r="D744" i="7"/>
  <c r="J743" i="7"/>
  <c r="I743" i="7"/>
  <c r="H743" i="7"/>
  <c r="G743" i="7"/>
  <c r="E743" i="7"/>
  <c r="D743" i="7"/>
  <c r="J742" i="7"/>
  <c r="I742" i="7"/>
  <c r="H742" i="7"/>
  <c r="G742" i="7"/>
  <c r="E742" i="7"/>
  <c r="D742" i="7"/>
  <c r="J741" i="7"/>
  <c r="I741" i="7"/>
  <c r="H741" i="7"/>
  <c r="G741" i="7"/>
  <c r="E741" i="7"/>
  <c r="D741" i="7"/>
  <c r="J740" i="7"/>
  <c r="I740" i="7"/>
  <c r="H740" i="7"/>
  <c r="G740" i="7"/>
  <c r="E740" i="7"/>
  <c r="D740" i="7"/>
  <c r="J739" i="7"/>
  <c r="I739" i="7"/>
  <c r="H739" i="7"/>
  <c r="G739" i="7"/>
  <c r="E739" i="7"/>
  <c r="D739" i="7"/>
  <c r="J738" i="7"/>
  <c r="I738" i="7"/>
  <c r="H738" i="7"/>
  <c r="G738" i="7"/>
  <c r="E738" i="7"/>
  <c r="D738" i="7"/>
  <c r="J737" i="7"/>
  <c r="I737" i="7"/>
  <c r="H737" i="7"/>
  <c r="G737" i="7"/>
  <c r="E737" i="7"/>
  <c r="D737" i="7"/>
  <c r="J736" i="7"/>
  <c r="D736" i="7"/>
  <c r="J735" i="7"/>
  <c r="I735" i="7"/>
  <c r="H735" i="7"/>
  <c r="G735" i="7"/>
  <c r="E735" i="7"/>
  <c r="D735" i="7"/>
  <c r="J734" i="7"/>
  <c r="I734" i="7"/>
  <c r="H734" i="7"/>
  <c r="G734" i="7"/>
  <c r="E734" i="7"/>
  <c r="D734" i="7"/>
  <c r="J733" i="7"/>
  <c r="I733" i="7"/>
  <c r="H733" i="7"/>
  <c r="G733" i="7"/>
  <c r="E733" i="7"/>
  <c r="D733" i="7"/>
  <c r="J732" i="7"/>
  <c r="I732" i="7"/>
  <c r="H732" i="7"/>
  <c r="G732" i="7"/>
  <c r="E732" i="7"/>
  <c r="D732" i="7"/>
  <c r="J731" i="7"/>
  <c r="I731" i="7"/>
  <c r="H731" i="7"/>
  <c r="G731" i="7"/>
  <c r="E731" i="7"/>
  <c r="D731" i="7"/>
  <c r="J730" i="7"/>
  <c r="I730" i="7"/>
  <c r="H730" i="7"/>
  <c r="G730" i="7"/>
  <c r="E730" i="7"/>
  <c r="D730" i="7"/>
  <c r="J729" i="7"/>
  <c r="I729" i="7"/>
  <c r="H729" i="7"/>
  <c r="G729" i="7"/>
  <c r="E729" i="7"/>
  <c r="D729" i="7"/>
  <c r="J728" i="7"/>
  <c r="I728" i="7"/>
  <c r="H728" i="7"/>
  <c r="G728" i="7"/>
  <c r="E728" i="7"/>
  <c r="D728" i="7"/>
  <c r="J727" i="7"/>
  <c r="I727" i="7"/>
  <c r="H727" i="7"/>
  <c r="G727" i="7"/>
  <c r="E727" i="7"/>
  <c r="D727" i="7"/>
  <c r="J726" i="7"/>
  <c r="I726" i="7"/>
  <c r="H726" i="7"/>
  <c r="G726" i="7"/>
  <c r="E726" i="7"/>
  <c r="D726" i="7"/>
  <c r="J725" i="7"/>
  <c r="I725" i="7"/>
  <c r="H725" i="7"/>
  <c r="G725" i="7"/>
  <c r="E725" i="7"/>
  <c r="D725" i="7"/>
  <c r="J724" i="7"/>
  <c r="I724" i="7"/>
  <c r="H724" i="7"/>
  <c r="G724" i="7"/>
  <c r="E724" i="7"/>
  <c r="D724" i="7"/>
  <c r="J723" i="7"/>
  <c r="I723" i="7"/>
  <c r="H723" i="7"/>
  <c r="G723" i="7"/>
  <c r="E723" i="7"/>
  <c r="D723" i="7"/>
  <c r="J722" i="7"/>
  <c r="I722" i="7"/>
  <c r="H722" i="7"/>
  <c r="G722" i="7"/>
  <c r="E722" i="7"/>
  <c r="D722" i="7"/>
  <c r="J721" i="7"/>
  <c r="I721" i="7"/>
  <c r="H721" i="7"/>
  <c r="G721" i="7"/>
  <c r="E721" i="7"/>
  <c r="D721" i="7"/>
  <c r="J720" i="7"/>
  <c r="I720" i="7"/>
  <c r="H720" i="7"/>
  <c r="G720" i="7"/>
  <c r="E720" i="7"/>
  <c r="D720" i="7"/>
  <c r="J719" i="7"/>
  <c r="D719" i="7"/>
  <c r="J718" i="7"/>
  <c r="I718" i="7"/>
  <c r="H718" i="7"/>
  <c r="G718" i="7"/>
  <c r="E718" i="7"/>
  <c r="D718" i="7"/>
  <c r="J717" i="7"/>
  <c r="I717" i="7"/>
  <c r="H717" i="7"/>
  <c r="G717" i="7"/>
  <c r="E717" i="7"/>
  <c r="D717" i="7"/>
  <c r="J716" i="7"/>
  <c r="I716" i="7"/>
  <c r="H716" i="7"/>
  <c r="G716" i="7"/>
  <c r="E716" i="7"/>
  <c r="D716" i="7"/>
  <c r="J715" i="7"/>
  <c r="I715" i="7"/>
  <c r="H715" i="7"/>
  <c r="G715" i="7"/>
  <c r="E715" i="7"/>
  <c r="D715" i="7"/>
  <c r="J714" i="7"/>
  <c r="I714" i="7"/>
  <c r="H714" i="7"/>
  <c r="G714" i="7"/>
  <c r="E714" i="7"/>
  <c r="D714" i="7"/>
  <c r="J713" i="7"/>
  <c r="I713" i="7"/>
  <c r="H713" i="7"/>
  <c r="G713" i="7"/>
  <c r="E713" i="7"/>
  <c r="D713" i="7"/>
  <c r="J712" i="7"/>
  <c r="I712" i="7"/>
  <c r="H712" i="7"/>
  <c r="G712" i="7"/>
  <c r="E712" i="7"/>
  <c r="D712" i="7"/>
  <c r="J711" i="7"/>
  <c r="I711" i="7"/>
  <c r="H711" i="7"/>
  <c r="G711" i="7"/>
  <c r="E711" i="7"/>
  <c r="D711" i="7"/>
  <c r="J710" i="7"/>
  <c r="I710" i="7"/>
  <c r="H710" i="7"/>
  <c r="G710" i="7"/>
  <c r="E710" i="7"/>
  <c r="D710" i="7"/>
  <c r="J709" i="7"/>
  <c r="D709" i="7"/>
  <c r="J708" i="7"/>
  <c r="I708" i="7"/>
  <c r="H708" i="7"/>
  <c r="G708" i="7"/>
  <c r="E708" i="7"/>
  <c r="D708" i="7"/>
  <c r="J707" i="7"/>
  <c r="D707" i="7"/>
  <c r="J706" i="7"/>
  <c r="I706" i="7"/>
  <c r="H706" i="7"/>
  <c r="G706" i="7"/>
  <c r="E706" i="7"/>
  <c r="D706" i="7"/>
  <c r="J705" i="7"/>
  <c r="I705" i="7"/>
  <c r="H705" i="7"/>
  <c r="G705" i="7"/>
  <c r="E705" i="7"/>
  <c r="D705" i="7"/>
  <c r="J704" i="7"/>
  <c r="I704" i="7"/>
  <c r="H704" i="7"/>
  <c r="G704" i="7"/>
  <c r="E704" i="7"/>
  <c r="D704" i="7"/>
  <c r="J703" i="7"/>
  <c r="I703" i="7"/>
  <c r="H703" i="7"/>
  <c r="G703" i="7"/>
  <c r="E703" i="7"/>
  <c r="D703" i="7"/>
  <c r="J702" i="7"/>
  <c r="I702" i="7"/>
  <c r="H702" i="7"/>
  <c r="G702" i="7"/>
  <c r="E702" i="7"/>
  <c r="D702" i="7"/>
  <c r="J701" i="7"/>
  <c r="I701" i="7"/>
  <c r="H701" i="7"/>
  <c r="G701" i="7"/>
  <c r="E701" i="7"/>
  <c r="D701" i="7"/>
  <c r="J700" i="7"/>
  <c r="I700" i="7"/>
  <c r="H700" i="7"/>
  <c r="G700" i="7"/>
  <c r="E700" i="7"/>
  <c r="D700" i="7"/>
  <c r="J699" i="7"/>
  <c r="I699" i="7"/>
  <c r="H699" i="7"/>
  <c r="G699" i="7"/>
  <c r="E699" i="7"/>
  <c r="D699" i="7"/>
  <c r="J698" i="7"/>
  <c r="I698" i="7"/>
  <c r="H698" i="7"/>
  <c r="G698" i="7"/>
  <c r="E698" i="7"/>
  <c r="D698" i="7"/>
  <c r="J697" i="7"/>
  <c r="D697" i="7"/>
  <c r="J696" i="7"/>
  <c r="I696" i="7"/>
  <c r="H696" i="7"/>
  <c r="G696" i="7"/>
  <c r="E696" i="7"/>
  <c r="D696" i="7"/>
  <c r="J695" i="7"/>
  <c r="I695" i="7"/>
  <c r="H695" i="7"/>
  <c r="G695" i="7"/>
  <c r="E695" i="7"/>
  <c r="D695" i="7"/>
  <c r="J694" i="7"/>
  <c r="I694" i="7"/>
  <c r="H694" i="7"/>
  <c r="G694" i="7"/>
  <c r="E694" i="7"/>
  <c r="D694" i="7"/>
  <c r="J693" i="7"/>
  <c r="I693" i="7"/>
  <c r="H693" i="7"/>
  <c r="G693" i="7"/>
  <c r="E693" i="7"/>
  <c r="D693" i="7"/>
  <c r="J692" i="7"/>
  <c r="I692" i="7"/>
  <c r="H692" i="7"/>
  <c r="G692" i="7"/>
  <c r="E692" i="7"/>
  <c r="D692" i="7"/>
  <c r="J691" i="7"/>
  <c r="I691" i="7"/>
  <c r="H691" i="7"/>
  <c r="G691" i="7"/>
  <c r="E691" i="7"/>
  <c r="D691" i="7"/>
  <c r="J690" i="7"/>
  <c r="I690" i="7"/>
  <c r="H690" i="7"/>
  <c r="G690" i="7"/>
  <c r="E690" i="7"/>
  <c r="D690" i="7"/>
  <c r="J689" i="7"/>
  <c r="I689" i="7"/>
  <c r="H689" i="7"/>
  <c r="G689" i="7"/>
  <c r="E689" i="7"/>
  <c r="D689" i="7"/>
  <c r="J688" i="7"/>
  <c r="I688" i="7"/>
  <c r="H688" i="7"/>
  <c r="G688" i="7"/>
  <c r="E688" i="7"/>
  <c r="D688" i="7"/>
  <c r="J687" i="7"/>
  <c r="I687" i="7"/>
  <c r="H687" i="7"/>
  <c r="G687" i="7"/>
  <c r="E687" i="7"/>
  <c r="D687" i="7"/>
  <c r="J686" i="7"/>
  <c r="I686" i="7"/>
  <c r="H686" i="7"/>
  <c r="G686" i="7"/>
  <c r="E686" i="7"/>
  <c r="D686" i="7"/>
  <c r="J685" i="7"/>
  <c r="I685" i="7"/>
  <c r="H685" i="7"/>
  <c r="G685" i="7"/>
  <c r="E685" i="7"/>
  <c r="D685" i="7"/>
  <c r="J684" i="7"/>
  <c r="I684" i="7"/>
  <c r="H684" i="7"/>
  <c r="G684" i="7"/>
  <c r="E684" i="7"/>
  <c r="D684" i="7"/>
  <c r="J683" i="7"/>
  <c r="I683" i="7"/>
  <c r="H683" i="7"/>
  <c r="G683" i="7"/>
  <c r="E683" i="7"/>
  <c r="D683" i="7"/>
  <c r="J682" i="7"/>
  <c r="I682" i="7"/>
  <c r="H682" i="7"/>
  <c r="G682" i="7"/>
  <c r="E682" i="7"/>
  <c r="D682" i="7"/>
  <c r="J681" i="7"/>
  <c r="I681" i="7"/>
  <c r="H681" i="7"/>
  <c r="G681" i="7"/>
  <c r="E681" i="7"/>
  <c r="D681" i="7"/>
  <c r="J680" i="7"/>
  <c r="I680" i="7"/>
  <c r="H680" i="7"/>
  <c r="G680" i="7"/>
  <c r="E680" i="7"/>
  <c r="D680" i="7"/>
  <c r="J679" i="7"/>
  <c r="D679" i="7"/>
  <c r="J678" i="7"/>
  <c r="I678" i="7"/>
  <c r="H678" i="7"/>
  <c r="G678" i="7"/>
  <c r="E678" i="7"/>
  <c r="D678" i="7"/>
  <c r="J677" i="7"/>
  <c r="I677" i="7"/>
  <c r="H677" i="7"/>
  <c r="G677" i="7"/>
  <c r="E677" i="7"/>
  <c r="D677" i="7"/>
  <c r="J676" i="7"/>
  <c r="I676" i="7"/>
  <c r="H676" i="7"/>
  <c r="G676" i="7"/>
  <c r="E676" i="7"/>
  <c r="D676" i="7"/>
  <c r="J675" i="7"/>
  <c r="I675" i="7"/>
  <c r="H675" i="7"/>
  <c r="G675" i="7"/>
  <c r="E675" i="7"/>
  <c r="D675" i="7"/>
  <c r="J674" i="7"/>
  <c r="I674" i="7"/>
  <c r="H674" i="7"/>
  <c r="G674" i="7"/>
  <c r="E674" i="7"/>
  <c r="D674" i="7"/>
  <c r="J673" i="7"/>
  <c r="I673" i="7"/>
  <c r="H673" i="7"/>
  <c r="G673" i="7"/>
  <c r="E673" i="7"/>
  <c r="D673" i="7"/>
  <c r="J672" i="7"/>
  <c r="H672" i="7"/>
  <c r="G672" i="7"/>
  <c r="E672" i="7"/>
  <c r="D672" i="7"/>
  <c r="J671" i="7"/>
  <c r="I671" i="7"/>
  <c r="H671" i="7"/>
  <c r="G671" i="7"/>
  <c r="E671" i="7"/>
  <c r="D671" i="7"/>
  <c r="J670" i="7"/>
  <c r="I670" i="7"/>
  <c r="H670" i="7"/>
  <c r="G670" i="7"/>
  <c r="E670" i="7"/>
  <c r="D670" i="7"/>
  <c r="J669" i="7"/>
  <c r="I669" i="7"/>
  <c r="H669" i="7"/>
  <c r="G669" i="7"/>
  <c r="E669" i="7"/>
  <c r="D669" i="7"/>
  <c r="J668" i="7"/>
  <c r="I668" i="7"/>
  <c r="H668" i="7"/>
  <c r="G668" i="7"/>
  <c r="E668" i="7"/>
  <c r="D668" i="7"/>
  <c r="J667" i="7"/>
  <c r="I667" i="7"/>
  <c r="H667" i="7"/>
  <c r="G667" i="7"/>
  <c r="E667" i="7"/>
  <c r="D667" i="7"/>
  <c r="J666" i="7"/>
  <c r="I666" i="7"/>
  <c r="H666" i="7"/>
  <c r="G666" i="7"/>
  <c r="E666" i="7"/>
  <c r="D666" i="7"/>
  <c r="J665" i="7"/>
  <c r="I665" i="7"/>
  <c r="H665" i="7"/>
  <c r="G665" i="7"/>
  <c r="E665" i="7"/>
  <c r="D665" i="7"/>
  <c r="J664" i="7"/>
  <c r="I664" i="7"/>
  <c r="H664" i="7"/>
  <c r="G664" i="7"/>
  <c r="E664" i="7"/>
  <c r="D664" i="7"/>
  <c r="J663" i="7"/>
  <c r="I663" i="7"/>
  <c r="H663" i="7"/>
  <c r="G663" i="7"/>
  <c r="E663" i="7"/>
  <c r="D663" i="7"/>
  <c r="J662" i="7"/>
  <c r="I662" i="7"/>
  <c r="H662" i="7"/>
  <c r="G662" i="7"/>
  <c r="E662" i="7"/>
  <c r="D662" i="7"/>
  <c r="J661" i="7"/>
  <c r="I661" i="7"/>
  <c r="H661" i="7"/>
  <c r="G661" i="7"/>
  <c r="E661" i="7"/>
  <c r="D661" i="7"/>
  <c r="J660" i="7"/>
  <c r="I660" i="7"/>
  <c r="H660" i="7"/>
  <c r="G660" i="7"/>
  <c r="E660" i="7"/>
  <c r="D660" i="7"/>
  <c r="J659" i="7"/>
  <c r="I659" i="7"/>
  <c r="H659" i="7"/>
  <c r="G659" i="7"/>
  <c r="E659" i="7"/>
  <c r="D659" i="7"/>
  <c r="J658" i="7"/>
  <c r="D658" i="7"/>
  <c r="J657" i="7"/>
  <c r="I657" i="7"/>
  <c r="H657" i="7"/>
  <c r="G657" i="7"/>
  <c r="E657" i="7"/>
  <c r="D657" i="7"/>
  <c r="J656" i="7"/>
  <c r="I656" i="7"/>
  <c r="H656" i="7"/>
  <c r="G656" i="7"/>
  <c r="E656" i="7"/>
  <c r="D656" i="7"/>
  <c r="J655" i="7"/>
  <c r="I655" i="7"/>
  <c r="H655" i="7"/>
  <c r="G655" i="7"/>
  <c r="E655" i="7"/>
  <c r="D655" i="7"/>
  <c r="J654" i="7"/>
  <c r="I654" i="7"/>
  <c r="H654" i="7"/>
  <c r="G654" i="7"/>
  <c r="E654" i="7"/>
  <c r="D654" i="7"/>
  <c r="J653" i="7"/>
  <c r="I653" i="7"/>
  <c r="H653" i="7"/>
  <c r="G653" i="7"/>
  <c r="E653" i="7"/>
  <c r="D653" i="7"/>
  <c r="J652" i="7"/>
  <c r="I652" i="7"/>
  <c r="H652" i="7"/>
  <c r="G652" i="7"/>
  <c r="E652" i="7"/>
  <c r="D652" i="7"/>
  <c r="J651" i="7"/>
  <c r="D651" i="7"/>
  <c r="J650" i="7"/>
  <c r="D650" i="7"/>
  <c r="J649" i="7"/>
  <c r="I649" i="7"/>
  <c r="H649" i="7"/>
  <c r="G649" i="7"/>
  <c r="E649" i="7"/>
  <c r="D649" i="7"/>
  <c r="J648" i="7"/>
  <c r="I648" i="7"/>
  <c r="H648" i="7"/>
  <c r="G648" i="7"/>
  <c r="E648" i="7"/>
  <c r="D648" i="7"/>
  <c r="J647" i="7"/>
  <c r="I647" i="7"/>
  <c r="H647" i="7"/>
  <c r="G647" i="7"/>
  <c r="E647" i="7"/>
  <c r="D647" i="7"/>
  <c r="J646" i="7"/>
  <c r="I646" i="7"/>
  <c r="H646" i="7"/>
  <c r="G646" i="7"/>
  <c r="E646" i="7"/>
  <c r="D646" i="7"/>
  <c r="J645" i="7"/>
  <c r="I645" i="7"/>
  <c r="H645" i="7"/>
  <c r="G645" i="7"/>
  <c r="E645" i="7"/>
  <c r="D645" i="7"/>
  <c r="J644" i="7"/>
  <c r="I644" i="7"/>
  <c r="H644" i="7"/>
  <c r="G644" i="7"/>
  <c r="E644" i="7"/>
  <c r="D644" i="7"/>
  <c r="J643" i="7"/>
  <c r="D643" i="7"/>
  <c r="J642" i="7"/>
  <c r="I642" i="7"/>
  <c r="H642" i="7"/>
  <c r="G642" i="7"/>
  <c r="E642" i="7"/>
  <c r="D642" i="7"/>
  <c r="J641" i="7"/>
  <c r="D641" i="7"/>
  <c r="J640" i="7"/>
  <c r="I640" i="7"/>
  <c r="H640" i="7"/>
  <c r="G640" i="7"/>
  <c r="E640" i="7"/>
  <c r="D640" i="7"/>
  <c r="J639" i="7"/>
  <c r="I639" i="7"/>
  <c r="H639" i="7"/>
  <c r="G639" i="7"/>
  <c r="E639" i="7"/>
  <c r="D639" i="7"/>
  <c r="J638" i="7"/>
  <c r="D638" i="7"/>
  <c r="J637" i="7"/>
  <c r="I637" i="7"/>
  <c r="H637" i="7"/>
  <c r="G637" i="7"/>
  <c r="E637" i="7"/>
  <c r="D637" i="7"/>
  <c r="J636" i="7"/>
  <c r="I636" i="7"/>
  <c r="H636" i="7"/>
  <c r="G636" i="7"/>
  <c r="E636" i="7"/>
  <c r="D636" i="7"/>
  <c r="J635" i="7"/>
  <c r="D635" i="7"/>
  <c r="J634" i="7"/>
  <c r="I634" i="7"/>
  <c r="H634" i="7"/>
  <c r="G634" i="7"/>
  <c r="E634" i="7"/>
  <c r="D634" i="7"/>
  <c r="J633" i="7"/>
  <c r="I633" i="7"/>
  <c r="H633" i="7"/>
  <c r="G633" i="7"/>
  <c r="E633" i="7"/>
  <c r="D633" i="7"/>
  <c r="J632" i="7"/>
  <c r="D632" i="7"/>
  <c r="J631" i="7"/>
  <c r="D631" i="7"/>
  <c r="J630" i="7"/>
  <c r="I630" i="7"/>
  <c r="H630" i="7"/>
  <c r="G630" i="7"/>
  <c r="E630" i="7"/>
  <c r="D630" i="7"/>
  <c r="J629" i="7"/>
  <c r="I629" i="7"/>
  <c r="H629" i="7"/>
  <c r="G629" i="7"/>
  <c r="E629" i="7"/>
  <c r="D629" i="7"/>
  <c r="J628" i="7"/>
  <c r="D628" i="7"/>
  <c r="J627" i="7"/>
  <c r="D627" i="7"/>
  <c r="J626" i="7"/>
  <c r="I626" i="7"/>
  <c r="H626" i="7"/>
  <c r="G626" i="7"/>
  <c r="E626" i="7"/>
  <c r="D626" i="7"/>
  <c r="J625" i="7"/>
  <c r="I625" i="7"/>
  <c r="H625" i="7"/>
  <c r="G625" i="7"/>
  <c r="E625" i="7"/>
  <c r="D625" i="7"/>
  <c r="J624" i="7"/>
  <c r="I624" i="7"/>
  <c r="H624" i="7"/>
  <c r="G624" i="7"/>
  <c r="E624" i="7"/>
  <c r="D624" i="7"/>
  <c r="J623" i="7"/>
  <c r="D623" i="7"/>
  <c r="J622" i="7"/>
  <c r="I622" i="7"/>
  <c r="H622" i="7"/>
  <c r="G622" i="7"/>
  <c r="E622" i="7"/>
  <c r="D622" i="7"/>
  <c r="J621" i="7"/>
  <c r="D621" i="7"/>
  <c r="J620" i="7"/>
  <c r="I620" i="7"/>
  <c r="H620" i="7"/>
  <c r="G620" i="7"/>
  <c r="E620" i="7"/>
  <c r="D620" i="7"/>
  <c r="J619" i="7"/>
  <c r="I619" i="7"/>
  <c r="H619" i="7"/>
  <c r="G619" i="7"/>
  <c r="E619" i="7"/>
  <c r="D619" i="7"/>
  <c r="J618" i="7"/>
  <c r="D618" i="7"/>
  <c r="J617" i="7"/>
  <c r="D617" i="7"/>
  <c r="J616" i="7"/>
  <c r="D616" i="7"/>
  <c r="J615" i="7"/>
  <c r="I615" i="7"/>
  <c r="H615" i="7"/>
  <c r="G615" i="7"/>
  <c r="E615" i="7"/>
  <c r="D615" i="7"/>
  <c r="J614" i="7"/>
  <c r="I614" i="7"/>
  <c r="H614" i="7"/>
  <c r="G614" i="7"/>
  <c r="E614" i="7"/>
  <c r="D614" i="7"/>
  <c r="J613" i="7"/>
  <c r="D613" i="7"/>
  <c r="J612" i="7"/>
  <c r="I612" i="7"/>
  <c r="H612" i="7"/>
  <c r="G612" i="7"/>
  <c r="E612" i="7"/>
  <c r="D612" i="7"/>
  <c r="J611" i="7"/>
  <c r="D611" i="7"/>
  <c r="J610" i="7"/>
  <c r="I610" i="7"/>
  <c r="H610" i="7"/>
  <c r="G610" i="7"/>
  <c r="E610" i="7"/>
  <c r="D610" i="7"/>
  <c r="J609" i="7"/>
  <c r="I609" i="7"/>
  <c r="H609" i="7"/>
  <c r="G609" i="7"/>
  <c r="E609" i="7"/>
  <c r="D609" i="7"/>
  <c r="J608" i="7"/>
  <c r="I608" i="7"/>
  <c r="H608" i="7"/>
  <c r="G608" i="7"/>
  <c r="E608" i="7"/>
  <c r="D608" i="7"/>
  <c r="J607" i="7"/>
  <c r="D607" i="7"/>
  <c r="J606" i="7"/>
  <c r="D606" i="7"/>
  <c r="J605" i="7"/>
  <c r="I605" i="7"/>
  <c r="G605" i="7"/>
  <c r="E605" i="7"/>
  <c r="D605" i="7"/>
  <c r="J604" i="7"/>
  <c r="D604" i="7"/>
  <c r="J603" i="7"/>
  <c r="D603" i="7"/>
  <c r="J602" i="7"/>
  <c r="I602" i="7"/>
  <c r="H602" i="7"/>
  <c r="G602" i="7"/>
  <c r="E602" i="7"/>
  <c r="D602" i="7"/>
  <c r="J601" i="7"/>
  <c r="I601" i="7"/>
  <c r="H601" i="7"/>
  <c r="G601" i="7"/>
  <c r="E601" i="7"/>
  <c r="D601" i="7"/>
  <c r="J600" i="7"/>
  <c r="I600" i="7"/>
  <c r="H600" i="7"/>
  <c r="G600" i="7"/>
  <c r="E600" i="7"/>
  <c r="D600" i="7"/>
  <c r="J599" i="7"/>
  <c r="I599" i="7"/>
  <c r="H599" i="7"/>
  <c r="G599" i="7"/>
  <c r="E599" i="7"/>
  <c r="D599" i="7"/>
  <c r="J598" i="7"/>
  <c r="G598" i="7"/>
  <c r="E598" i="7"/>
  <c r="D598" i="7"/>
  <c r="J597" i="7"/>
  <c r="I597" i="7"/>
  <c r="H597" i="7"/>
  <c r="G597" i="7"/>
  <c r="E597" i="7"/>
  <c r="D597" i="7"/>
  <c r="J596" i="7"/>
  <c r="H596" i="7"/>
  <c r="G596" i="7"/>
  <c r="E596" i="7"/>
  <c r="D596" i="7"/>
  <c r="J595" i="7"/>
  <c r="I595" i="7"/>
  <c r="H595" i="7"/>
  <c r="G595" i="7"/>
  <c r="E595" i="7"/>
  <c r="D595" i="7"/>
  <c r="J594" i="7"/>
  <c r="I594" i="7"/>
  <c r="H594" i="7"/>
  <c r="G594" i="7"/>
  <c r="E594" i="7"/>
  <c r="D594" i="7"/>
  <c r="J593" i="7"/>
  <c r="I593" i="7"/>
  <c r="H593" i="7"/>
  <c r="G593" i="7"/>
  <c r="E593" i="7"/>
  <c r="D593" i="7"/>
  <c r="J592" i="7"/>
  <c r="I592" i="7"/>
  <c r="H592" i="7"/>
  <c r="G592" i="7"/>
  <c r="E592" i="7"/>
  <c r="D592" i="7"/>
  <c r="J591" i="7"/>
  <c r="I591" i="7"/>
  <c r="H591" i="7"/>
  <c r="G591" i="7"/>
  <c r="E591" i="7"/>
  <c r="D591" i="7"/>
  <c r="J590" i="7"/>
  <c r="I590" i="7"/>
  <c r="H590" i="7"/>
  <c r="G590" i="7"/>
  <c r="E590" i="7"/>
  <c r="D590" i="7"/>
  <c r="J589" i="7"/>
  <c r="D589" i="7"/>
  <c r="J588" i="7"/>
  <c r="I588" i="7"/>
  <c r="H588" i="7"/>
  <c r="G588" i="7"/>
  <c r="E588" i="7"/>
  <c r="D588" i="7"/>
  <c r="J587" i="7"/>
  <c r="I587" i="7"/>
  <c r="H587" i="7"/>
  <c r="G587" i="7"/>
  <c r="E587" i="7"/>
  <c r="D587" i="7"/>
  <c r="J586" i="7"/>
  <c r="I586" i="7"/>
  <c r="H586" i="7"/>
  <c r="G586" i="7"/>
  <c r="E586" i="7"/>
  <c r="D586" i="7"/>
  <c r="J585" i="7"/>
  <c r="I585" i="7"/>
  <c r="H585" i="7"/>
  <c r="G585" i="7"/>
  <c r="E585" i="7"/>
  <c r="D585" i="7"/>
  <c r="J584" i="7"/>
  <c r="I584" i="7"/>
  <c r="H584" i="7"/>
  <c r="G584" i="7"/>
  <c r="E584" i="7"/>
  <c r="D584" i="7"/>
  <c r="J583" i="7"/>
  <c r="I583" i="7"/>
  <c r="H583" i="7"/>
  <c r="G583" i="7"/>
  <c r="E583" i="7"/>
  <c r="D583" i="7"/>
  <c r="J582" i="7"/>
  <c r="I582" i="7"/>
  <c r="H582" i="7"/>
  <c r="G582" i="7"/>
  <c r="E582" i="7"/>
  <c r="D582" i="7"/>
  <c r="J581" i="7"/>
  <c r="I581" i="7"/>
  <c r="H581" i="7"/>
  <c r="G581" i="7"/>
  <c r="E581" i="7"/>
  <c r="D581" i="7"/>
  <c r="J580" i="7"/>
  <c r="I580" i="7"/>
  <c r="H580" i="7"/>
  <c r="G580" i="7"/>
  <c r="E580" i="7"/>
  <c r="D580" i="7"/>
  <c r="J579" i="7"/>
  <c r="H579" i="7"/>
  <c r="G579" i="7"/>
  <c r="E579" i="7"/>
  <c r="D579" i="7"/>
  <c r="J578" i="7"/>
  <c r="I578" i="7"/>
  <c r="H578" i="7"/>
  <c r="G578" i="7"/>
  <c r="E578" i="7"/>
  <c r="D578" i="7"/>
  <c r="J577" i="7"/>
  <c r="I577" i="7"/>
  <c r="H577" i="7"/>
  <c r="G577" i="7"/>
  <c r="E577" i="7"/>
  <c r="D577" i="7"/>
  <c r="J576" i="7"/>
  <c r="I576" i="7"/>
  <c r="H576" i="7"/>
  <c r="G576" i="7"/>
  <c r="E576" i="7"/>
  <c r="D576" i="7"/>
  <c r="J575" i="7"/>
  <c r="I575" i="7"/>
  <c r="H575" i="7"/>
  <c r="G575" i="7"/>
  <c r="E575" i="7"/>
  <c r="D575" i="7"/>
  <c r="J574" i="7"/>
  <c r="I574" i="7"/>
  <c r="H574" i="7"/>
  <c r="G574" i="7"/>
  <c r="E574" i="7"/>
  <c r="D574" i="7"/>
  <c r="J573" i="7"/>
  <c r="I573" i="7"/>
  <c r="H573" i="7"/>
  <c r="G573" i="7"/>
  <c r="E573" i="7"/>
  <c r="D573" i="7"/>
  <c r="J572" i="7"/>
  <c r="I572" i="7"/>
  <c r="H572" i="7"/>
  <c r="G572" i="7"/>
  <c r="E572" i="7"/>
  <c r="D572" i="7"/>
  <c r="J571" i="7"/>
  <c r="I571" i="7"/>
  <c r="H571" i="7"/>
  <c r="G571" i="7"/>
  <c r="E571" i="7"/>
  <c r="D571" i="7"/>
  <c r="J570" i="7"/>
  <c r="I570" i="7"/>
  <c r="H570" i="7"/>
  <c r="G570" i="7"/>
  <c r="E570" i="7"/>
  <c r="D570" i="7"/>
  <c r="J569" i="7"/>
  <c r="I569" i="7"/>
  <c r="H569" i="7"/>
  <c r="G569" i="7"/>
  <c r="E569" i="7"/>
  <c r="D569" i="7"/>
  <c r="J568" i="7"/>
  <c r="I568" i="7"/>
  <c r="H568" i="7"/>
  <c r="G568" i="7"/>
  <c r="E568" i="7"/>
  <c r="D568" i="7"/>
  <c r="J567" i="7"/>
  <c r="I567" i="7"/>
  <c r="H567" i="7"/>
  <c r="G567" i="7"/>
  <c r="E567" i="7"/>
  <c r="D567" i="7"/>
  <c r="J566" i="7"/>
  <c r="I566" i="7"/>
  <c r="H566" i="7"/>
  <c r="G566" i="7"/>
  <c r="E566" i="7"/>
  <c r="D566" i="7"/>
  <c r="J565" i="7"/>
  <c r="I565" i="7"/>
  <c r="H565" i="7"/>
  <c r="G565" i="7"/>
  <c r="E565" i="7"/>
  <c r="D565" i="7"/>
  <c r="J564" i="7"/>
  <c r="I564" i="7"/>
  <c r="H564" i="7"/>
  <c r="G564" i="7"/>
  <c r="E564" i="7"/>
  <c r="D564" i="7"/>
  <c r="J563" i="7"/>
  <c r="I563" i="7"/>
  <c r="H563" i="7"/>
  <c r="G563" i="7"/>
  <c r="E563" i="7"/>
  <c r="D563" i="7"/>
  <c r="J562" i="7"/>
  <c r="I562" i="7"/>
  <c r="H562" i="7"/>
  <c r="G562" i="7"/>
  <c r="E562" i="7"/>
  <c r="D562" i="7"/>
  <c r="J561" i="7"/>
  <c r="I561" i="7"/>
  <c r="H561" i="7"/>
  <c r="G561" i="7"/>
  <c r="E561" i="7"/>
  <c r="D561" i="7"/>
  <c r="J560" i="7"/>
  <c r="I560" i="7"/>
  <c r="H560" i="7"/>
  <c r="G560" i="7"/>
  <c r="E560" i="7"/>
  <c r="D560" i="7"/>
  <c r="J559" i="7"/>
  <c r="I559" i="7"/>
  <c r="H559" i="7"/>
  <c r="G559" i="7"/>
  <c r="E559" i="7"/>
  <c r="D559" i="7"/>
  <c r="J558" i="7"/>
  <c r="I558" i="7"/>
  <c r="H558" i="7"/>
  <c r="G558" i="7"/>
  <c r="E558" i="7"/>
  <c r="D558" i="7"/>
  <c r="J557" i="7"/>
  <c r="I557" i="7"/>
  <c r="H557" i="7"/>
  <c r="G557" i="7"/>
  <c r="E557" i="7"/>
  <c r="D557" i="7"/>
  <c r="J556" i="7"/>
  <c r="I556" i="7"/>
  <c r="H556" i="7"/>
  <c r="G556" i="7"/>
  <c r="E556" i="7"/>
  <c r="D556" i="7"/>
  <c r="J555" i="7"/>
  <c r="I555" i="7"/>
  <c r="G555" i="7"/>
  <c r="E555" i="7"/>
  <c r="D555" i="7"/>
  <c r="J554" i="7"/>
  <c r="I554" i="7"/>
  <c r="H554" i="7"/>
  <c r="G554" i="7"/>
  <c r="E554" i="7"/>
  <c r="D554" i="7"/>
  <c r="J553" i="7"/>
  <c r="I553" i="7"/>
  <c r="H553" i="7"/>
  <c r="G553" i="7"/>
  <c r="E553" i="7"/>
  <c r="D553" i="7"/>
  <c r="J552" i="7"/>
  <c r="D552" i="7"/>
  <c r="J551" i="7"/>
  <c r="I551" i="7"/>
  <c r="H551" i="7"/>
  <c r="G551" i="7"/>
  <c r="E551" i="7"/>
  <c r="D551" i="7"/>
  <c r="J550" i="7"/>
  <c r="I550" i="7"/>
  <c r="H550" i="7"/>
  <c r="G550" i="7"/>
  <c r="E550" i="7"/>
  <c r="D550" i="7"/>
  <c r="J549" i="7"/>
  <c r="H549" i="7"/>
  <c r="G549" i="7"/>
  <c r="E549" i="7"/>
  <c r="D549" i="7"/>
  <c r="J548" i="7"/>
  <c r="I548" i="7"/>
  <c r="H548" i="7"/>
  <c r="G548" i="7"/>
  <c r="E548" i="7"/>
  <c r="D548" i="7"/>
  <c r="J547" i="7"/>
  <c r="I547" i="7"/>
  <c r="H547" i="7"/>
  <c r="G547" i="7"/>
  <c r="E547" i="7"/>
  <c r="D547" i="7"/>
  <c r="J546" i="7"/>
  <c r="I546" i="7"/>
  <c r="H546" i="7"/>
  <c r="G546" i="7"/>
  <c r="E546" i="7"/>
  <c r="D546" i="7"/>
  <c r="J545" i="7"/>
  <c r="I545" i="7"/>
  <c r="H545" i="7"/>
  <c r="G545" i="7"/>
  <c r="E545" i="7"/>
  <c r="D545" i="7"/>
  <c r="J544" i="7"/>
  <c r="I544" i="7"/>
  <c r="H544" i="7"/>
  <c r="G544" i="7"/>
  <c r="E544" i="7"/>
  <c r="D544" i="7"/>
  <c r="J543" i="7"/>
  <c r="I543" i="7"/>
  <c r="H543" i="7"/>
  <c r="G543" i="7"/>
  <c r="E543" i="7"/>
  <c r="D543" i="7"/>
  <c r="J542" i="7"/>
  <c r="I542" i="7"/>
  <c r="H542" i="7"/>
  <c r="G542" i="7"/>
  <c r="E542" i="7"/>
  <c r="D542" i="7"/>
  <c r="J541" i="7"/>
  <c r="I541" i="7"/>
  <c r="H541" i="7"/>
  <c r="G541" i="7"/>
  <c r="E541" i="7"/>
  <c r="D541" i="7"/>
  <c r="J540" i="7"/>
  <c r="I540" i="7"/>
  <c r="H540" i="7"/>
  <c r="G540" i="7"/>
  <c r="E540" i="7"/>
  <c r="D540" i="7"/>
  <c r="J539" i="7"/>
  <c r="I539" i="7"/>
  <c r="H539" i="7"/>
  <c r="G539" i="7"/>
  <c r="E539" i="7"/>
  <c r="D539" i="7"/>
  <c r="J538" i="7"/>
  <c r="I538" i="7"/>
  <c r="H538" i="7"/>
  <c r="G538" i="7"/>
  <c r="E538" i="7"/>
  <c r="D538" i="7"/>
  <c r="J537" i="7"/>
  <c r="D537" i="7"/>
  <c r="J536" i="7"/>
  <c r="I536" i="7"/>
  <c r="H536" i="7"/>
  <c r="G536" i="7"/>
  <c r="E536" i="7"/>
  <c r="D536" i="7"/>
  <c r="J535" i="7"/>
  <c r="I535" i="7"/>
  <c r="H535" i="7"/>
  <c r="G535" i="7"/>
  <c r="E535" i="7"/>
  <c r="D535" i="7"/>
  <c r="J534" i="7"/>
  <c r="I534" i="7"/>
  <c r="H534" i="7"/>
  <c r="G534" i="7"/>
  <c r="E534" i="7"/>
  <c r="D534" i="7"/>
  <c r="J533" i="7"/>
  <c r="I533" i="7"/>
  <c r="H533" i="7"/>
  <c r="G533" i="7"/>
  <c r="E533" i="7"/>
  <c r="D533" i="7"/>
  <c r="J532" i="7"/>
  <c r="D532" i="7"/>
  <c r="J531" i="7"/>
  <c r="I531" i="7"/>
  <c r="H531" i="7"/>
  <c r="G531" i="7"/>
  <c r="E531" i="7"/>
  <c r="D531" i="7"/>
  <c r="J530" i="7"/>
  <c r="I530" i="7"/>
  <c r="H530" i="7"/>
  <c r="G530" i="7"/>
  <c r="E530" i="7"/>
  <c r="D530" i="7"/>
  <c r="J529" i="7"/>
  <c r="G529" i="7"/>
  <c r="E529" i="7"/>
  <c r="D529" i="7"/>
  <c r="J528" i="7"/>
  <c r="I528" i="7"/>
  <c r="H528" i="7"/>
  <c r="G528" i="7"/>
  <c r="E528" i="7"/>
  <c r="D528" i="7"/>
  <c r="J527" i="7"/>
  <c r="I527" i="7"/>
  <c r="H527" i="7"/>
  <c r="G527" i="7"/>
  <c r="E527" i="7"/>
  <c r="D527" i="7"/>
  <c r="J526" i="7"/>
  <c r="I526" i="7"/>
  <c r="H526" i="7"/>
  <c r="G526" i="7"/>
  <c r="E526" i="7"/>
  <c r="D526" i="7"/>
  <c r="J525" i="7"/>
  <c r="I525" i="7"/>
  <c r="H525" i="7"/>
  <c r="G525" i="7"/>
  <c r="E525" i="7"/>
  <c r="D525" i="7"/>
  <c r="J524" i="7"/>
  <c r="H524" i="7"/>
  <c r="G524" i="7"/>
  <c r="E524" i="7"/>
  <c r="D524" i="7"/>
  <c r="J523" i="7"/>
  <c r="H523" i="7"/>
  <c r="G523" i="7"/>
  <c r="E523" i="7"/>
  <c r="D523" i="7"/>
  <c r="J522" i="7"/>
  <c r="I522" i="7"/>
  <c r="H522" i="7"/>
  <c r="G522" i="7"/>
  <c r="E522" i="7"/>
  <c r="D522" i="7"/>
  <c r="J521" i="7"/>
  <c r="I521" i="7"/>
  <c r="H521" i="7"/>
  <c r="G521" i="7"/>
  <c r="E521" i="7"/>
  <c r="D521" i="7"/>
  <c r="J520" i="7"/>
  <c r="I520" i="7"/>
  <c r="H520" i="7"/>
  <c r="G520" i="7"/>
  <c r="E520" i="7"/>
  <c r="D520" i="7"/>
  <c r="J519" i="7"/>
  <c r="I519" i="7"/>
  <c r="H519" i="7"/>
  <c r="G519" i="7"/>
  <c r="E519" i="7"/>
  <c r="D519" i="7"/>
  <c r="J518" i="7"/>
  <c r="I518" i="7"/>
  <c r="H518" i="7"/>
  <c r="G518" i="7"/>
  <c r="E518" i="7"/>
  <c r="D518" i="7"/>
  <c r="J517" i="7"/>
  <c r="I517" i="7"/>
  <c r="H517" i="7"/>
  <c r="G517" i="7"/>
  <c r="E517" i="7"/>
  <c r="D517" i="7"/>
  <c r="J516" i="7"/>
  <c r="I516" i="7"/>
  <c r="H516" i="7"/>
  <c r="G516" i="7"/>
  <c r="E516" i="7"/>
  <c r="D516" i="7"/>
  <c r="J515" i="7"/>
  <c r="D515" i="7"/>
  <c r="J514" i="7"/>
  <c r="I514" i="7"/>
  <c r="H514" i="7"/>
  <c r="G514" i="7"/>
  <c r="E514" i="7"/>
  <c r="D514" i="7"/>
  <c r="J513" i="7"/>
  <c r="I513" i="7"/>
  <c r="H513" i="7"/>
  <c r="G513" i="7"/>
  <c r="E513" i="7"/>
  <c r="D513" i="7"/>
  <c r="J512" i="7"/>
  <c r="I512" i="7"/>
  <c r="H512" i="7"/>
  <c r="G512" i="7"/>
  <c r="E512" i="7"/>
  <c r="D512" i="7"/>
  <c r="J511" i="7"/>
  <c r="I511" i="7"/>
  <c r="H511" i="7"/>
  <c r="G511" i="7"/>
  <c r="E511" i="7"/>
  <c r="D511" i="7"/>
  <c r="J510" i="7"/>
  <c r="I510" i="7"/>
  <c r="H510" i="7"/>
  <c r="G510" i="7"/>
  <c r="E510" i="7"/>
  <c r="D510" i="7"/>
  <c r="J509" i="7"/>
  <c r="I509" i="7"/>
  <c r="H509" i="7"/>
  <c r="G509" i="7"/>
  <c r="E509" i="7"/>
  <c r="D509" i="7"/>
  <c r="J508" i="7"/>
  <c r="D508" i="7"/>
  <c r="J507" i="7"/>
  <c r="I507" i="7"/>
  <c r="H507" i="7"/>
  <c r="G507" i="7"/>
  <c r="E507" i="7"/>
  <c r="D507" i="7"/>
  <c r="J506" i="7"/>
  <c r="I506" i="7"/>
  <c r="H506" i="7"/>
  <c r="G506" i="7"/>
  <c r="E506" i="7"/>
  <c r="D506" i="7"/>
  <c r="J505" i="7"/>
  <c r="I505" i="7"/>
  <c r="H505" i="7"/>
  <c r="G505" i="7"/>
  <c r="E505" i="7"/>
  <c r="D505" i="7"/>
  <c r="J504" i="7"/>
  <c r="I504" i="7"/>
  <c r="H504" i="7"/>
  <c r="G504" i="7"/>
  <c r="E504" i="7"/>
  <c r="D504" i="7"/>
  <c r="J503" i="7"/>
  <c r="I503" i="7"/>
  <c r="H503" i="7"/>
  <c r="G503" i="7"/>
  <c r="E503" i="7"/>
  <c r="D503" i="7"/>
  <c r="J502" i="7"/>
  <c r="I502" i="7"/>
  <c r="H502" i="7"/>
  <c r="G502" i="7"/>
  <c r="E502" i="7"/>
  <c r="D502" i="7"/>
  <c r="J501" i="7"/>
  <c r="I501" i="7"/>
  <c r="H501" i="7"/>
  <c r="G501" i="7"/>
  <c r="E501" i="7"/>
  <c r="D501" i="7"/>
  <c r="J500" i="7"/>
  <c r="I500" i="7"/>
  <c r="H500" i="7"/>
  <c r="G500" i="7"/>
  <c r="E500" i="7"/>
  <c r="D500" i="7"/>
  <c r="J499" i="7"/>
  <c r="I499" i="7"/>
  <c r="H499" i="7"/>
  <c r="G499" i="7"/>
  <c r="E499" i="7"/>
  <c r="D499" i="7"/>
  <c r="J498" i="7"/>
  <c r="I498" i="7"/>
  <c r="H498" i="7"/>
  <c r="G498" i="7"/>
  <c r="E498" i="7"/>
  <c r="D498" i="7"/>
  <c r="J497" i="7"/>
  <c r="I497" i="7"/>
  <c r="H497" i="7"/>
  <c r="G497" i="7"/>
  <c r="E497" i="7"/>
  <c r="D497" i="7"/>
  <c r="J496" i="7"/>
  <c r="I496" i="7"/>
  <c r="H496" i="7"/>
  <c r="G496" i="7"/>
  <c r="E496" i="7"/>
  <c r="D496" i="7"/>
  <c r="J495" i="7"/>
  <c r="I495" i="7"/>
  <c r="H495" i="7"/>
  <c r="G495" i="7"/>
  <c r="E495" i="7"/>
  <c r="D495" i="7"/>
  <c r="J494" i="7"/>
  <c r="I494" i="7"/>
  <c r="H494" i="7"/>
  <c r="G494" i="7"/>
  <c r="E494" i="7"/>
  <c r="D494" i="7"/>
  <c r="J493" i="7"/>
  <c r="I493" i="7"/>
  <c r="H493" i="7"/>
  <c r="G493" i="7"/>
  <c r="E493" i="7"/>
  <c r="D493" i="7"/>
  <c r="J492" i="7"/>
  <c r="I492" i="7"/>
  <c r="H492" i="7"/>
  <c r="G492" i="7"/>
  <c r="E492" i="7"/>
  <c r="D492" i="7"/>
  <c r="J491" i="7"/>
  <c r="I491" i="7"/>
  <c r="H491" i="7"/>
  <c r="G491" i="7"/>
  <c r="E491" i="7"/>
  <c r="D491" i="7"/>
  <c r="J490" i="7"/>
  <c r="I490" i="7"/>
  <c r="H490" i="7"/>
  <c r="G490" i="7"/>
  <c r="E490" i="7"/>
  <c r="D490" i="7"/>
  <c r="J489" i="7"/>
  <c r="I489" i="7"/>
  <c r="H489" i="7"/>
  <c r="G489" i="7"/>
  <c r="E489" i="7"/>
  <c r="D489" i="7"/>
  <c r="J488" i="7"/>
  <c r="I488" i="7"/>
  <c r="H488" i="7"/>
  <c r="G488" i="7"/>
  <c r="E488" i="7"/>
  <c r="D488" i="7"/>
  <c r="J487" i="7"/>
  <c r="I487" i="7"/>
  <c r="H487" i="7"/>
  <c r="G487" i="7"/>
  <c r="E487" i="7"/>
  <c r="D487" i="7"/>
  <c r="J486" i="7"/>
  <c r="I486" i="7"/>
  <c r="H486" i="7"/>
  <c r="G486" i="7"/>
  <c r="E486" i="7"/>
  <c r="D486" i="7"/>
  <c r="J485" i="7"/>
  <c r="I485" i="7"/>
  <c r="H485" i="7"/>
  <c r="G485" i="7"/>
  <c r="E485" i="7"/>
  <c r="D485" i="7"/>
  <c r="J484" i="7"/>
  <c r="I484" i="7"/>
  <c r="H484" i="7"/>
  <c r="G484" i="7"/>
  <c r="E484" i="7"/>
  <c r="D484" i="7"/>
  <c r="J483" i="7"/>
  <c r="I483" i="7"/>
  <c r="H483" i="7"/>
  <c r="G483" i="7"/>
  <c r="E483" i="7"/>
  <c r="D483" i="7"/>
  <c r="J482" i="7"/>
  <c r="I482" i="7"/>
  <c r="H482" i="7"/>
  <c r="G482" i="7"/>
  <c r="E482" i="7"/>
  <c r="D482" i="7"/>
  <c r="J481" i="7"/>
  <c r="I481" i="7"/>
  <c r="H481" i="7"/>
  <c r="G481" i="7"/>
  <c r="E481" i="7"/>
  <c r="D481" i="7"/>
  <c r="J480" i="7"/>
  <c r="I480" i="7"/>
  <c r="H480" i="7"/>
  <c r="G480" i="7"/>
  <c r="E480" i="7"/>
  <c r="D480" i="7"/>
  <c r="J479" i="7"/>
  <c r="I479" i="7"/>
  <c r="H479" i="7"/>
  <c r="G479" i="7"/>
  <c r="E479" i="7"/>
  <c r="D479" i="7"/>
  <c r="J478" i="7"/>
  <c r="I478" i="7"/>
  <c r="H478" i="7"/>
  <c r="G478" i="7"/>
  <c r="E478" i="7"/>
  <c r="D478" i="7"/>
  <c r="J477" i="7"/>
  <c r="I477" i="7"/>
  <c r="H477" i="7"/>
  <c r="G477" i="7"/>
  <c r="E477" i="7"/>
  <c r="D477" i="7"/>
  <c r="J476" i="7"/>
  <c r="I476" i="7"/>
  <c r="H476" i="7"/>
  <c r="G476" i="7"/>
  <c r="E476" i="7"/>
  <c r="D476" i="7"/>
  <c r="J475" i="7"/>
  <c r="I475" i="7"/>
  <c r="H475" i="7"/>
  <c r="G475" i="7"/>
  <c r="E475" i="7"/>
  <c r="D475" i="7"/>
  <c r="J474" i="7"/>
  <c r="I474" i="7"/>
  <c r="H474" i="7"/>
  <c r="G474" i="7"/>
  <c r="E474" i="7"/>
  <c r="D474" i="7"/>
  <c r="J473" i="7"/>
  <c r="H473" i="7"/>
  <c r="G473" i="7"/>
  <c r="E473" i="7"/>
  <c r="D473" i="7"/>
  <c r="J472" i="7"/>
  <c r="I472" i="7"/>
  <c r="H472" i="7"/>
  <c r="G472" i="7"/>
  <c r="E472" i="7"/>
  <c r="D472" i="7"/>
  <c r="J471" i="7"/>
  <c r="I471" i="7"/>
  <c r="H471" i="7"/>
  <c r="G471" i="7"/>
  <c r="E471" i="7"/>
  <c r="D471" i="7"/>
  <c r="J470" i="7"/>
  <c r="I470" i="7"/>
  <c r="H470" i="7"/>
  <c r="G470" i="7"/>
  <c r="E470" i="7"/>
  <c r="D470" i="7"/>
  <c r="J469" i="7"/>
  <c r="I469" i="7"/>
  <c r="H469" i="7"/>
  <c r="G469" i="7"/>
  <c r="E469" i="7"/>
  <c r="D469" i="7"/>
  <c r="J468" i="7"/>
  <c r="I468" i="7"/>
  <c r="H468" i="7"/>
  <c r="G468" i="7"/>
  <c r="E468" i="7"/>
  <c r="D468" i="7"/>
  <c r="J467" i="7"/>
  <c r="I467" i="7"/>
  <c r="H467" i="7"/>
  <c r="G467" i="7"/>
  <c r="E467" i="7"/>
  <c r="D467" i="7"/>
  <c r="J466" i="7"/>
  <c r="I466" i="7"/>
  <c r="H466" i="7"/>
  <c r="G466" i="7"/>
  <c r="E466" i="7"/>
  <c r="D466" i="7"/>
  <c r="J465" i="7"/>
  <c r="I465" i="7"/>
  <c r="H465" i="7"/>
  <c r="G465" i="7"/>
  <c r="E465" i="7"/>
  <c r="D465" i="7"/>
  <c r="J464" i="7"/>
  <c r="I464" i="7"/>
  <c r="H464" i="7"/>
  <c r="G464" i="7"/>
  <c r="E464" i="7"/>
  <c r="D464" i="7"/>
  <c r="J463" i="7"/>
  <c r="I463" i="7"/>
  <c r="H463" i="7"/>
  <c r="G463" i="7"/>
  <c r="E463" i="7"/>
  <c r="D463" i="7"/>
  <c r="J462" i="7"/>
  <c r="H462" i="7"/>
  <c r="G462" i="7"/>
  <c r="E462" i="7"/>
  <c r="D462" i="7"/>
  <c r="J461" i="7"/>
  <c r="I461" i="7"/>
  <c r="H461" i="7"/>
  <c r="G461" i="7"/>
  <c r="E461" i="7"/>
  <c r="D461" i="7"/>
  <c r="J460" i="7"/>
  <c r="I460" i="7"/>
  <c r="H460" i="7"/>
  <c r="G460" i="7"/>
  <c r="E460" i="7"/>
  <c r="D460" i="7"/>
  <c r="J459" i="7"/>
  <c r="I459" i="7"/>
  <c r="H459" i="7"/>
  <c r="G459" i="7"/>
  <c r="E459" i="7"/>
  <c r="D459" i="7"/>
  <c r="J458" i="7"/>
  <c r="I458" i="7"/>
  <c r="H458" i="7"/>
  <c r="G458" i="7"/>
  <c r="E458" i="7"/>
  <c r="D458" i="7"/>
  <c r="J457" i="7"/>
  <c r="I457" i="7"/>
  <c r="H457" i="7"/>
  <c r="G457" i="7"/>
  <c r="E457" i="7"/>
  <c r="D457" i="7"/>
  <c r="J456" i="7"/>
  <c r="I456" i="7"/>
  <c r="H456" i="7"/>
  <c r="G456" i="7"/>
  <c r="E456" i="7"/>
  <c r="D456" i="7"/>
  <c r="J455" i="7"/>
  <c r="I455" i="7"/>
  <c r="H455" i="7"/>
  <c r="G455" i="7"/>
  <c r="E455" i="7"/>
  <c r="D455" i="7"/>
  <c r="J454" i="7"/>
  <c r="I454" i="7"/>
  <c r="H454" i="7"/>
  <c r="G454" i="7"/>
  <c r="E454" i="7"/>
  <c r="D454" i="7"/>
  <c r="J453" i="7"/>
  <c r="I453" i="7"/>
  <c r="H453" i="7"/>
  <c r="G453" i="7"/>
  <c r="E453" i="7"/>
  <c r="D453" i="7"/>
  <c r="J452" i="7"/>
  <c r="G452" i="7"/>
  <c r="E452" i="7"/>
  <c r="D452" i="7"/>
  <c r="J451" i="7"/>
  <c r="G451" i="7"/>
  <c r="E451" i="7"/>
  <c r="D451" i="7"/>
  <c r="J450" i="7"/>
  <c r="H450" i="7"/>
  <c r="G450" i="7"/>
  <c r="E450" i="7"/>
  <c r="D450" i="7"/>
  <c r="J449" i="7"/>
  <c r="I449" i="7"/>
  <c r="H449" i="7"/>
  <c r="G449" i="7"/>
  <c r="E449" i="7"/>
  <c r="D449" i="7"/>
  <c r="J448" i="7"/>
  <c r="I448" i="7"/>
  <c r="H448" i="7"/>
  <c r="G448" i="7"/>
  <c r="E448" i="7"/>
  <c r="D448" i="7"/>
  <c r="J447" i="7"/>
  <c r="I447" i="7"/>
  <c r="H447" i="7"/>
  <c r="G447" i="7"/>
  <c r="E447" i="7"/>
  <c r="D447" i="7"/>
  <c r="J446" i="7"/>
  <c r="I446" i="7"/>
  <c r="H446" i="7"/>
  <c r="G446" i="7"/>
  <c r="E446" i="7"/>
  <c r="D446" i="7"/>
  <c r="J445" i="7"/>
  <c r="I445" i="7"/>
  <c r="H445" i="7"/>
  <c r="G445" i="7"/>
  <c r="E445" i="7"/>
  <c r="D445" i="7"/>
  <c r="J444" i="7"/>
  <c r="I444" i="7"/>
  <c r="H444" i="7"/>
  <c r="G444" i="7"/>
  <c r="E444" i="7"/>
  <c r="D444" i="7"/>
  <c r="J443" i="7"/>
  <c r="I443" i="7"/>
  <c r="H443" i="7"/>
  <c r="G443" i="7"/>
  <c r="E443" i="7"/>
  <c r="D443" i="7"/>
  <c r="J442" i="7"/>
  <c r="I442" i="7"/>
  <c r="H442" i="7"/>
  <c r="G442" i="7"/>
  <c r="E442" i="7"/>
  <c r="D442" i="7"/>
  <c r="J441" i="7"/>
  <c r="I441" i="7"/>
  <c r="H441" i="7"/>
  <c r="G441" i="7"/>
  <c r="E441" i="7"/>
  <c r="D441" i="7"/>
  <c r="J440" i="7"/>
  <c r="I440" i="7"/>
  <c r="H440" i="7"/>
  <c r="G440" i="7"/>
  <c r="E440" i="7"/>
  <c r="D440" i="7"/>
  <c r="J439" i="7"/>
  <c r="I439" i="7"/>
  <c r="H439" i="7"/>
  <c r="G439" i="7"/>
  <c r="E439" i="7"/>
  <c r="D439" i="7"/>
  <c r="J438" i="7"/>
  <c r="I438" i="7"/>
  <c r="H438" i="7"/>
  <c r="G438" i="7"/>
  <c r="E438" i="7"/>
  <c r="D438" i="7"/>
  <c r="J437" i="7"/>
  <c r="I437" i="7"/>
  <c r="H437" i="7"/>
  <c r="G437" i="7"/>
  <c r="E437" i="7"/>
  <c r="D437" i="7"/>
  <c r="J436" i="7"/>
  <c r="I436" i="7"/>
  <c r="H436" i="7"/>
  <c r="G436" i="7"/>
  <c r="E436" i="7"/>
  <c r="D436" i="7"/>
  <c r="J435" i="7"/>
  <c r="I435" i="7"/>
  <c r="H435" i="7"/>
  <c r="G435" i="7"/>
  <c r="E435" i="7"/>
  <c r="D435" i="7"/>
  <c r="J434" i="7"/>
  <c r="I434" i="7"/>
  <c r="H434" i="7"/>
  <c r="G434" i="7"/>
  <c r="E434" i="7"/>
  <c r="D434" i="7"/>
  <c r="J433" i="7"/>
  <c r="I433" i="7"/>
  <c r="H433" i="7"/>
  <c r="G433" i="7"/>
  <c r="E433" i="7"/>
  <c r="D433" i="7"/>
  <c r="J432" i="7"/>
  <c r="I432" i="7"/>
  <c r="H432" i="7"/>
  <c r="G432" i="7"/>
  <c r="E432" i="7"/>
  <c r="D432" i="7"/>
  <c r="J431" i="7"/>
  <c r="I431" i="7"/>
  <c r="H431" i="7"/>
  <c r="G431" i="7"/>
  <c r="E431" i="7"/>
  <c r="D431" i="7"/>
  <c r="J430" i="7"/>
  <c r="I430" i="7"/>
  <c r="H430" i="7"/>
  <c r="G430" i="7"/>
  <c r="E430" i="7"/>
  <c r="D430" i="7"/>
  <c r="J429" i="7"/>
  <c r="I429" i="7"/>
  <c r="H429" i="7"/>
  <c r="G429" i="7"/>
  <c r="E429" i="7"/>
  <c r="D429" i="7"/>
  <c r="J428" i="7"/>
  <c r="I428" i="7"/>
  <c r="H428" i="7"/>
  <c r="G428" i="7"/>
  <c r="E428" i="7"/>
  <c r="D428" i="7"/>
  <c r="J427" i="7"/>
  <c r="I427" i="7"/>
  <c r="H427" i="7"/>
  <c r="G427" i="7"/>
  <c r="E427" i="7"/>
  <c r="D427" i="7"/>
  <c r="J426" i="7"/>
  <c r="I426" i="7"/>
  <c r="H426" i="7"/>
  <c r="G426" i="7"/>
  <c r="E426" i="7"/>
  <c r="D426" i="7"/>
  <c r="J425" i="7"/>
  <c r="I425" i="7"/>
  <c r="H425" i="7"/>
  <c r="G425" i="7"/>
  <c r="E425" i="7"/>
  <c r="D425" i="7"/>
  <c r="J424" i="7"/>
  <c r="I424" i="7"/>
  <c r="H424" i="7"/>
  <c r="G424" i="7"/>
  <c r="E424" i="7"/>
  <c r="D424" i="7"/>
  <c r="J423" i="7"/>
  <c r="I423" i="7"/>
  <c r="H423" i="7"/>
  <c r="G423" i="7"/>
  <c r="E423" i="7"/>
  <c r="D423" i="7"/>
  <c r="J422" i="7"/>
  <c r="I422" i="7"/>
  <c r="H422" i="7"/>
  <c r="G422" i="7"/>
  <c r="E422" i="7"/>
  <c r="D422" i="7"/>
  <c r="J421" i="7"/>
  <c r="I421" i="7"/>
  <c r="H421" i="7"/>
  <c r="G421" i="7"/>
  <c r="E421" i="7"/>
  <c r="D421" i="7"/>
  <c r="J420" i="7"/>
  <c r="I420" i="7"/>
  <c r="H420" i="7"/>
  <c r="G420" i="7"/>
  <c r="E420" i="7"/>
  <c r="D420" i="7"/>
  <c r="J419" i="7"/>
  <c r="I419" i="7"/>
  <c r="H419" i="7"/>
  <c r="G419" i="7"/>
  <c r="E419" i="7"/>
  <c r="D419" i="7"/>
  <c r="J418" i="7"/>
  <c r="I418" i="7"/>
  <c r="H418" i="7"/>
  <c r="G418" i="7"/>
  <c r="E418" i="7"/>
  <c r="D418" i="7"/>
  <c r="J417" i="7"/>
  <c r="I417" i="7"/>
  <c r="H417" i="7"/>
  <c r="G417" i="7"/>
  <c r="E417" i="7"/>
  <c r="D417" i="7"/>
  <c r="J416" i="7"/>
  <c r="I416" i="7"/>
  <c r="H416" i="7"/>
  <c r="G416" i="7"/>
  <c r="E416" i="7"/>
  <c r="D416" i="7"/>
  <c r="J415" i="7"/>
  <c r="I415" i="7"/>
  <c r="H415" i="7"/>
  <c r="G415" i="7"/>
  <c r="E415" i="7"/>
  <c r="D415" i="7"/>
  <c r="J414" i="7"/>
  <c r="I414" i="7"/>
  <c r="H414" i="7"/>
  <c r="G414" i="7"/>
  <c r="E414" i="7"/>
  <c r="D414" i="7"/>
  <c r="J413" i="7"/>
  <c r="I413" i="7"/>
  <c r="H413" i="7"/>
  <c r="G413" i="7"/>
  <c r="E413" i="7"/>
  <c r="D413" i="7"/>
  <c r="J412" i="7"/>
  <c r="I412" i="7"/>
  <c r="H412" i="7"/>
  <c r="G412" i="7"/>
  <c r="E412" i="7"/>
  <c r="D412" i="7"/>
  <c r="J411" i="7"/>
  <c r="I411" i="7"/>
  <c r="H411" i="7"/>
  <c r="G411" i="7"/>
  <c r="E411" i="7"/>
  <c r="D411" i="7"/>
  <c r="J410" i="7"/>
  <c r="I410" i="7"/>
  <c r="H410" i="7"/>
  <c r="G410" i="7"/>
  <c r="E410" i="7"/>
  <c r="D410" i="7"/>
  <c r="J409" i="7"/>
  <c r="I409" i="7"/>
  <c r="H409" i="7"/>
  <c r="G409" i="7"/>
  <c r="E409" i="7"/>
  <c r="D409" i="7"/>
  <c r="J408" i="7"/>
  <c r="I408" i="7"/>
  <c r="H408" i="7"/>
  <c r="G408" i="7"/>
  <c r="E408" i="7"/>
  <c r="D408" i="7"/>
  <c r="J407" i="7"/>
  <c r="I407" i="7"/>
  <c r="H407" i="7"/>
  <c r="G407" i="7"/>
  <c r="E407" i="7"/>
  <c r="D407" i="7"/>
  <c r="J406" i="7"/>
  <c r="I406" i="7"/>
  <c r="H406" i="7"/>
  <c r="G406" i="7"/>
  <c r="E406" i="7"/>
  <c r="D406" i="7"/>
  <c r="J405" i="7"/>
  <c r="I405" i="7"/>
  <c r="H405" i="7"/>
  <c r="G405" i="7"/>
  <c r="E405" i="7"/>
  <c r="D405" i="7"/>
  <c r="J404" i="7"/>
  <c r="I404" i="7"/>
  <c r="H404" i="7"/>
  <c r="G404" i="7"/>
  <c r="E404" i="7"/>
  <c r="D404" i="7"/>
  <c r="J403" i="7"/>
  <c r="I403" i="7"/>
  <c r="H403" i="7"/>
  <c r="G403" i="7"/>
  <c r="E403" i="7"/>
  <c r="D403" i="7"/>
  <c r="J402" i="7"/>
  <c r="I402" i="7"/>
  <c r="H402" i="7"/>
  <c r="G402" i="7"/>
  <c r="E402" i="7"/>
  <c r="D402" i="7"/>
  <c r="J401" i="7"/>
  <c r="I401" i="7"/>
  <c r="H401" i="7"/>
  <c r="G401" i="7"/>
  <c r="E401" i="7"/>
  <c r="D401" i="7"/>
  <c r="J400" i="7"/>
  <c r="I400" i="7"/>
  <c r="H400" i="7"/>
  <c r="G400" i="7"/>
  <c r="E400" i="7"/>
  <c r="D400" i="7"/>
  <c r="J399" i="7"/>
  <c r="I399" i="7"/>
  <c r="H399" i="7"/>
  <c r="G399" i="7"/>
  <c r="E399" i="7"/>
  <c r="D399" i="7"/>
  <c r="J398" i="7"/>
  <c r="I398" i="7"/>
  <c r="H398" i="7"/>
  <c r="G398" i="7"/>
  <c r="E398" i="7"/>
  <c r="D398" i="7"/>
  <c r="J397" i="7"/>
  <c r="I397" i="7"/>
  <c r="D397" i="7"/>
  <c r="J396" i="7"/>
  <c r="I396" i="7"/>
  <c r="H396" i="7"/>
  <c r="G396" i="7"/>
  <c r="E396" i="7"/>
  <c r="D396" i="7"/>
  <c r="J395" i="7"/>
  <c r="I395" i="7"/>
  <c r="H395" i="7"/>
  <c r="G395" i="7"/>
  <c r="E395" i="7"/>
  <c r="D395" i="7"/>
  <c r="J394" i="7"/>
  <c r="I394" i="7"/>
  <c r="H394" i="7"/>
  <c r="G394" i="7"/>
  <c r="E394" i="7"/>
  <c r="D394" i="7"/>
  <c r="J393" i="7"/>
  <c r="D393" i="7"/>
  <c r="J392" i="7"/>
  <c r="D392" i="7"/>
  <c r="J391" i="7"/>
  <c r="I391" i="7"/>
  <c r="H391" i="7"/>
  <c r="D391" i="7"/>
  <c r="J390" i="7"/>
  <c r="I390" i="7"/>
  <c r="H390" i="7"/>
  <c r="G390" i="7"/>
  <c r="E390" i="7"/>
  <c r="D390" i="7"/>
  <c r="J389" i="7"/>
  <c r="I389" i="7"/>
  <c r="H389" i="7"/>
  <c r="G389" i="7"/>
  <c r="E389" i="7"/>
  <c r="D389" i="7"/>
  <c r="J388" i="7"/>
  <c r="I388" i="7"/>
  <c r="D388" i="7"/>
  <c r="J387" i="7"/>
  <c r="I387" i="7"/>
  <c r="H387" i="7"/>
  <c r="G387" i="7"/>
  <c r="D387" i="7"/>
  <c r="J386" i="7"/>
  <c r="I386" i="7"/>
  <c r="H386" i="7"/>
  <c r="G386" i="7"/>
  <c r="E386" i="7"/>
  <c r="D386" i="7"/>
  <c r="J385" i="7"/>
  <c r="I385" i="7"/>
  <c r="H385" i="7"/>
  <c r="G385" i="7"/>
  <c r="E385" i="7"/>
  <c r="D385" i="7"/>
  <c r="J384" i="7"/>
  <c r="I384" i="7"/>
  <c r="H384" i="7"/>
  <c r="G384" i="7"/>
  <c r="E384" i="7"/>
  <c r="D384" i="7"/>
  <c r="J383" i="7"/>
  <c r="I383" i="7"/>
  <c r="H383" i="7"/>
  <c r="G383" i="7"/>
  <c r="E383" i="7"/>
  <c r="D383" i="7"/>
  <c r="J382" i="7"/>
  <c r="I382" i="7"/>
  <c r="H382" i="7"/>
  <c r="G382" i="7"/>
  <c r="E382" i="7"/>
  <c r="D382" i="7"/>
  <c r="J381" i="7"/>
  <c r="I381" i="7"/>
  <c r="H381" i="7"/>
  <c r="G381" i="7"/>
  <c r="E381" i="7"/>
  <c r="D381" i="7"/>
  <c r="J380" i="7"/>
  <c r="I380" i="7"/>
  <c r="H380" i="7"/>
  <c r="G380" i="7"/>
  <c r="E380" i="7"/>
  <c r="D380" i="7"/>
  <c r="J379" i="7"/>
  <c r="I379" i="7"/>
  <c r="H379" i="7"/>
  <c r="G379" i="7"/>
  <c r="E379" i="7"/>
  <c r="D379" i="7"/>
  <c r="J378" i="7"/>
  <c r="I378" i="7"/>
  <c r="H378" i="7"/>
  <c r="G378" i="7"/>
  <c r="E378" i="7"/>
  <c r="D378" i="7"/>
  <c r="J377" i="7"/>
  <c r="I377" i="7"/>
  <c r="H377" i="7"/>
  <c r="G377" i="7"/>
  <c r="E377" i="7"/>
  <c r="D377" i="7"/>
  <c r="J376" i="7"/>
  <c r="I376" i="7"/>
  <c r="H376" i="7"/>
  <c r="G376" i="7"/>
  <c r="E376" i="7"/>
  <c r="D376" i="7"/>
  <c r="J375" i="7"/>
  <c r="D375" i="7"/>
  <c r="J374" i="7"/>
  <c r="I374" i="7"/>
  <c r="H374" i="7"/>
  <c r="G374" i="7"/>
  <c r="E374" i="7"/>
  <c r="D374" i="7"/>
  <c r="J373" i="7"/>
  <c r="I373" i="7"/>
  <c r="H373" i="7"/>
  <c r="G373" i="7"/>
  <c r="E373" i="7"/>
  <c r="D373" i="7"/>
  <c r="J372" i="7"/>
  <c r="I372" i="7"/>
  <c r="H372" i="7"/>
  <c r="G372" i="7"/>
  <c r="E372" i="7"/>
  <c r="D372" i="7"/>
  <c r="J371" i="7"/>
  <c r="I371" i="7"/>
  <c r="H371" i="7"/>
  <c r="G371" i="7"/>
  <c r="E371" i="7"/>
  <c r="D371" i="7"/>
  <c r="J370" i="7"/>
  <c r="I370" i="7"/>
  <c r="H370" i="7"/>
  <c r="G370" i="7"/>
  <c r="E370" i="7"/>
  <c r="D370" i="7"/>
  <c r="J369" i="7"/>
  <c r="I369" i="7"/>
  <c r="H369" i="7"/>
  <c r="G369" i="7"/>
  <c r="E369" i="7"/>
  <c r="D369" i="7"/>
  <c r="J368" i="7"/>
  <c r="I368" i="7"/>
  <c r="H368" i="7"/>
  <c r="G368" i="7"/>
  <c r="E368" i="7"/>
  <c r="D368" i="7"/>
  <c r="J367" i="7"/>
  <c r="I367" i="7"/>
  <c r="H367" i="7"/>
  <c r="G367" i="7"/>
  <c r="E367" i="7"/>
  <c r="D367" i="7"/>
  <c r="J366" i="7"/>
  <c r="I366" i="7"/>
  <c r="H366" i="7"/>
  <c r="G366" i="7"/>
  <c r="E366" i="7"/>
  <c r="D366" i="7"/>
  <c r="J365" i="7"/>
  <c r="D365" i="7"/>
  <c r="J364" i="7"/>
  <c r="I364" i="7"/>
  <c r="H364" i="7"/>
  <c r="G364" i="7"/>
  <c r="E364" i="7"/>
  <c r="D364" i="7"/>
  <c r="J363" i="7"/>
  <c r="I363" i="7"/>
  <c r="H363" i="7"/>
  <c r="G363" i="7"/>
  <c r="E363" i="7"/>
  <c r="D363" i="7"/>
  <c r="J362" i="7"/>
  <c r="I362" i="7"/>
  <c r="H362" i="7"/>
  <c r="G362" i="7"/>
  <c r="E362" i="7"/>
  <c r="D362" i="7"/>
  <c r="J361" i="7"/>
  <c r="I361" i="7"/>
  <c r="H361" i="7"/>
  <c r="G361" i="7"/>
  <c r="E361" i="7"/>
  <c r="D361" i="7"/>
  <c r="J360" i="7"/>
  <c r="I360" i="7"/>
  <c r="H360" i="7"/>
  <c r="G360" i="7"/>
  <c r="E360" i="7"/>
  <c r="D360" i="7"/>
  <c r="J359" i="7"/>
  <c r="I359" i="7"/>
  <c r="H359" i="7"/>
  <c r="G359" i="7"/>
  <c r="E359" i="7"/>
  <c r="D359" i="7"/>
  <c r="J358" i="7"/>
  <c r="I358" i="7"/>
  <c r="H358" i="7"/>
  <c r="G358" i="7"/>
  <c r="E358" i="7"/>
  <c r="D358" i="7"/>
  <c r="J357" i="7"/>
  <c r="I357" i="7"/>
  <c r="H357" i="7"/>
  <c r="G357" i="7"/>
  <c r="E357" i="7"/>
  <c r="D357" i="7"/>
  <c r="J356" i="7"/>
  <c r="I356" i="7"/>
  <c r="H356" i="7"/>
  <c r="G356" i="7"/>
  <c r="E356" i="7"/>
  <c r="D356" i="7"/>
  <c r="J355" i="7"/>
  <c r="I355" i="7"/>
  <c r="H355" i="7"/>
  <c r="G355" i="7"/>
  <c r="E355" i="7"/>
  <c r="D355" i="7"/>
  <c r="J354" i="7"/>
  <c r="I354" i="7"/>
  <c r="H354" i="7"/>
  <c r="G354" i="7"/>
  <c r="E354" i="7"/>
  <c r="D354" i="7"/>
  <c r="J353" i="7"/>
  <c r="I353" i="7"/>
  <c r="H353" i="7"/>
  <c r="G353" i="7"/>
  <c r="E353" i="7"/>
  <c r="D353" i="7"/>
  <c r="J352" i="7"/>
  <c r="I352" i="7"/>
  <c r="H352" i="7"/>
  <c r="G352" i="7"/>
  <c r="E352" i="7"/>
  <c r="D352" i="7"/>
  <c r="J351" i="7"/>
  <c r="I351" i="7"/>
  <c r="H351" i="7"/>
  <c r="G351" i="7"/>
  <c r="E351" i="7"/>
  <c r="D351" i="7"/>
  <c r="J350" i="7"/>
  <c r="I350" i="7"/>
  <c r="H350" i="7"/>
  <c r="G350" i="7"/>
  <c r="E350" i="7"/>
  <c r="D350" i="7"/>
  <c r="J349" i="7"/>
  <c r="I349" i="7"/>
  <c r="H349" i="7"/>
  <c r="G349" i="7"/>
  <c r="E349" i="7"/>
  <c r="D349" i="7"/>
  <c r="J348" i="7"/>
  <c r="I348" i="7"/>
  <c r="H348" i="7"/>
  <c r="G348" i="7"/>
  <c r="E348" i="7"/>
  <c r="D348" i="7"/>
  <c r="J347" i="7"/>
  <c r="I347" i="7"/>
  <c r="H347" i="7"/>
  <c r="G347" i="7"/>
  <c r="E347" i="7"/>
  <c r="D347" i="7"/>
  <c r="J346" i="7"/>
  <c r="I346" i="7"/>
  <c r="H346" i="7"/>
  <c r="G346" i="7"/>
  <c r="E346" i="7"/>
  <c r="D346" i="7"/>
  <c r="J345" i="7"/>
  <c r="I345" i="7"/>
  <c r="H345" i="7"/>
  <c r="G345" i="7"/>
  <c r="E345" i="7"/>
  <c r="D345" i="7"/>
  <c r="J344" i="7"/>
  <c r="I344" i="7"/>
  <c r="H344" i="7"/>
  <c r="G344" i="7"/>
  <c r="E344" i="7"/>
  <c r="D344" i="7"/>
  <c r="J343" i="7"/>
  <c r="I343" i="7"/>
  <c r="H343" i="7"/>
  <c r="G343" i="7"/>
  <c r="E343" i="7"/>
  <c r="D343" i="7"/>
  <c r="J342" i="7"/>
  <c r="I342" i="7"/>
  <c r="H342" i="7"/>
  <c r="G342" i="7"/>
  <c r="E342" i="7"/>
  <c r="D342" i="7"/>
  <c r="J341" i="7"/>
  <c r="I341" i="7"/>
  <c r="H341" i="7"/>
  <c r="G341" i="7"/>
  <c r="E341" i="7"/>
  <c r="D341" i="7"/>
  <c r="J340" i="7"/>
  <c r="I340" i="7"/>
  <c r="H340" i="7"/>
  <c r="G340" i="7"/>
  <c r="E340" i="7"/>
  <c r="D340" i="7"/>
  <c r="J339" i="7"/>
  <c r="I339" i="7"/>
  <c r="H339" i="7"/>
  <c r="G339" i="7"/>
  <c r="E339" i="7"/>
  <c r="D339" i="7"/>
  <c r="J338" i="7"/>
  <c r="I338" i="7"/>
  <c r="H338" i="7"/>
  <c r="G338" i="7"/>
  <c r="E338" i="7"/>
  <c r="D338" i="7"/>
  <c r="J337" i="7"/>
  <c r="I337" i="7"/>
  <c r="H337" i="7"/>
  <c r="G337" i="7"/>
  <c r="E337" i="7"/>
  <c r="D337" i="7"/>
  <c r="J336" i="7"/>
  <c r="I336" i="7"/>
  <c r="H336" i="7"/>
  <c r="G336" i="7"/>
  <c r="E336" i="7"/>
  <c r="D336" i="7"/>
  <c r="J335" i="7"/>
  <c r="D335" i="7"/>
  <c r="J334" i="7"/>
  <c r="I334" i="7"/>
  <c r="H334" i="7"/>
  <c r="G334" i="7"/>
  <c r="E334" i="7"/>
  <c r="D334" i="7"/>
  <c r="J333" i="7"/>
  <c r="I333" i="7"/>
  <c r="H333" i="7"/>
  <c r="G333" i="7"/>
  <c r="E333" i="7"/>
  <c r="D333" i="7"/>
  <c r="J332" i="7"/>
  <c r="I332" i="7"/>
  <c r="H332" i="7"/>
  <c r="G332" i="7"/>
  <c r="E332" i="7"/>
  <c r="D332" i="7"/>
  <c r="J331" i="7"/>
  <c r="I331" i="7"/>
  <c r="H331" i="7"/>
  <c r="G331" i="7"/>
  <c r="E331" i="7"/>
  <c r="D331" i="7"/>
  <c r="J330" i="7"/>
  <c r="I330" i="7"/>
  <c r="H330" i="7"/>
  <c r="G330" i="7"/>
  <c r="E330" i="7"/>
  <c r="D330" i="7"/>
  <c r="J329" i="7"/>
  <c r="I329" i="7"/>
  <c r="H329" i="7"/>
  <c r="G329" i="7"/>
  <c r="E329" i="7"/>
  <c r="D329" i="7"/>
  <c r="J328" i="7"/>
  <c r="I328" i="7"/>
  <c r="H328" i="7"/>
  <c r="G328" i="7"/>
  <c r="E328" i="7"/>
  <c r="D328" i="7"/>
  <c r="J327" i="7"/>
  <c r="I327" i="7"/>
  <c r="H327" i="7"/>
  <c r="G327" i="7"/>
  <c r="E327" i="7"/>
  <c r="D327" i="7"/>
  <c r="J326" i="7"/>
  <c r="I326" i="7"/>
  <c r="H326" i="7"/>
  <c r="G326" i="7"/>
  <c r="E326" i="7"/>
  <c r="D326" i="7"/>
  <c r="J325" i="7"/>
  <c r="I325" i="7"/>
  <c r="H325" i="7"/>
  <c r="G325" i="7"/>
  <c r="E325" i="7"/>
  <c r="D325" i="7"/>
  <c r="J324" i="7"/>
  <c r="I324" i="7"/>
  <c r="H324" i="7"/>
  <c r="G324" i="7"/>
  <c r="E324" i="7"/>
  <c r="D324" i="7"/>
  <c r="J323" i="7"/>
  <c r="I323" i="7"/>
  <c r="H323" i="7"/>
  <c r="G323" i="7"/>
  <c r="E323" i="7"/>
  <c r="D323" i="7"/>
  <c r="J322" i="7"/>
  <c r="I322" i="7"/>
  <c r="H322" i="7"/>
  <c r="G322" i="7"/>
  <c r="E322" i="7"/>
  <c r="D322" i="7"/>
  <c r="J321" i="7"/>
  <c r="D321" i="7"/>
  <c r="J320" i="7"/>
  <c r="I320" i="7"/>
  <c r="H320" i="7"/>
  <c r="G320" i="7"/>
  <c r="E320" i="7"/>
  <c r="D320" i="7"/>
  <c r="J319" i="7"/>
  <c r="I319" i="7"/>
  <c r="H319" i="7"/>
  <c r="G319" i="7"/>
  <c r="E319" i="7"/>
  <c r="D319" i="7"/>
  <c r="J318" i="7"/>
  <c r="I318" i="7"/>
  <c r="H318" i="7"/>
  <c r="G318" i="7"/>
  <c r="E318" i="7"/>
  <c r="D318" i="7"/>
  <c r="J317" i="7"/>
  <c r="I317" i="7"/>
  <c r="H317" i="7"/>
  <c r="G317" i="7"/>
  <c r="E317" i="7"/>
  <c r="D317" i="7"/>
  <c r="J316" i="7"/>
  <c r="I316" i="7"/>
  <c r="H316" i="7"/>
  <c r="G316" i="7"/>
  <c r="E316" i="7"/>
  <c r="D316" i="7"/>
  <c r="J315" i="7"/>
  <c r="I315" i="7"/>
  <c r="H315" i="7"/>
  <c r="G315" i="7"/>
  <c r="E315" i="7"/>
  <c r="D315" i="7"/>
  <c r="J314" i="7"/>
  <c r="I314" i="7"/>
  <c r="H314" i="7"/>
  <c r="G314" i="7"/>
  <c r="E314" i="7"/>
  <c r="D314" i="7"/>
  <c r="J313" i="7"/>
  <c r="I313" i="7"/>
  <c r="H313" i="7"/>
  <c r="G313" i="7"/>
  <c r="E313" i="7"/>
  <c r="D313" i="7"/>
  <c r="J312" i="7"/>
  <c r="I312" i="7"/>
  <c r="H312" i="7"/>
  <c r="G312" i="7"/>
  <c r="E312" i="7"/>
  <c r="D312" i="7"/>
  <c r="J311" i="7"/>
  <c r="I311" i="7"/>
  <c r="H311" i="7"/>
  <c r="G311" i="7"/>
  <c r="E311" i="7"/>
  <c r="D311" i="7"/>
  <c r="J310" i="7"/>
  <c r="D310" i="7"/>
  <c r="J309" i="7"/>
  <c r="I309" i="7"/>
  <c r="H309" i="7"/>
  <c r="G309" i="7"/>
  <c r="E309" i="7"/>
  <c r="D309" i="7"/>
  <c r="J308" i="7"/>
  <c r="I308" i="7"/>
  <c r="H308" i="7"/>
  <c r="G308" i="7"/>
  <c r="E308" i="7"/>
  <c r="D308" i="7"/>
  <c r="J307" i="7"/>
  <c r="I307" i="7"/>
  <c r="H307" i="7"/>
  <c r="G307" i="7"/>
  <c r="E307" i="7"/>
  <c r="D307" i="7"/>
  <c r="J306" i="7"/>
  <c r="I306" i="7"/>
  <c r="H306" i="7"/>
  <c r="G306" i="7"/>
  <c r="E306" i="7"/>
  <c r="D306" i="7"/>
  <c r="J305" i="7"/>
  <c r="D305" i="7"/>
  <c r="J304" i="7"/>
  <c r="I304" i="7"/>
  <c r="H304" i="7"/>
  <c r="G304" i="7"/>
  <c r="E304" i="7"/>
  <c r="D304" i="7"/>
  <c r="J303" i="7"/>
  <c r="I303" i="7"/>
  <c r="H303" i="7"/>
  <c r="G303" i="7"/>
  <c r="E303" i="7"/>
  <c r="D303" i="7"/>
  <c r="J302" i="7"/>
  <c r="I302" i="7"/>
  <c r="H302" i="7"/>
  <c r="G302" i="7"/>
  <c r="E302" i="7"/>
  <c r="D302" i="7"/>
  <c r="J301" i="7"/>
  <c r="I301" i="7"/>
  <c r="H301" i="7"/>
  <c r="G301" i="7"/>
  <c r="E301" i="7"/>
  <c r="D301" i="7"/>
  <c r="J300" i="7"/>
  <c r="I300" i="7"/>
  <c r="H300" i="7"/>
  <c r="G300" i="7"/>
  <c r="E300" i="7"/>
  <c r="D300" i="7"/>
  <c r="J299" i="7"/>
  <c r="I299" i="7"/>
  <c r="H299" i="7"/>
  <c r="G299" i="7"/>
  <c r="E299" i="7"/>
  <c r="D299" i="7"/>
  <c r="J298" i="7"/>
  <c r="I298" i="7"/>
  <c r="H298" i="7"/>
  <c r="G298" i="7"/>
  <c r="E298" i="7"/>
  <c r="D298" i="7"/>
  <c r="J297" i="7"/>
  <c r="I297" i="7"/>
  <c r="H297" i="7"/>
  <c r="G297" i="7"/>
  <c r="E297" i="7"/>
  <c r="D297" i="7"/>
  <c r="J296" i="7"/>
  <c r="I296" i="7"/>
  <c r="H296" i="7"/>
  <c r="G296" i="7"/>
  <c r="E296" i="7"/>
  <c r="D296" i="7"/>
  <c r="J295" i="7"/>
  <c r="D295" i="7"/>
  <c r="J294" i="7"/>
  <c r="I294" i="7"/>
  <c r="H294" i="7"/>
  <c r="G294" i="7"/>
  <c r="E294" i="7"/>
  <c r="D294" i="7"/>
  <c r="J293" i="7"/>
  <c r="I293" i="7"/>
  <c r="H293" i="7"/>
  <c r="G293" i="7"/>
  <c r="E293" i="7"/>
  <c r="D293" i="7"/>
  <c r="J292" i="7"/>
  <c r="I292" i="7"/>
  <c r="H292" i="7"/>
  <c r="G292" i="7"/>
  <c r="E292" i="7"/>
  <c r="D292" i="7"/>
  <c r="J291" i="7"/>
  <c r="I291" i="7"/>
  <c r="H291" i="7"/>
  <c r="G291" i="7"/>
  <c r="E291" i="7"/>
  <c r="D291" i="7"/>
  <c r="J290" i="7"/>
  <c r="I290" i="7"/>
  <c r="H290" i="7"/>
  <c r="G290" i="7"/>
  <c r="E290" i="7"/>
  <c r="D290" i="7"/>
  <c r="J289" i="7"/>
  <c r="I289" i="7"/>
  <c r="H289" i="7"/>
  <c r="G289" i="7"/>
  <c r="E289" i="7"/>
  <c r="D289" i="7"/>
  <c r="J288" i="7"/>
  <c r="I288" i="7"/>
  <c r="H288" i="7"/>
  <c r="G288" i="7"/>
  <c r="E288" i="7"/>
  <c r="D288" i="7"/>
  <c r="J287" i="7"/>
  <c r="I287" i="7"/>
  <c r="H287" i="7"/>
  <c r="G287" i="7"/>
  <c r="E287" i="7"/>
  <c r="D287" i="7"/>
  <c r="J286" i="7"/>
  <c r="I286" i="7"/>
  <c r="H286" i="7"/>
  <c r="G286" i="7"/>
  <c r="E286" i="7"/>
  <c r="D286" i="7"/>
  <c r="J285" i="7"/>
  <c r="D285" i="7"/>
  <c r="J284" i="7"/>
  <c r="I284" i="7"/>
  <c r="H284" i="7"/>
  <c r="G284" i="7"/>
  <c r="E284" i="7"/>
  <c r="D284" i="7"/>
  <c r="J283" i="7"/>
  <c r="I283" i="7"/>
  <c r="H283" i="7"/>
  <c r="G283" i="7"/>
  <c r="E283" i="7"/>
  <c r="D283" i="7"/>
  <c r="J282" i="7"/>
  <c r="I282" i="7"/>
  <c r="H282" i="7"/>
  <c r="G282" i="7"/>
  <c r="E282" i="7"/>
  <c r="D282" i="7"/>
  <c r="J281" i="7"/>
  <c r="D281" i="7"/>
  <c r="J280" i="7"/>
  <c r="I280" i="7"/>
  <c r="H280" i="7"/>
  <c r="G280" i="7"/>
  <c r="E280" i="7"/>
  <c r="D280" i="7"/>
  <c r="J279" i="7"/>
  <c r="I279" i="7"/>
  <c r="H279" i="7"/>
  <c r="G279" i="7"/>
  <c r="E279" i="7"/>
  <c r="D279" i="7"/>
  <c r="J278" i="7"/>
  <c r="I278" i="7"/>
  <c r="H278" i="7"/>
  <c r="G278" i="7"/>
  <c r="E278" i="7"/>
  <c r="D278" i="7"/>
  <c r="J277" i="7"/>
  <c r="I277" i="7"/>
  <c r="H277" i="7"/>
  <c r="G277" i="7"/>
  <c r="E277" i="7"/>
  <c r="D277" i="7"/>
  <c r="J276" i="7"/>
  <c r="I276" i="7"/>
  <c r="H276" i="7"/>
  <c r="G276" i="7"/>
  <c r="E276" i="7"/>
  <c r="D276" i="7"/>
  <c r="J275" i="7"/>
  <c r="I275" i="7"/>
  <c r="H275" i="7"/>
  <c r="G275" i="7"/>
  <c r="E275" i="7"/>
  <c r="D275" i="7"/>
  <c r="J274" i="7"/>
  <c r="I274" i="7"/>
  <c r="H274" i="7"/>
  <c r="G274" i="7"/>
  <c r="E274" i="7"/>
  <c r="D274" i="7"/>
  <c r="J273" i="7"/>
  <c r="I273" i="7"/>
  <c r="H273" i="7"/>
  <c r="G273" i="7"/>
  <c r="E273" i="7"/>
  <c r="D273" i="7"/>
  <c r="J272" i="7"/>
  <c r="D272" i="7"/>
  <c r="J271" i="7"/>
  <c r="I271" i="7"/>
  <c r="H271" i="7"/>
  <c r="G271" i="7"/>
  <c r="E271" i="7"/>
  <c r="D271" i="7"/>
  <c r="J270" i="7"/>
  <c r="I270" i="7"/>
  <c r="H270" i="7"/>
  <c r="G270" i="7"/>
  <c r="E270" i="7"/>
  <c r="D270" i="7"/>
  <c r="J269" i="7"/>
  <c r="I269" i="7"/>
  <c r="H269" i="7"/>
  <c r="G269" i="7"/>
  <c r="E269" i="7"/>
  <c r="D269" i="7"/>
  <c r="J268" i="7"/>
  <c r="D268" i="7"/>
  <c r="J267" i="7"/>
  <c r="I267" i="7"/>
  <c r="H267" i="7"/>
  <c r="G267" i="7"/>
  <c r="E267" i="7"/>
  <c r="D267" i="7"/>
  <c r="J266" i="7"/>
  <c r="I266" i="7"/>
  <c r="H266" i="7"/>
  <c r="G266" i="7"/>
  <c r="E266" i="7"/>
  <c r="D266" i="7"/>
  <c r="J265" i="7"/>
  <c r="I265" i="7"/>
  <c r="H265" i="7"/>
  <c r="G265" i="7"/>
  <c r="E265" i="7"/>
  <c r="D265" i="7"/>
  <c r="J264" i="7"/>
  <c r="I264" i="7"/>
  <c r="H264" i="7"/>
  <c r="G264" i="7"/>
  <c r="E264" i="7"/>
  <c r="D264" i="7"/>
  <c r="J263" i="7"/>
  <c r="I263" i="7"/>
  <c r="H263" i="7"/>
  <c r="G263" i="7"/>
  <c r="E263" i="7"/>
  <c r="D263" i="7"/>
  <c r="J262" i="7"/>
  <c r="I262" i="7"/>
  <c r="H262" i="7"/>
  <c r="G262" i="7"/>
  <c r="E262" i="7"/>
  <c r="D262" i="7"/>
  <c r="J261" i="7"/>
  <c r="I261" i="7"/>
  <c r="H261" i="7"/>
  <c r="G261" i="7"/>
  <c r="E261" i="7"/>
  <c r="D261" i="7"/>
  <c r="J260" i="7"/>
  <c r="I260" i="7"/>
  <c r="H260" i="7"/>
  <c r="G260" i="7"/>
  <c r="E260" i="7"/>
  <c r="D260" i="7"/>
  <c r="J259" i="7"/>
  <c r="I259" i="7"/>
  <c r="H259" i="7"/>
  <c r="G259" i="7"/>
  <c r="E259" i="7"/>
  <c r="D259" i="7"/>
  <c r="J258" i="7"/>
  <c r="D258" i="7"/>
  <c r="J257" i="7"/>
  <c r="I257" i="7"/>
  <c r="H257" i="7"/>
  <c r="G257" i="7"/>
  <c r="E257" i="7"/>
  <c r="D257" i="7"/>
  <c r="J256" i="7"/>
  <c r="I256" i="7"/>
  <c r="H256" i="7"/>
  <c r="G256" i="7"/>
  <c r="E256" i="7"/>
  <c r="D256" i="7"/>
  <c r="J255" i="7"/>
  <c r="I255" i="7"/>
  <c r="H255" i="7"/>
  <c r="G255" i="7"/>
  <c r="E255" i="7"/>
  <c r="D255" i="7"/>
  <c r="J254" i="7"/>
  <c r="I254" i="7"/>
  <c r="H254" i="7"/>
  <c r="G254" i="7"/>
  <c r="E254" i="7"/>
  <c r="D254" i="7"/>
  <c r="J253" i="7"/>
  <c r="I253" i="7"/>
  <c r="H253" i="7"/>
  <c r="G253" i="7"/>
  <c r="E253" i="7"/>
  <c r="D253" i="7"/>
  <c r="J252" i="7"/>
  <c r="I252" i="7"/>
  <c r="H252" i="7"/>
  <c r="G252" i="7"/>
  <c r="E252" i="7"/>
  <c r="D252" i="7"/>
  <c r="J251" i="7"/>
  <c r="D251" i="7"/>
  <c r="J250" i="7"/>
  <c r="I250" i="7"/>
  <c r="H250" i="7"/>
  <c r="G250" i="7"/>
  <c r="E250" i="7"/>
  <c r="D250" i="7"/>
  <c r="J249" i="7"/>
  <c r="I249" i="7"/>
  <c r="H249" i="7"/>
  <c r="G249" i="7"/>
  <c r="E249" i="7"/>
  <c r="D249" i="7"/>
  <c r="J248" i="7"/>
  <c r="I248" i="7"/>
  <c r="H248" i="7"/>
  <c r="G248" i="7"/>
  <c r="E248" i="7"/>
  <c r="D248" i="7"/>
  <c r="J247" i="7"/>
  <c r="I247" i="7"/>
  <c r="H247" i="7"/>
  <c r="G247" i="7"/>
  <c r="E247" i="7"/>
  <c r="D247" i="7"/>
  <c r="J246" i="7"/>
  <c r="I246" i="7"/>
  <c r="H246" i="7"/>
  <c r="G246" i="7"/>
  <c r="E246" i="7"/>
  <c r="D246" i="7"/>
  <c r="J245" i="7"/>
  <c r="I245" i="7"/>
  <c r="H245" i="7"/>
  <c r="G245" i="7"/>
  <c r="E245" i="7"/>
  <c r="D245" i="7"/>
  <c r="J244" i="7"/>
  <c r="I244" i="7"/>
  <c r="H244" i="7"/>
  <c r="G244" i="7"/>
  <c r="E244" i="7"/>
  <c r="D244" i="7"/>
  <c r="J243" i="7"/>
  <c r="I243" i="7"/>
  <c r="H243" i="7"/>
  <c r="G243" i="7"/>
  <c r="E243" i="7"/>
  <c r="D243" i="7"/>
  <c r="J242" i="7"/>
  <c r="I242" i="7"/>
  <c r="H242" i="7"/>
  <c r="G242" i="7"/>
  <c r="E242" i="7"/>
  <c r="D242" i="7"/>
  <c r="J241" i="7"/>
  <c r="I241" i="7"/>
  <c r="H241" i="7"/>
  <c r="G241" i="7"/>
  <c r="E241" i="7"/>
  <c r="D241" i="7"/>
  <c r="J240" i="7"/>
  <c r="I240" i="7"/>
  <c r="H240" i="7"/>
  <c r="G240" i="7"/>
  <c r="E240" i="7"/>
  <c r="D240" i="7"/>
  <c r="J239" i="7"/>
  <c r="I239" i="7"/>
  <c r="H239" i="7"/>
  <c r="G239" i="7"/>
  <c r="E239" i="7"/>
  <c r="D239" i="7"/>
  <c r="J238" i="7"/>
  <c r="I238" i="7"/>
  <c r="H238" i="7"/>
  <c r="G238" i="7"/>
  <c r="E238" i="7"/>
  <c r="D238" i="7"/>
  <c r="J237" i="7"/>
  <c r="I237" i="7"/>
  <c r="H237" i="7"/>
  <c r="G237" i="7"/>
  <c r="E237" i="7"/>
  <c r="D237" i="7"/>
  <c r="J236" i="7"/>
  <c r="I236" i="7"/>
  <c r="H236" i="7"/>
  <c r="G236" i="7"/>
  <c r="E236" i="7"/>
  <c r="D236" i="7"/>
  <c r="J235" i="7"/>
  <c r="I235" i="7"/>
  <c r="H235" i="7"/>
  <c r="G235" i="7"/>
  <c r="E235" i="7"/>
  <c r="D235" i="7"/>
  <c r="J234" i="7"/>
  <c r="I234" i="7"/>
  <c r="H234" i="7"/>
  <c r="G234" i="7"/>
  <c r="E234" i="7"/>
  <c r="D234" i="7"/>
  <c r="J233" i="7"/>
  <c r="I233" i="7"/>
  <c r="H233" i="7"/>
  <c r="G233" i="7"/>
  <c r="E233" i="7"/>
  <c r="D233" i="7"/>
  <c r="J232" i="7"/>
  <c r="I232" i="7"/>
  <c r="H232" i="7"/>
  <c r="G232" i="7"/>
  <c r="E232" i="7"/>
  <c r="D232" i="7"/>
  <c r="J231" i="7"/>
  <c r="I231" i="7"/>
  <c r="H231" i="7"/>
  <c r="G231" i="7"/>
  <c r="E231" i="7"/>
  <c r="D231" i="7"/>
  <c r="J230" i="7"/>
  <c r="I230" i="7"/>
  <c r="H230" i="7"/>
  <c r="G230" i="7"/>
  <c r="E230" i="7"/>
  <c r="D230" i="7"/>
  <c r="J229" i="7"/>
  <c r="I229" i="7"/>
  <c r="H229" i="7"/>
  <c r="G229" i="7"/>
  <c r="E229" i="7"/>
  <c r="D229" i="7"/>
  <c r="J228" i="7"/>
  <c r="I228" i="7"/>
  <c r="H228" i="7"/>
  <c r="G228" i="7"/>
  <c r="E228" i="7"/>
  <c r="D228" i="7"/>
  <c r="J227" i="7"/>
  <c r="I227" i="7"/>
  <c r="H227" i="7"/>
  <c r="G227" i="7"/>
  <c r="E227" i="7"/>
  <c r="D227" i="7"/>
  <c r="J226" i="7"/>
  <c r="I226" i="7"/>
  <c r="H226" i="7"/>
  <c r="G226" i="7"/>
  <c r="E226" i="7"/>
  <c r="D226" i="7"/>
  <c r="J225" i="7"/>
  <c r="D225" i="7"/>
  <c r="J224" i="7"/>
  <c r="D224" i="7"/>
  <c r="J223" i="7"/>
  <c r="D223" i="7"/>
  <c r="J222" i="7"/>
  <c r="D222" i="7"/>
  <c r="J221" i="7"/>
  <c r="I221" i="7"/>
  <c r="H221" i="7"/>
  <c r="G221" i="7"/>
  <c r="E221" i="7"/>
  <c r="D221" i="7"/>
  <c r="J220" i="7"/>
  <c r="I220" i="7"/>
  <c r="H220" i="7"/>
  <c r="G220" i="7"/>
  <c r="E220" i="7"/>
  <c r="D220" i="7"/>
  <c r="J219" i="7"/>
  <c r="I219" i="7"/>
  <c r="H219" i="7"/>
  <c r="G219" i="7"/>
  <c r="E219" i="7"/>
  <c r="D219" i="7"/>
  <c r="J218" i="7"/>
  <c r="D218" i="7"/>
  <c r="J217" i="7"/>
  <c r="I217" i="7"/>
  <c r="H217" i="7"/>
  <c r="G217" i="7"/>
  <c r="E217" i="7"/>
  <c r="D217" i="7"/>
  <c r="J216" i="7"/>
  <c r="I216" i="7"/>
  <c r="H216" i="7"/>
  <c r="G216" i="7"/>
  <c r="E216" i="7"/>
  <c r="D216" i="7"/>
  <c r="J215" i="7"/>
  <c r="D215" i="7"/>
  <c r="J214" i="7"/>
  <c r="I214" i="7"/>
  <c r="H214" i="7"/>
  <c r="G214" i="7"/>
  <c r="E214" i="7"/>
  <c r="D214" i="7"/>
  <c r="J213" i="7"/>
  <c r="D213" i="7"/>
  <c r="J212" i="7"/>
  <c r="I212" i="7"/>
  <c r="H212" i="7"/>
  <c r="G212" i="7"/>
  <c r="E212" i="7"/>
  <c r="D212" i="7"/>
  <c r="J211" i="7"/>
  <c r="I211" i="7"/>
  <c r="H211" i="7"/>
  <c r="G211" i="7"/>
  <c r="E211" i="7"/>
  <c r="D211" i="7"/>
  <c r="J210" i="7"/>
  <c r="D210" i="7"/>
  <c r="J209" i="7"/>
  <c r="I209" i="7"/>
  <c r="H209" i="7"/>
  <c r="G209" i="7"/>
  <c r="E209" i="7"/>
  <c r="D209" i="7"/>
  <c r="J208" i="7"/>
  <c r="I208" i="7"/>
  <c r="H208" i="7"/>
  <c r="G208" i="7"/>
  <c r="E208" i="7"/>
  <c r="D208" i="7"/>
  <c r="J207" i="7"/>
  <c r="I207" i="7"/>
  <c r="H207" i="7"/>
  <c r="G207" i="7"/>
  <c r="E207" i="7"/>
  <c r="D207" i="7"/>
  <c r="J206" i="7"/>
  <c r="I206" i="7"/>
  <c r="H206" i="7"/>
  <c r="G206" i="7"/>
  <c r="E206" i="7"/>
  <c r="D206" i="7"/>
  <c r="J205" i="7"/>
  <c r="I205" i="7"/>
  <c r="H205" i="7"/>
  <c r="G205" i="7"/>
  <c r="E205" i="7"/>
  <c r="D205" i="7"/>
  <c r="J204" i="7"/>
  <c r="I204" i="7"/>
  <c r="H204" i="7"/>
  <c r="G204" i="7"/>
  <c r="E204" i="7"/>
  <c r="D204" i="7"/>
  <c r="J203" i="7"/>
  <c r="I203" i="7"/>
  <c r="H203" i="7"/>
  <c r="G203" i="7"/>
  <c r="E203" i="7"/>
  <c r="D203" i="7"/>
  <c r="J202" i="7"/>
  <c r="I202" i="7"/>
  <c r="H202" i="7"/>
  <c r="G202" i="7"/>
  <c r="E202" i="7"/>
  <c r="D202" i="7"/>
  <c r="J201" i="7"/>
  <c r="D201" i="7"/>
  <c r="J200" i="7"/>
  <c r="D200" i="7"/>
  <c r="J199" i="7"/>
  <c r="D199" i="7"/>
  <c r="J198" i="7"/>
  <c r="D198" i="7"/>
  <c r="J197" i="7"/>
  <c r="D197" i="7"/>
  <c r="J196" i="7"/>
  <c r="D196" i="7"/>
  <c r="J195" i="7"/>
  <c r="D195" i="7"/>
  <c r="J194" i="7"/>
  <c r="D194" i="7"/>
  <c r="J193" i="7"/>
  <c r="D193" i="7"/>
  <c r="J192" i="7"/>
  <c r="D192" i="7"/>
  <c r="J191" i="7"/>
  <c r="D191" i="7"/>
  <c r="J190" i="7"/>
  <c r="D190" i="7"/>
  <c r="J189" i="7"/>
  <c r="D189" i="7"/>
  <c r="J188" i="7"/>
  <c r="D188" i="7"/>
  <c r="J187" i="7"/>
  <c r="D187" i="7"/>
  <c r="J186" i="7"/>
  <c r="D186" i="7"/>
  <c r="J185" i="7"/>
  <c r="D185" i="7"/>
  <c r="J184" i="7"/>
  <c r="D184" i="7"/>
  <c r="J183" i="7"/>
  <c r="D183" i="7"/>
  <c r="J182" i="7"/>
  <c r="D182" i="7"/>
  <c r="J181" i="7"/>
  <c r="D181" i="7"/>
  <c r="J180" i="7"/>
  <c r="D180" i="7"/>
  <c r="J179" i="7"/>
  <c r="D179" i="7"/>
  <c r="J178" i="7"/>
  <c r="D178" i="7"/>
  <c r="J177" i="7"/>
  <c r="D177" i="7"/>
  <c r="J176" i="7"/>
  <c r="D176" i="7"/>
  <c r="J175" i="7"/>
  <c r="D175" i="7"/>
  <c r="J174" i="7"/>
  <c r="D174" i="7"/>
  <c r="J173" i="7"/>
  <c r="D173" i="7"/>
  <c r="J172" i="7"/>
  <c r="D172" i="7"/>
  <c r="J171" i="7"/>
  <c r="D171" i="7"/>
  <c r="J170" i="7"/>
  <c r="D170" i="7"/>
  <c r="J169" i="7"/>
  <c r="D169" i="7"/>
  <c r="J168" i="7"/>
  <c r="D168" i="7"/>
  <c r="J167" i="7"/>
  <c r="D167" i="7"/>
  <c r="J166" i="7"/>
  <c r="D166" i="7"/>
  <c r="J165" i="7"/>
  <c r="D165" i="7"/>
  <c r="J164" i="7"/>
  <c r="D164" i="7"/>
  <c r="J163" i="7"/>
  <c r="D163" i="7"/>
  <c r="J162" i="7"/>
  <c r="D162" i="7"/>
  <c r="J161" i="7"/>
  <c r="D161" i="7"/>
  <c r="J160" i="7"/>
  <c r="D160" i="7"/>
  <c r="J159" i="7"/>
  <c r="D159" i="7"/>
  <c r="J158" i="7"/>
  <c r="D158" i="7"/>
  <c r="J157" i="7"/>
  <c r="D157" i="7"/>
  <c r="J156" i="7"/>
  <c r="D156" i="7"/>
  <c r="J155" i="7"/>
  <c r="D155" i="7"/>
  <c r="J154" i="7"/>
  <c r="D154" i="7"/>
  <c r="J153" i="7"/>
  <c r="D153" i="7"/>
  <c r="J152" i="7"/>
  <c r="D152" i="7"/>
  <c r="J151" i="7"/>
  <c r="D151" i="7"/>
  <c r="J150" i="7"/>
  <c r="D150" i="7"/>
  <c r="J149" i="7"/>
  <c r="D149" i="7"/>
  <c r="J148" i="7"/>
  <c r="D148" i="7"/>
  <c r="J147" i="7"/>
  <c r="D147" i="7"/>
  <c r="J146" i="7"/>
  <c r="D146" i="7"/>
  <c r="J145" i="7"/>
  <c r="D145" i="7"/>
  <c r="J144" i="7"/>
  <c r="D144" i="7"/>
  <c r="J143" i="7"/>
  <c r="D143" i="7"/>
  <c r="J142" i="7"/>
  <c r="D142" i="7"/>
  <c r="J141" i="7"/>
  <c r="D141" i="7"/>
  <c r="J140" i="7"/>
  <c r="D140" i="7"/>
  <c r="J139" i="7"/>
  <c r="D139" i="7"/>
  <c r="J138" i="7"/>
  <c r="D138" i="7"/>
  <c r="J137" i="7"/>
  <c r="D137" i="7"/>
  <c r="J136" i="7"/>
  <c r="D136" i="7"/>
  <c r="J135" i="7"/>
  <c r="D135" i="7"/>
  <c r="J134" i="7"/>
  <c r="D134" i="7"/>
  <c r="J133" i="7"/>
  <c r="D133" i="7"/>
  <c r="J132" i="7"/>
  <c r="D132" i="7"/>
  <c r="J131" i="7"/>
  <c r="D131" i="7"/>
  <c r="J130" i="7"/>
  <c r="D130" i="7"/>
  <c r="J129" i="7"/>
  <c r="D129" i="7"/>
  <c r="J128" i="7"/>
  <c r="D128" i="7"/>
  <c r="J127" i="7"/>
  <c r="D127" i="7"/>
  <c r="J126" i="7"/>
  <c r="D126" i="7"/>
  <c r="J125" i="7"/>
  <c r="D125" i="7"/>
  <c r="J124" i="7"/>
  <c r="D124" i="7"/>
  <c r="J123" i="7"/>
  <c r="D123" i="7"/>
  <c r="J122" i="7"/>
  <c r="D122" i="7"/>
  <c r="J121" i="7"/>
  <c r="D121" i="7"/>
  <c r="J120" i="7"/>
  <c r="D120" i="7"/>
  <c r="J119" i="7"/>
  <c r="D119" i="7"/>
  <c r="J118" i="7"/>
  <c r="D118" i="7"/>
  <c r="J117" i="7"/>
  <c r="D117" i="7"/>
  <c r="J116" i="7"/>
  <c r="D116" i="7"/>
  <c r="J115" i="7"/>
  <c r="D115" i="7"/>
  <c r="J114" i="7"/>
  <c r="D114" i="7"/>
  <c r="J113" i="7"/>
  <c r="D113" i="7"/>
  <c r="J112" i="7"/>
  <c r="D112" i="7"/>
  <c r="J111" i="7"/>
  <c r="D111" i="7"/>
  <c r="J110" i="7"/>
  <c r="D110" i="7"/>
  <c r="J109" i="7"/>
  <c r="D109" i="7"/>
  <c r="J108" i="7"/>
  <c r="D108" i="7"/>
  <c r="J107" i="7"/>
  <c r="D107" i="7"/>
  <c r="J106" i="7"/>
  <c r="D106" i="7"/>
  <c r="J105" i="7"/>
  <c r="D105" i="7"/>
  <c r="J104" i="7"/>
  <c r="D104" i="7"/>
  <c r="J103" i="7"/>
  <c r="D103" i="7"/>
  <c r="J102" i="7"/>
  <c r="D102" i="7"/>
  <c r="J101" i="7"/>
  <c r="D101" i="7"/>
  <c r="J100" i="7"/>
  <c r="D100" i="7"/>
  <c r="J99" i="7"/>
  <c r="D99" i="7"/>
  <c r="J98" i="7"/>
  <c r="D98" i="7"/>
  <c r="J97" i="7"/>
  <c r="D97" i="7"/>
  <c r="J96" i="7"/>
  <c r="D96" i="7"/>
  <c r="J95" i="7"/>
  <c r="D95" i="7"/>
  <c r="J94" i="7"/>
  <c r="D94" i="7"/>
  <c r="J93" i="7"/>
  <c r="D93" i="7"/>
  <c r="J92" i="7"/>
  <c r="D92" i="7"/>
  <c r="J91" i="7"/>
  <c r="D91" i="7"/>
  <c r="J90" i="7"/>
  <c r="D90" i="7"/>
  <c r="J89" i="7"/>
  <c r="D89" i="7"/>
  <c r="J88" i="7"/>
  <c r="D88" i="7"/>
  <c r="J87" i="7"/>
  <c r="D87" i="7"/>
  <c r="J86" i="7"/>
  <c r="D86" i="7"/>
  <c r="J85" i="7"/>
  <c r="D85" i="7"/>
  <c r="J84" i="7"/>
  <c r="D84" i="7"/>
  <c r="J83" i="7"/>
  <c r="D83" i="7"/>
  <c r="J82" i="7"/>
  <c r="D82" i="7"/>
  <c r="J81" i="7"/>
  <c r="D81" i="7"/>
  <c r="J80" i="7"/>
  <c r="D80" i="7"/>
  <c r="J79" i="7"/>
  <c r="D79" i="7"/>
  <c r="J78" i="7"/>
  <c r="D78" i="7"/>
  <c r="J77" i="7"/>
  <c r="D77" i="7"/>
  <c r="J76" i="7"/>
  <c r="D76" i="7"/>
  <c r="J75" i="7"/>
  <c r="D75" i="7"/>
  <c r="J74" i="7"/>
  <c r="D74" i="7"/>
  <c r="J73" i="7"/>
  <c r="D73" i="7"/>
  <c r="J72" i="7"/>
  <c r="D72" i="7"/>
  <c r="J71" i="7"/>
  <c r="D71" i="7"/>
  <c r="J70" i="7"/>
  <c r="D70" i="7"/>
  <c r="J69" i="7"/>
  <c r="D69" i="7"/>
  <c r="J68" i="7"/>
  <c r="D68" i="7"/>
  <c r="J67" i="7"/>
  <c r="D67" i="7"/>
  <c r="J66" i="7"/>
  <c r="D66" i="7"/>
  <c r="J65" i="7"/>
  <c r="D65" i="7"/>
  <c r="J64" i="7"/>
  <c r="D64" i="7"/>
  <c r="J63" i="7"/>
  <c r="D63" i="7"/>
  <c r="J62" i="7"/>
  <c r="D62" i="7"/>
  <c r="J61" i="7"/>
  <c r="D61" i="7"/>
  <c r="J60" i="7"/>
  <c r="D60" i="7"/>
  <c r="J59" i="7"/>
  <c r="D59" i="7"/>
  <c r="J58" i="7"/>
  <c r="D58" i="7"/>
  <c r="J57" i="7"/>
  <c r="D57" i="7"/>
  <c r="J56" i="7"/>
  <c r="D56" i="7"/>
  <c r="J55" i="7"/>
  <c r="D55" i="7"/>
  <c r="J54" i="7"/>
  <c r="D54" i="7"/>
  <c r="J53" i="7"/>
  <c r="D53" i="7"/>
  <c r="J52" i="7"/>
  <c r="D52" i="7"/>
  <c r="J51" i="7"/>
  <c r="D51" i="7"/>
  <c r="J50" i="7"/>
  <c r="D50" i="7"/>
  <c r="J49" i="7"/>
  <c r="D49" i="7"/>
  <c r="J48" i="7"/>
  <c r="D48" i="7"/>
  <c r="J47" i="7"/>
  <c r="D47" i="7"/>
  <c r="J46" i="7"/>
  <c r="D46" i="7"/>
  <c r="J45" i="7"/>
  <c r="D45" i="7"/>
  <c r="J44" i="7"/>
  <c r="D44" i="7"/>
  <c r="J43" i="7"/>
  <c r="D43" i="7"/>
  <c r="J42" i="7"/>
  <c r="D42" i="7"/>
  <c r="J41" i="7"/>
  <c r="D41" i="7"/>
  <c r="J40" i="7"/>
  <c r="D40" i="7"/>
  <c r="J39" i="7"/>
  <c r="D39" i="7"/>
  <c r="J38" i="7"/>
  <c r="D38" i="7"/>
  <c r="J37" i="7"/>
  <c r="D37" i="7"/>
  <c r="J36" i="7"/>
  <c r="D36" i="7"/>
  <c r="J35" i="7"/>
  <c r="D35" i="7"/>
  <c r="J34" i="7"/>
  <c r="D34" i="7"/>
  <c r="J33" i="7"/>
  <c r="D33" i="7"/>
  <c r="J32" i="7"/>
  <c r="D32" i="7"/>
  <c r="J31" i="7"/>
  <c r="D31" i="7"/>
  <c r="J30" i="7"/>
  <c r="D30" i="7"/>
  <c r="J29" i="7"/>
  <c r="D29" i="7"/>
  <c r="J28" i="7"/>
  <c r="D28" i="7"/>
  <c r="J27" i="7"/>
  <c r="D27" i="7"/>
  <c r="J26" i="7"/>
  <c r="D26" i="7"/>
  <c r="J25" i="7"/>
  <c r="D25" i="7"/>
  <c r="J24" i="7"/>
  <c r="D24" i="7"/>
  <c r="J23" i="7"/>
  <c r="D23" i="7"/>
  <c r="J22" i="7"/>
  <c r="D22" i="7"/>
  <c r="J21" i="7"/>
  <c r="D21" i="7"/>
  <c r="J20" i="7"/>
  <c r="D20" i="7"/>
  <c r="J19" i="7"/>
  <c r="D19" i="7"/>
  <c r="J18" i="7"/>
  <c r="D18" i="7"/>
  <c r="J17" i="7"/>
  <c r="D17" i="7"/>
  <c r="J16" i="7"/>
  <c r="D16" i="7"/>
  <c r="J15" i="7"/>
  <c r="D15" i="7"/>
  <c r="J14" i="7"/>
  <c r="D14" i="7"/>
  <c r="J13" i="7"/>
  <c r="D13" i="7"/>
  <c r="J12" i="7"/>
  <c r="D12" i="7"/>
  <c r="J11" i="7"/>
  <c r="D11" i="7"/>
  <c r="J10" i="7"/>
  <c r="D10" i="7"/>
  <c r="J9" i="7"/>
  <c r="D9" i="7"/>
  <c r="J8" i="7"/>
  <c r="D8" i="7"/>
  <c r="J7" i="7"/>
  <c r="D7" i="7"/>
  <c r="J6" i="7"/>
  <c r="D6" i="7"/>
  <c r="J5" i="7"/>
  <c r="D5" i="7"/>
  <c r="J4" i="7"/>
  <c r="D4" i="7"/>
  <c r="J3" i="7"/>
  <c r="D3" i="7"/>
  <c r="J2" i="7"/>
  <c r="I3" i="9" s="1"/>
  <c r="D2" i="7"/>
  <c r="D1003" i="7" s="1"/>
  <c r="I173" i="4"/>
  <c r="H173" i="4"/>
  <c r="G173" i="4"/>
  <c r="E173" i="4"/>
  <c r="I170" i="4"/>
  <c r="H170" i="4"/>
  <c r="G170" i="4"/>
  <c r="E170" i="4"/>
  <c r="G161" i="4"/>
  <c r="H161" i="4"/>
  <c r="I161" i="4"/>
  <c r="I160" i="4"/>
  <c r="H160" i="4"/>
  <c r="G160" i="4"/>
  <c r="E161" i="4"/>
  <c r="E160" i="4"/>
  <c r="I158" i="4"/>
  <c r="H158" i="4"/>
  <c r="G158" i="4"/>
  <c r="E158" i="4"/>
  <c r="I155" i="4"/>
  <c r="H155" i="4"/>
  <c r="G155" i="4"/>
  <c r="E155" i="4"/>
  <c r="I153" i="4"/>
  <c r="H153" i="4"/>
  <c r="G153" i="4"/>
  <c r="E153" i="4"/>
  <c r="I142" i="4"/>
  <c r="H142" i="4"/>
  <c r="G142" i="4"/>
  <c r="E142" i="4"/>
  <c r="I138" i="4"/>
  <c r="H138" i="4"/>
  <c r="G138" i="4"/>
  <c r="E138" i="4"/>
  <c r="I125" i="4"/>
  <c r="H125" i="4"/>
  <c r="G125" i="4"/>
  <c r="E125" i="4"/>
  <c r="I102" i="4"/>
  <c r="H102" i="4"/>
  <c r="G102" i="4"/>
  <c r="E102" i="4"/>
  <c r="I99" i="4"/>
  <c r="H99" i="4"/>
  <c r="G99" i="4"/>
  <c r="E99" i="4"/>
  <c r="I95" i="4"/>
  <c r="H95" i="4"/>
  <c r="G95" i="4"/>
  <c r="E95" i="4"/>
  <c r="I93" i="4"/>
  <c r="H93" i="4"/>
  <c r="G93" i="4"/>
  <c r="E93" i="4"/>
  <c r="H72" i="4"/>
  <c r="G72" i="4"/>
  <c r="E72" i="4"/>
  <c r="I72" i="4"/>
  <c r="G63" i="4"/>
  <c r="H63" i="4"/>
  <c r="I63" i="4"/>
  <c r="I62" i="4"/>
  <c r="H62" i="4"/>
  <c r="G62" i="4"/>
  <c r="E63" i="4"/>
  <c r="E62" i="4"/>
  <c r="I55" i="4"/>
  <c r="H55" i="4"/>
  <c r="G55" i="4"/>
  <c r="E55" i="4"/>
  <c r="I48" i="4"/>
  <c r="H48" i="4"/>
  <c r="G48" i="4"/>
  <c r="E48" i="4"/>
  <c r="I46" i="4"/>
  <c r="H46" i="4"/>
  <c r="G46" i="4"/>
  <c r="E46" i="4"/>
  <c r="H40" i="4"/>
  <c r="G40" i="4"/>
  <c r="E40" i="4"/>
  <c r="I40" i="4"/>
  <c r="I36" i="4"/>
  <c r="H36" i="4"/>
  <c r="G36" i="4"/>
  <c r="E36" i="4"/>
  <c r="I34" i="4"/>
  <c r="H34" i="4"/>
  <c r="G34" i="4"/>
  <c r="E34" i="4"/>
  <c r="I31" i="4"/>
  <c r="H31" i="4"/>
  <c r="G31" i="4"/>
  <c r="E31" i="4"/>
  <c r="I5" i="4"/>
  <c r="H5" i="4"/>
  <c r="G5" i="4"/>
  <c r="E5" i="4"/>
  <c r="I181" i="4"/>
  <c r="H181" i="4"/>
  <c r="G181" i="4"/>
  <c r="E181" i="4"/>
  <c r="I198" i="4"/>
  <c r="I189" i="4"/>
  <c r="I192" i="4"/>
  <c r="H192" i="4"/>
  <c r="I201" i="3"/>
  <c r="I193" i="4" s="1"/>
  <c r="H201" i="3"/>
  <c r="H392" i="7" s="1"/>
  <c r="G201" i="3"/>
  <c r="G193" i="4" s="1"/>
  <c r="E201" i="3"/>
  <c r="E193" i="4" s="1"/>
  <c r="E199" i="3"/>
  <c r="E391" i="7" s="1"/>
  <c r="G199" i="3"/>
  <c r="G192" i="4" s="1"/>
  <c r="H197" i="3"/>
  <c r="H388" i="7" s="1"/>
  <c r="G197" i="3"/>
  <c r="G388" i="7" s="1"/>
  <c r="E197" i="3"/>
  <c r="E189" i="4" s="1"/>
  <c r="I194" i="3"/>
  <c r="I194" i="4" s="1"/>
  <c r="H194" i="3"/>
  <c r="H194" i="4" s="1"/>
  <c r="G194" i="3"/>
  <c r="G194" i="4" s="1"/>
  <c r="E194" i="3"/>
  <c r="E393" i="7" s="1"/>
  <c r="H180" i="3"/>
  <c r="G180" i="3"/>
  <c r="E180" i="3"/>
  <c r="I177" i="3"/>
  <c r="H177" i="3"/>
  <c r="G177" i="3"/>
  <c r="E177" i="3"/>
  <c r="I175" i="3"/>
  <c r="H175" i="3"/>
  <c r="G175" i="3"/>
  <c r="E175" i="3"/>
  <c r="E176" i="3"/>
  <c r="I171" i="3"/>
  <c r="I170" i="3"/>
  <c r="H171" i="3"/>
  <c r="H170" i="3"/>
  <c r="G171" i="3"/>
  <c r="G170" i="3"/>
  <c r="E171" i="3"/>
  <c r="E170" i="3"/>
  <c r="I168" i="3"/>
  <c r="H168" i="3"/>
  <c r="G168" i="3"/>
  <c r="E168" i="3"/>
  <c r="I164" i="3"/>
  <c r="H164" i="3"/>
  <c r="G164" i="3"/>
  <c r="E164" i="3"/>
  <c r="I160" i="3"/>
  <c r="H160" i="3"/>
  <c r="G160" i="3"/>
  <c r="E160" i="3"/>
  <c r="I155" i="3"/>
  <c r="H155" i="3"/>
  <c r="G155" i="3"/>
  <c r="E155" i="3"/>
  <c r="I140" i="3"/>
  <c r="I57" i="3"/>
  <c r="H57" i="3"/>
  <c r="G57" i="3"/>
  <c r="E57" i="3"/>
  <c r="G52" i="3"/>
  <c r="E52" i="3"/>
  <c r="I20" i="3"/>
  <c r="I26" i="4" s="1"/>
  <c r="H20" i="3"/>
  <c r="H225" i="7" s="1"/>
  <c r="G20" i="3"/>
  <c r="G26" i="4" s="1"/>
  <c r="E20" i="3"/>
  <c r="E225" i="7" s="1"/>
  <c r="I13" i="3"/>
  <c r="I11" i="4" s="1"/>
  <c r="H13" i="3"/>
  <c r="H210" i="7" s="1"/>
  <c r="G13" i="3"/>
  <c r="G210" i="7" s="1"/>
  <c r="E13" i="3"/>
  <c r="E11" i="4" s="1"/>
  <c r="I147" i="3"/>
  <c r="H147" i="3"/>
  <c r="G147" i="3"/>
  <c r="E147" i="3"/>
  <c r="H140" i="3"/>
  <c r="G140" i="3"/>
  <c r="E140" i="3"/>
  <c r="E134" i="3"/>
  <c r="G130" i="3"/>
  <c r="E130" i="3"/>
  <c r="G125" i="3"/>
  <c r="H125" i="3"/>
  <c r="H124" i="3"/>
  <c r="G124" i="3"/>
  <c r="E125" i="3"/>
  <c r="E124" i="3"/>
  <c r="I93" i="3"/>
  <c r="H93" i="3"/>
  <c r="G93" i="3"/>
  <c r="E93" i="3"/>
  <c r="I85" i="3"/>
  <c r="I86" i="3"/>
  <c r="I87" i="3"/>
  <c r="I84" i="3"/>
  <c r="H86" i="3"/>
  <c r="H87" i="3"/>
  <c r="H85" i="3"/>
  <c r="G86" i="3"/>
  <c r="G87" i="3"/>
  <c r="G85" i="3"/>
  <c r="E86" i="3"/>
  <c r="E87" i="3"/>
  <c r="E85" i="3"/>
  <c r="H74" i="3"/>
  <c r="H198" i="4" s="1"/>
  <c r="G74" i="3"/>
  <c r="G397" i="7" s="1"/>
  <c r="E74" i="3"/>
  <c r="E397" i="7" s="1"/>
  <c r="H63" i="3"/>
  <c r="G63" i="3"/>
  <c r="E63" i="3"/>
  <c r="H51" i="3"/>
  <c r="G53" i="3"/>
  <c r="G51" i="3"/>
  <c r="E53" i="3"/>
  <c r="E51" i="3"/>
  <c r="I49" i="3"/>
  <c r="H49" i="3"/>
  <c r="G49" i="3"/>
  <c r="E49" i="3"/>
  <c r="I39" i="3"/>
  <c r="H39" i="3"/>
  <c r="G39" i="3"/>
  <c r="E39" i="3"/>
  <c r="I35" i="3"/>
  <c r="H35" i="3"/>
  <c r="G35" i="3"/>
  <c r="E35" i="3"/>
  <c r="I34" i="3"/>
  <c r="I19" i="4" s="1"/>
  <c r="H34" i="3"/>
  <c r="H218" i="7" s="1"/>
  <c r="G34" i="3"/>
  <c r="G19" i="4" s="1"/>
  <c r="E34" i="3"/>
  <c r="E19" i="4" s="1"/>
  <c r="I21" i="3"/>
  <c r="I223" i="7" s="1"/>
  <c r="H21" i="3"/>
  <c r="H24" i="4" s="1"/>
  <c r="G21" i="3"/>
  <c r="G223" i="7" s="1"/>
  <c r="E21" i="3"/>
  <c r="E223" i="7" s="1"/>
  <c r="E12" i="3"/>
  <c r="E14" i="4" s="1"/>
  <c r="E14" i="3"/>
  <c r="E23" i="4" s="1"/>
  <c r="E11" i="3"/>
  <c r="E215" i="7" s="1"/>
  <c r="G12" i="3"/>
  <c r="G14" i="4" s="1"/>
  <c r="G14" i="3"/>
  <c r="G23" i="4" s="1"/>
  <c r="G11" i="3"/>
  <c r="G215" i="7" s="1"/>
  <c r="H12" i="3"/>
  <c r="H213" i="7" s="1"/>
  <c r="H14" i="3"/>
  <c r="H222" i="7" s="1"/>
  <c r="H11" i="3"/>
  <c r="H16" i="4" s="1"/>
  <c r="I12" i="3"/>
  <c r="I14" i="4" s="1"/>
  <c r="I14" i="3"/>
  <c r="I23" i="4" s="1"/>
  <c r="I11" i="3"/>
  <c r="I16" i="4" s="1"/>
  <c r="I75" i="2"/>
  <c r="I78" i="1"/>
  <c r="H74" i="2"/>
  <c r="I6" i="1"/>
  <c r="I7" i="1"/>
  <c r="I8" i="1"/>
  <c r="I9" i="1"/>
  <c r="I12" i="1"/>
  <c r="I13" i="1"/>
  <c r="I14" i="1"/>
  <c r="I16" i="1"/>
  <c r="I17" i="1"/>
  <c r="I19" i="1"/>
  <c r="I21" i="1"/>
  <c r="I24" i="1"/>
  <c r="I25" i="1"/>
  <c r="I28" i="1"/>
  <c r="I29" i="1"/>
  <c r="I31" i="1"/>
  <c r="I32" i="1"/>
  <c r="I34" i="1"/>
  <c r="I36" i="1"/>
  <c r="I37" i="1"/>
  <c r="I39" i="1"/>
  <c r="I40" i="1"/>
  <c r="I41" i="1"/>
  <c r="I42" i="1"/>
  <c r="I43" i="1"/>
  <c r="I44" i="1"/>
  <c r="I45" i="1"/>
  <c r="I48" i="1"/>
  <c r="I49" i="1"/>
  <c r="I51" i="1"/>
  <c r="I52" i="1"/>
  <c r="I53" i="1"/>
  <c r="I54" i="1"/>
  <c r="I55" i="1"/>
  <c r="I56" i="1"/>
  <c r="I58" i="1"/>
  <c r="I59" i="1"/>
  <c r="I60" i="1"/>
  <c r="I61" i="1"/>
  <c r="I62" i="1"/>
  <c r="I63" i="1"/>
  <c r="I65" i="1"/>
  <c r="I66" i="1"/>
  <c r="I67" i="1"/>
  <c r="I68" i="1"/>
  <c r="I69" i="1"/>
  <c r="I70" i="1"/>
  <c r="I72" i="1"/>
  <c r="I73" i="1"/>
  <c r="I74" i="1"/>
  <c r="I75" i="1"/>
  <c r="I76" i="1"/>
  <c r="I79" i="1"/>
  <c r="I80" i="1"/>
  <c r="I81" i="1"/>
  <c r="I82" i="1"/>
  <c r="I83" i="1"/>
  <c r="I84" i="1"/>
  <c r="I85" i="1"/>
  <c r="I87" i="1"/>
  <c r="I88" i="1"/>
  <c r="I89" i="1"/>
  <c r="I91" i="1"/>
  <c r="I93" i="1"/>
  <c r="I94" i="1"/>
  <c r="I95" i="1"/>
  <c r="I96" i="1"/>
  <c r="I97" i="1"/>
  <c r="I98" i="1"/>
  <c r="I99" i="1"/>
  <c r="I102" i="1"/>
  <c r="I103" i="1"/>
  <c r="I104" i="1"/>
  <c r="I105" i="1"/>
  <c r="I106" i="1"/>
  <c r="I107" i="1"/>
  <c r="I108" i="1"/>
  <c r="I109" i="1"/>
  <c r="I111" i="1"/>
  <c r="I112" i="1"/>
  <c r="I113" i="1"/>
  <c r="I115" i="1"/>
  <c r="I116" i="1"/>
  <c r="I117" i="1"/>
  <c r="I118" i="1"/>
  <c r="I119" i="1"/>
  <c r="I120" i="1"/>
  <c r="I123" i="1"/>
  <c r="I124" i="1"/>
  <c r="I125" i="1"/>
  <c r="I127" i="1"/>
  <c r="I128" i="1"/>
  <c r="I129" i="1"/>
  <c r="I131" i="1"/>
  <c r="I132" i="1"/>
  <c r="I133" i="1"/>
  <c r="I135" i="1"/>
  <c r="I136" i="1"/>
  <c r="I139" i="1"/>
  <c r="I140" i="1"/>
  <c r="I141" i="1"/>
  <c r="I142" i="1"/>
  <c r="I143" i="1"/>
  <c r="I144" i="1"/>
  <c r="I145" i="1"/>
  <c r="I147" i="1"/>
  <c r="I148" i="1"/>
  <c r="I149" i="1"/>
  <c r="I150" i="1"/>
  <c r="I151" i="1"/>
  <c r="I152" i="1"/>
  <c r="I153" i="1"/>
  <c r="I154" i="1"/>
  <c r="I155" i="1"/>
  <c r="I156" i="1"/>
  <c r="I157" i="1"/>
  <c r="I158" i="1"/>
  <c r="I159" i="1"/>
  <c r="I161" i="1"/>
  <c r="I162" i="1"/>
  <c r="I164" i="1"/>
  <c r="I166" i="1"/>
  <c r="I168" i="1"/>
  <c r="I169" i="1"/>
  <c r="I170" i="1"/>
  <c r="I171" i="1"/>
  <c r="I172" i="1"/>
  <c r="I173" i="1"/>
  <c r="I174" i="1"/>
  <c r="I175" i="1"/>
  <c r="I177" i="1"/>
  <c r="I178" i="1"/>
  <c r="I179" i="1"/>
  <c r="I181" i="1"/>
  <c r="I182" i="1"/>
  <c r="I183" i="1"/>
  <c r="I184" i="1"/>
  <c r="I186" i="1"/>
  <c r="I187" i="1"/>
  <c r="I189" i="1"/>
  <c r="I193" i="1"/>
  <c r="I196" i="1"/>
  <c r="I198" i="1"/>
  <c r="I200" i="1"/>
  <c r="I201" i="1"/>
  <c r="I4" i="1"/>
  <c r="I3" i="1"/>
  <c r="G4" i="4"/>
  <c r="G6" i="4"/>
  <c r="G7" i="4"/>
  <c r="G8" i="4"/>
  <c r="G9" i="4"/>
  <c r="G10" i="4"/>
  <c r="G12" i="4"/>
  <c r="G13" i="4"/>
  <c r="G15" i="4"/>
  <c r="G17" i="4"/>
  <c r="G18" i="4"/>
  <c r="G20" i="4"/>
  <c r="G21" i="4"/>
  <c r="G22" i="4"/>
  <c r="G27" i="4"/>
  <c r="G28" i="4"/>
  <c r="G29" i="4"/>
  <c r="G30" i="4"/>
  <c r="G32" i="4"/>
  <c r="G33" i="4"/>
  <c r="G35" i="4"/>
  <c r="G37" i="4"/>
  <c r="G38" i="4"/>
  <c r="G39" i="4"/>
  <c r="G41" i="4"/>
  <c r="G42" i="4"/>
  <c r="G43" i="4"/>
  <c r="G44" i="4"/>
  <c r="G45" i="4"/>
  <c r="G47" i="4"/>
  <c r="G49" i="4"/>
  <c r="G50" i="4"/>
  <c r="G51" i="4"/>
  <c r="G53" i="4"/>
  <c r="G54" i="4"/>
  <c r="G56" i="4"/>
  <c r="G57" i="4"/>
  <c r="G58" i="4"/>
  <c r="G60" i="4"/>
  <c r="G61" i="4"/>
  <c r="G64" i="4"/>
  <c r="G65" i="4"/>
  <c r="G66" i="4"/>
  <c r="G67" i="4"/>
  <c r="G68" i="4"/>
  <c r="G70" i="4"/>
  <c r="G71" i="4"/>
  <c r="G74" i="4"/>
  <c r="G75" i="4"/>
  <c r="G76" i="4"/>
  <c r="G77" i="4"/>
  <c r="G78" i="4"/>
  <c r="G79" i="4"/>
  <c r="G80" i="4"/>
  <c r="G81" i="4"/>
  <c r="G83" i="4"/>
  <c r="G84" i="4"/>
  <c r="G85" i="4"/>
  <c r="G87" i="4"/>
  <c r="G88" i="4"/>
  <c r="G89" i="4"/>
  <c r="G90" i="4"/>
  <c r="G91" i="4"/>
  <c r="G92" i="4"/>
  <c r="G94" i="4"/>
  <c r="G97" i="4"/>
  <c r="G98" i="4"/>
  <c r="G100" i="4"/>
  <c r="G101" i="4"/>
  <c r="G103" i="4"/>
  <c r="G104" i="4"/>
  <c r="G105" i="4"/>
  <c r="G107" i="4"/>
  <c r="G108" i="4"/>
  <c r="G109" i="4"/>
  <c r="G110" i="4"/>
  <c r="G112" i="4"/>
  <c r="G113" i="4"/>
  <c r="G114" i="4"/>
  <c r="G115" i="4"/>
  <c r="G116" i="4"/>
  <c r="G117" i="4"/>
  <c r="G118" i="4"/>
  <c r="G119" i="4"/>
  <c r="G120" i="4"/>
  <c r="G121" i="4"/>
  <c r="G123" i="4"/>
  <c r="G124" i="4"/>
  <c r="G126" i="4"/>
  <c r="G127" i="4"/>
  <c r="G128" i="4"/>
  <c r="G129" i="4"/>
  <c r="G130" i="4"/>
  <c r="G131" i="4"/>
  <c r="G132" i="4"/>
  <c r="G133" i="4"/>
  <c r="G134" i="4"/>
  <c r="G135" i="4"/>
  <c r="G137" i="4"/>
  <c r="G139" i="4"/>
  <c r="G140" i="4"/>
  <c r="G141" i="4"/>
  <c r="G143" i="4"/>
  <c r="G144" i="4"/>
  <c r="G145" i="4"/>
  <c r="G146" i="4"/>
  <c r="G147" i="4"/>
  <c r="G148" i="4"/>
  <c r="G149" i="4"/>
  <c r="G150" i="4"/>
  <c r="G151" i="4"/>
  <c r="G152" i="4"/>
  <c r="G154" i="4"/>
  <c r="G156" i="4"/>
  <c r="G157" i="4"/>
  <c r="G159" i="4"/>
  <c r="G162" i="4"/>
  <c r="G163" i="4"/>
  <c r="G164" i="4"/>
  <c r="G165" i="4"/>
  <c r="G167" i="4"/>
  <c r="G168" i="4"/>
  <c r="G169" i="4"/>
  <c r="G171" i="4"/>
  <c r="G172" i="4"/>
  <c r="G174" i="4"/>
  <c r="G175" i="4"/>
  <c r="G177" i="4"/>
  <c r="G178" i="4"/>
  <c r="G179" i="4"/>
  <c r="G180" i="4"/>
  <c r="G182" i="4"/>
  <c r="G183" i="4"/>
  <c r="G184" i="4"/>
  <c r="G185" i="4"/>
  <c r="G186" i="4"/>
  <c r="G187" i="4"/>
  <c r="G188" i="4"/>
  <c r="G190" i="4"/>
  <c r="G191" i="4"/>
  <c r="G195" i="4"/>
  <c r="G196" i="4"/>
  <c r="G197" i="4"/>
  <c r="G199" i="4"/>
  <c r="G200" i="4"/>
  <c r="G201" i="4"/>
  <c r="G202" i="4"/>
  <c r="G3" i="4"/>
  <c r="E27" i="4"/>
  <c r="E28" i="4"/>
  <c r="E29" i="4"/>
  <c r="E30" i="4"/>
  <c r="E32" i="4"/>
  <c r="E33" i="4"/>
  <c r="E35" i="4"/>
  <c r="E37" i="4"/>
  <c r="E38" i="4"/>
  <c r="E39" i="4"/>
  <c r="E41" i="4"/>
  <c r="E42" i="4"/>
  <c r="E43" i="4"/>
  <c r="E44" i="4"/>
  <c r="E45" i="4"/>
  <c r="E47" i="4"/>
  <c r="E49" i="4"/>
  <c r="E50" i="4"/>
  <c r="E51" i="4"/>
  <c r="E53" i="4"/>
  <c r="E54" i="4"/>
  <c r="E56" i="4"/>
  <c r="E57" i="4"/>
  <c r="E58" i="4"/>
  <c r="E60" i="4"/>
  <c r="E61" i="4"/>
  <c r="E64" i="4"/>
  <c r="E65" i="4"/>
  <c r="E66" i="4"/>
  <c r="E67" i="4"/>
  <c r="E68" i="4"/>
  <c r="E70" i="4"/>
  <c r="E71" i="4"/>
  <c r="E74" i="4"/>
  <c r="E75" i="4"/>
  <c r="E76" i="4"/>
  <c r="E77" i="4"/>
  <c r="E78" i="4"/>
  <c r="E79" i="4"/>
  <c r="E80" i="4"/>
  <c r="E81" i="4"/>
  <c r="E83" i="4"/>
  <c r="E84" i="4"/>
  <c r="E85" i="4"/>
  <c r="E87" i="4"/>
  <c r="E88" i="4"/>
  <c r="E89" i="4"/>
  <c r="E90" i="4"/>
  <c r="E91" i="4"/>
  <c r="E92" i="4"/>
  <c r="E94" i="4"/>
  <c r="E97" i="4"/>
  <c r="E98" i="4"/>
  <c r="E100" i="4"/>
  <c r="E101" i="4"/>
  <c r="E103" i="4"/>
  <c r="E104" i="4"/>
  <c r="E105" i="4"/>
  <c r="E107" i="4"/>
  <c r="E108" i="4"/>
  <c r="E109" i="4"/>
  <c r="E110" i="4"/>
  <c r="E112" i="4"/>
  <c r="E113" i="4"/>
  <c r="E114" i="4"/>
  <c r="E115" i="4"/>
  <c r="E116" i="4"/>
  <c r="E117" i="4"/>
  <c r="E118" i="4"/>
  <c r="E119" i="4"/>
  <c r="E120" i="4"/>
  <c r="E121" i="4"/>
  <c r="E123" i="4"/>
  <c r="E124" i="4"/>
  <c r="E126" i="4"/>
  <c r="E127" i="4"/>
  <c r="E128" i="4"/>
  <c r="E129" i="4"/>
  <c r="E130" i="4"/>
  <c r="E131" i="4"/>
  <c r="E132" i="4"/>
  <c r="E133" i="4"/>
  <c r="E134" i="4"/>
  <c r="E135" i="4"/>
  <c r="E137" i="4"/>
  <c r="E139" i="4"/>
  <c r="E140" i="4"/>
  <c r="E141" i="4"/>
  <c r="E143" i="4"/>
  <c r="E144" i="4"/>
  <c r="E145" i="4"/>
  <c r="E146" i="4"/>
  <c r="E147" i="4"/>
  <c r="E148" i="4"/>
  <c r="E149" i="4"/>
  <c r="E150" i="4"/>
  <c r="E151" i="4"/>
  <c r="E152" i="4"/>
  <c r="E154" i="4"/>
  <c r="E156" i="4"/>
  <c r="E157" i="4"/>
  <c r="E159" i="4"/>
  <c r="E162" i="4"/>
  <c r="E163" i="4"/>
  <c r="E164" i="4"/>
  <c r="E165" i="4"/>
  <c r="E167" i="4"/>
  <c r="E168" i="4"/>
  <c r="E169" i="4"/>
  <c r="E171" i="4"/>
  <c r="E172" i="4"/>
  <c r="E174" i="4"/>
  <c r="E175" i="4"/>
  <c r="E177" i="4"/>
  <c r="E178" i="4"/>
  <c r="E179" i="4"/>
  <c r="E180" i="4"/>
  <c r="E182" i="4"/>
  <c r="E183" i="4"/>
  <c r="E184" i="4"/>
  <c r="E185" i="4"/>
  <c r="E186" i="4"/>
  <c r="E187" i="4"/>
  <c r="E190" i="4"/>
  <c r="E191" i="4"/>
  <c r="E195" i="4"/>
  <c r="E196" i="4"/>
  <c r="E197" i="4"/>
  <c r="E199" i="4"/>
  <c r="E200" i="4"/>
  <c r="E201" i="4"/>
  <c r="E202" i="4"/>
  <c r="E4" i="4"/>
  <c r="E6" i="4"/>
  <c r="E7" i="4"/>
  <c r="E8" i="4"/>
  <c r="E9" i="4"/>
  <c r="E10" i="4"/>
  <c r="E12" i="4"/>
  <c r="E13" i="4"/>
  <c r="E15" i="4"/>
  <c r="E17" i="4"/>
  <c r="E18" i="4"/>
  <c r="E20" i="4"/>
  <c r="E21" i="4"/>
  <c r="E22" i="4"/>
  <c r="E3" i="4"/>
  <c r="G40" i="3"/>
  <c r="G41" i="3"/>
  <c r="G42" i="3"/>
  <c r="G43" i="3"/>
  <c r="G44" i="3"/>
  <c r="G45" i="3"/>
  <c r="G46" i="3"/>
  <c r="G47" i="3"/>
  <c r="G48" i="3"/>
  <c r="G50" i="3"/>
  <c r="G54" i="3"/>
  <c r="G55" i="3"/>
  <c r="G56" i="3"/>
  <c r="G58" i="3"/>
  <c r="G59" i="3"/>
  <c r="G60" i="3"/>
  <c r="G61" i="3"/>
  <c r="G62" i="3"/>
  <c r="G64" i="3"/>
  <c r="G65" i="3"/>
  <c r="G66" i="3"/>
  <c r="G67" i="3"/>
  <c r="G68" i="3"/>
  <c r="G69" i="3"/>
  <c r="G70" i="3"/>
  <c r="G71" i="3"/>
  <c r="G72" i="3"/>
  <c r="G73" i="3"/>
  <c r="G75" i="3"/>
  <c r="G76" i="3"/>
  <c r="G77" i="3"/>
  <c r="G78" i="3"/>
  <c r="G79" i="3"/>
  <c r="G80" i="3"/>
  <c r="G81" i="3"/>
  <c r="G82" i="3"/>
  <c r="G83" i="3"/>
  <c r="G84" i="3"/>
  <c r="G88" i="3"/>
  <c r="G89" i="3"/>
  <c r="G90" i="3"/>
  <c r="G91" i="3"/>
  <c r="G92" i="3"/>
  <c r="G94" i="3"/>
  <c r="G95" i="3"/>
  <c r="G96" i="3"/>
  <c r="G97" i="3"/>
  <c r="G98" i="3"/>
  <c r="G99" i="3"/>
  <c r="G100" i="3"/>
  <c r="G101" i="3"/>
  <c r="G102" i="3"/>
  <c r="G103" i="3"/>
  <c r="G104" i="3"/>
  <c r="G105" i="3"/>
  <c r="G106" i="3"/>
  <c r="G107" i="3"/>
  <c r="G108" i="3"/>
  <c r="G110" i="3"/>
  <c r="G111" i="3"/>
  <c r="G112" i="3"/>
  <c r="G113" i="3"/>
  <c r="G114" i="3"/>
  <c r="G115" i="3"/>
  <c r="G117" i="3"/>
  <c r="G118" i="3"/>
  <c r="G119" i="3"/>
  <c r="G120" i="3"/>
  <c r="G121" i="3"/>
  <c r="G122" i="3"/>
  <c r="G123" i="3"/>
  <c r="G126" i="3"/>
  <c r="G127" i="3"/>
  <c r="G128" i="3"/>
  <c r="G129" i="3"/>
  <c r="G131" i="3"/>
  <c r="G132" i="3"/>
  <c r="G134" i="3"/>
  <c r="G135" i="3"/>
  <c r="G136" i="3"/>
  <c r="G137" i="3"/>
  <c r="G139" i="3"/>
  <c r="G141" i="3"/>
  <c r="G142" i="3"/>
  <c r="G143" i="3"/>
  <c r="G144" i="3"/>
  <c r="G145" i="3"/>
  <c r="G146" i="3"/>
  <c r="G148" i="3"/>
  <c r="G149" i="3"/>
  <c r="G150" i="3"/>
  <c r="G151" i="3"/>
  <c r="G152" i="3"/>
  <c r="G154" i="3"/>
  <c r="G156" i="3"/>
  <c r="G157" i="3"/>
  <c r="G158" i="3"/>
  <c r="G159" i="3"/>
  <c r="G161" i="3"/>
  <c r="G162" i="3"/>
  <c r="G163" i="3"/>
  <c r="G165" i="3"/>
  <c r="G166" i="3"/>
  <c r="G167" i="3"/>
  <c r="G169" i="3"/>
  <c r="G172" i="3"/>
  <c r="G173" i="3"/>
  <c r="G174" i="3"/>
  <c r="G176" i="3"/>
  <c r="G178" i="3"/>
  <c r="G179" i="3"/>
  <c r="G181" i="3"/>
  <c r="G182" i="3"/>
  <c r="G183" i="3"/>
  <c r="G184" i="3"/>
  <c r="G185" i="3"/>
  <c r="G186" i="3"/>
  <c r="G187" i="3"/>
  <c r="G188" i="3"/>
  <c r="G189" i="3"/>
  <c r="G191" i="3"/>
  <c r="G192" i="3"/>
  <c r="G193" i="3"/>
  <c r="G195" i="3"/>
  <c r="G196" i="3"/>
  <c r="G198" i="3"/>
  <c r="G200" i="3"/>
  <c r="G202" i="3"/>
  <c r="G4" i="3"/>
  <c r="G5" i="3"/>
  <c r="G6" i="3"/>
  <c r="G7" i="3"/>
  <c r="G8" i="3"/>
  <c r="G9" i="3"/>
  <c r="G10" i="3"/>
  <c r="G15" i="3"/>
  <c r="G16" i="3"/>
  <c r="G17" i="3"/>
  <c r="G18" i="3"/>
  <c r="G19" i="3"/>
  <c r="G22" i="3"/>
  <c r="G23" i="3"/>
  <c r="G24" i="3"/>
  <c r="G224" i="7" s="1"/>
  <c r="G25" i="3"/>
  <c r="G26" i="3"/>
  <c r="G27" i="3"/>
  <c r="G28" i="3"/>
  <c r="G29" i="3"/>
  <c r="G30" i="3"/>
  <c r="G31" i="3"/>
  <c r="G32" i="3"/>
  <c r="G33" i="3"/>
  <c r="G36" i="3"/>
  <c r="G37" i="3"/>
  <c r="G38" i="3"/>
  <c r="G3" i="3"/>
  <c r="E4" i="3"/>
  <c r="E5" i="3"/>
  <c r="E6" i="3"/>
  <c r="E7" i="3"/>
  <c r="E8" i="3"/>
  <c r="E9" i="3"/>
  <c r="E10" i="3"/>
  <c r="E15" i="3"/>
  <c r="E16" i="3"/>
  <c r="E17" i="3"/>
  <c r="E18" i="3"/>
  <c r="E19" i="3"/>
  <c r="E22" i="3"/>
  <c r="E23" i="3"/>
  <c r="E24" i="3"/>
  <c r="E25" i="4" s="1"/>
  <c r="E25" i="3"/>
  <c r="E26" i="3"/>
  <c r="E27" i="3"/>
  <c r="E28" i="3"/>
  <c r="E29" i="3"/>
  <c r="E30" i="3"/>
  <c r="E31" i="3"/>
  <c r="E32" i="3"/>
  <c r="E33" i="3"/>
  <c r="E36" i="3"/>
  <c r="E37" i="3"/>
  <c r="E38" i="3"/>
  <c r="E40" i="3"/>
  <c r="E41" i="3"/>
  <c r="E42" i="3"/>
  <c r="E43" i="3"/>
  <c r="E44" i="3"/>
  <c r="E45" i="3"/>
  <c r="E46" i="3"/>
  <c r="E47" i="3"/>
  <c r="E48" i="3"/>
  <c r="E50" i="3"/>
  <c r="E54" i="3"/>
  <c r="E55" i="3"/>
  <c r="E56" i="3"/>
  <c r="E58" i="3"/>
  <c r="E59" i="3"/>
  <c r="E60" i="3"/>
  <c r="E61" i="3"/>
  <c r="E62" i="3"/>
  <c r="E64" i="3"/>
  <c r="E65" i="3"/>
  <c r="E66" i="3"/>
  <c r="E67" i="3"/>
  <c r="E68" i="3"/>
  <c r="E69" i="3"/>
  <c r="E70" i="3"/>
  <c r="E71" i="3"/>
  <c r="E72" i="3"/>
  <c r="E73" i="3"/>
  <c r="E75" i="3"/>
  <c r="E76" i="3"/>
  <c r="E77" i="3"/>
  <c r="E78" i="3"/>
  <c r="E79" i="3"/>
  <c r="E80" i="3"/>
  <c r="E81" i="3"/>
  <c r="E82" i="3"/>
  <c r="E83" i="3"/>
  <c r="E84" i="3"/>
  <c r="E88" i="3"/>
  <c r="E89" i="3"/>
  <c r="E90" i="3"/>
  <c r="E91" i="3"/>
  <c r="E92" i="3"/>
  <c r="E94" i="3"/>
  <c r="E95" i="3"/>
  <c r="E96" i="3"/>
  <c r="E97" i="3"/>
  <c r="E98" i="3"/>
  <c r="E99" i="3"/>
  <c r="E100" i="3"/>
  <c r="E101" i="3"/>
  <c r="E102" i="3"/>
  <c r="E103" i="3"/>
  <c r="E104" i="3"/>
  <c r="E105" i="3"/>
  <c r="E106" i="3"/>
  <c r="E107" i="3"/>
  <c r="E108" i="3"/>
  <c r="E110" i="3"/>
  <c r="E111" i="3"/>
  <c r="E112" i="3"/>
  <c r="E113" i="3"/>
  <c r="E114" i="3"/>
  <c r="E115" i="3"/>
  <c r="E117" i="3"/>
  <c r="E118" i="3"/>
  <c r="E119" i="3"/>
  <c r="E120" i="3"/>
  <c r="E121" i="3"/>
  <c r="E122" i="3"/>
  <c r="E123" i="3"/>
  <c r="E126" i="3"/>
  <c r="E127" i="3"/>
  <c r="E128" i="3"/>
  <c r="E129" i="3"/>
  <c r="E131" i="3"/>
  <c r="E132" i="3"/>
  <c r="E135" i="3"/>
  <c r="E136" i="3"/>
  <c r="E137" i="3"/>
  <c r="E139" i="3"/>
  <c r="E141" i="3"/>
  <c r="E142" i="3"/>
  <c r="E143" i="3"/>
  <c r="E144" i="3"/>
  <c r="E145" i="3"/>
  <c r="E146" i="3"/>
  <c r="E148" i="3"/>
  <c r="E149" i="3"/>
  <c r="E150" i="3"/>
  <c r="E151" i="3"/>
  <c r="E152" i="3"/>
  <c r="E154" i="3"/>
  <c r="E156" i="3"/>
  <c r="E157" i="3"/>
  <c r="E158" i="3"/>
  <c r="E159" i="3"/>
  <c r="E161" i="3"/>
  <c r="E162" i="3"/>
  <c r="E163" i="3"/>
  <c r="E165" i="3"/>
  <c r="E166" i="3"/>
  <c r="E167" i="3"/>
  <c r="E169" i="3"/>
  <c r="E172" i="3"/>
  <c r="E173" i="3"/>
  <c r="E174" i="3"/>
  <c r="E178" i="3"/>
  <c r="E179" i="3"/>
  <c r="E181" i="3"/>
  <c r="E182" i="3"/>
  <c r="E183" i="3"/>
  <c r="E387" i="7" s="1"/>
  <c r="E184" i="3"/>
  <c r="E185" i="3"/>
  <c r="E186" i="3"/>
  <c r="E187" i="3"/>
  <c r="E188" i="3"/>
  <c r="E189" i="3"/>
  <c r="E191" i="3"/>
  <c r="E192" i="3"/>
  <c r="E193" i="3"/>
  <c r="E195" i="3"/>
  <c r="E196" i="3"/>
  <c r="E198" i="3"/>
  <c r="E200" i="3"/>
  <c r="E202" i="3"/>
  <c r="E3" i="3"/>
  <c r="H31" i="2"/>
  <c r="H34" i="2"/>
  <c r="H35" i="2"/>
  <c r="H37" i="2"/>
  <c r="H38" i="2"/>
  <c r="H40" i="2"/>
  <c r="H52" i="3" s="1"/>
  <c r="H41" i="2"/>
  <c r="H43" i="2"/>
  <c r="H45" i="2"/>
  <c r="H46" i="2"/>
  <c r="H47" i="2"/>
  <c r="H48" i="2"/>
  <c r="H49" i="2"/>
  <c r="H50" i="2"/>
  <c r="H53" i="2"/>
  <c r="H54" i="2"/>
  <c r="H55" i="2"/>
  <c r="H56" i="2"/>
  <c r="H57" i="2"/>
  <c r="H58" i="2"/>
  <c r="H60" i="2"/>
  <c r="H61" i="2"/>
  <c r="H62" i="2"/>
  <c r="H63" i="2"/>
  <c r="H64" i="2"/>
  <c r="H65" i="2"/>
  <c r="H66" i="2"/>
  <c r="H67" i="2"/>
  <c r="H68" i="2"/>
  <c r="H69" i="2"/>
  <c r="H70" i="2"/>
  <c r="H71" i="2"/>
  <c r="H72" i="2"/>
  <c r="H73" i="2"/>
  <c r="H75" i="2"/>
  <c r="H76" i="2"/>
  <c r="H77" i="2"/>
  <c r="H78" i="2"/>
  <c r="H79" i="2"/>
  <c r="H81" i="2"/>
  <c r="H82" i="2"/>
  <c r="H83" i="2"/>
  <c r="H84" i="2"/>
  <c r="H85" i="2"/>
  <c r="H86" i="2"/>
  <c r="H87" i="2"/>
  <c r="H88" i="2"/>
  <c r="H89" i="2"/>
  <c r="H90" i="2"/>
  <c r="H91" i="2"/>
  <c r="H92" i="2"/>
  <c r="H93" i="2"/>
  <c r="H94" i="2"/>
  <c r="H95" i="2"/>
  <c r="H96" i="2"/>
  <c r="H97" i="2"/>
  <c r="H99" i="2"/>
  <c r="H100" i="2"/>
  <c r="H101" i="2"/>
  <c r="H102" i="2"/>
  <c r="H103" i="2"/>
  <c r="H104" i="2"/>
  <c r="H105" i="2"/>
  <c r="H106" i="2"/>
  <c r="H107" i="2"/>
  <c r="H109" i="2"/>
  <c r="H111" i="2"/>
  <c r="H112" i="2"/>
  <c r="H113" i="2"/>
  <c r="H114" i="2"/>
  <c r="H115" i="2"/>
  <c r="H116" i="2"/>
  <c r="H117" i="2"/>
  <c r="H118" i="2"/>
  <c r="H119" i="2"/>
  <c r="H121" i="2"/>
  <c r="H122" i="2"/>
  <c r="H123" i="2"/>
  <c r="H124" i="2"/>
  <c r="H125" i="2"/>
  <c r="H126" i="2"/>
  <c r="H127" i="2"/>
  <c r="H128" i="2"/>
  <c r="H129" i="2"/>
  <c r="H130" i="2"/>
  <c r="H131" i="2"/>
  <c r="H132" i="2"/>
  <c r="H133" i="2"/>
  <c r="H134" i="2"/>
  <c r="H135" i="2"/>
  <c r="H136" i="2"/>
  <c r="H138" i="2"/>
  <c r="H139" i="2"/>
  <c r="H140" i="2"/>
  <c r="H141" i="2"/>
  <c r="H142" i="2"/>
  <c r="H143" i="2"/>
  <c r="H144" i="2"/>
  <c r="H145" i="2"/>
  <c r="H146" i="2"/>
  <c r="H147" i="2"/>
  <c r="H148" i="2"/>
  <c r="H149" i="2"/>
  <c r="H150" i="2"/>
  <c r="H151" i="2"/>
  <c r="H153" i="2"/>
  <c r="H154" i="2"/>
  <c r="H155" i="2"/>
  <c r="H156" i="2"/>
  <c r="H157" i="2"/>
  <c r="H158" i="2"/>
  <c r="H159" i="2"/>
  <c r="H160" i="2"/>
  <c r="H161" i="2"/>
  <c r="H164" i="2"/>
  <c r="H165" i="2"/>
  <c r="H166" i="2"/>
  <c r="H167" i="2"/>
  <c r="H168" i="2"/>
  <c r="H169" i="2"/>
  <c r="H171" i="2"/>
  <c r="H172" i="2"/>
  <c r="H173" i="2"/>
  <c r="H174" i="2"/>
  <c r="H175" i="2"/>
  <c r="H176" i="2"/>
  <c r="H177" i="2"/>
  <c r="H179" i="2"/>
  <c r="H180" i="2"/>
  <c r="H181" i="2"/>
  <c r="H182" i="2"/>
  <c r="H184" i="2"/>
  <c r="H185" i="2"/>
  <c r="H186" i="2"/>
  <c r="H187" i="2"/>
  <c r="H188" i="2"/>
  <c r="H189" i="2"/>
  <c r="H190" i="2"/>
  <c r="H191" i="2"/>
  <c r="H192" i="2"/>
  <c r="H193" i="2"/>
  <c r="H194" i="2"/>
  <c r="H195" i="2"/>
  <c r="H196" i="2"/>
  <c r="H197" i="2"/>
  <c r="H199" i="2"/>
  <c r="H200" i="2"/>
  <c r="H201" i="2"/>
  <c r="H202" i="2"/>
  <c r="H9" i="2"/>
  <c r="H10" i="2"/>
  <c r="H11" i="2"/>
  <c r="H13" i="2"/>
  <c r="H15" i="2"/>
  <c r="H16" i="2"/>
  <c r="H20" i="2"/>
  <c r="H21" i="2"/>
  <c r="H23" i="2"/>
  <c r="H25" i="2"/>
  <c r="H26" i="2"/>
  <c r="H27" i="2"/>
  <c r="H30" i="2"/>
  <c r="H3" i="2"/>
  <c r="G31" i="2"/>
  <c r="G34" i="2"/>
  <c r="G35" i="2"/>
  <c r="G37" i="2"/>
  <c r="G38" i="2"/>
  <c r="G40" i="2"/>
  <c r="G41" i="2"/>
  <c r="G43" i="2"/>
  <c r="G45" i="2"/>
  <c r="G46" i="2"/>
  <c r="G47" i="2"/>
  <c r="G48" i="2"/>
  <c r="G49" i="2"/>
  <c r="G50" i="2"/>
  <c r="G53" i="2"/>
  <c r="G54" i="2"/>
  <c r="G55" i="2"/>
  <c r="G56" i="2"/>
  <c r="G57" i="2"/>
  <c r="G58" i="2"/>
  <c r="G60" i="2"/>
  <c r="G61" i="2"/>
  <c r="G62" i="2"/>
  <c r="G63" i="2"/>
  <c r="G64" i="2"/>
  <c r="G65" i="2"/>
  <c r="G66" i="2"/>
  <c r="G67" i="2"/>
  <c r="G68" i="2"/>
  <c r="G69" i="2"/>
  <c r="G70" i="2"/>
  <c r="G71" i="2"/>
  <c r="G72" i="2"/>
  <c r="G73" i="2"/>
  <c r="G74" i="2"/>
  <c r="G75" i="2"/>
  <c r="G76" i="2"/>
  <c r="G77" i="2"/>
  <c r="G78" i="2"/>
  <c r="G79" i="2"/>
  <c r="G81" i="2"/>
  <c r="G82" i="2"/>
  <c r="G83" i="2"/>
  <c r="G84" i="2"/>
  <c r="G85" i="2"/>
  <c r="G86" i="2"/>
  <c r="G87" i="2"/>
  <c r="G88" i="2"/>
  <c r="G89" i="2"/>
  <c r="G90" i="2"/>
  <c r="G91" i="2"/>
  <c r="G92" i="2"/>
  <c r="G93" i="2"/>
  <c r="G94" i="2"/>
  <c r="G95" i="2"/>
  <c r="G96" i="2"/>
  <c r="G97" i="2"/>
  <c r="G99" i="2"/>
  <c r="G100" i="2"/>
  <c r="G101" i="2"/>
  <c r="G102" i="2"/>
  <c r="G103" i="2"/>
  <c r="G104" i="2"/>
  <c r="G105" i="2"/>
  <c r="G106" i="2"/>
  <c r="G107" i="2"/>
  <c r="G109" i="2"/>
  <c r="G111" i="2"/>
  <c r="G112" i="2"/>
  <c r="G113" i="2"/>
  <c r="G114" i="2"/>
  <c r="G115" i="2"/>
  <c r="G116" i="2"/>
  <c r="G117" i="2"/>
  <c r="G118" i="2"/>
  <c r="G119" i="2"/>
  <c r="G121" i="2"/>
  <c r="G122" i="2"/>
  <c r="G123" i="2"/>
  <c r="G124" i="2"/>
  <c r="G125" i="2"/>
  <c r="G126" i="2"/>
  <c r="G127" i="2"/>
  <c r="G128" i="2"/>
  <c r="G129" i="2"/>
  <c r="G130" i="2"/>
  <c r="G131" i="2"/>
  <c r="G132" i="2"/>
  <c r="G133" i="2"/>
  <c r="G134" i="2"/>
  <c r="G135" i="2"/>
  <c r="G136" i="2"/>
  <c r="G138" i="2"/>
  <c r="G139" i="2"/>
  <c r="G140" i="2"/>
  <c r="G141" i="2"/>
  <c r="G142" i="2"/>
  <c r="G143" i="2"/>
  <c r="G144" i="2"/>
  <c r="G145" i="2"/>
  <c r="G146" i="2"/>
  <c r="G147" i="2"/>
  <c r="G148" i="2"/>
  <c r="G149" i="2"/>
  <c r="G150" i="2"/>
  <c r="G151" i="2"/>
  <c r="G153" i="2"/>
  <c r="G154" i="2"/>
  <c r="G155" i="2"/>
  <c r="G156" i="2"/>
  <c r="G157" i="2"/>
  <c r="G158" i="2"/>
  <c r="G159" i="2"/>
  <c r="G160" i="2"/>
  <c r="G161" i="2"/>
  <c r="G164" i="2"/>
  <c r="G165" i="2"/>
  <c r="G166" i="2"/>
  <c r="G167" i="2"/>
  <c r="G168" i="2"/>
  <c r="G169" i="2"/>
  <c r="G171" i="2"/>
  <c r="G172" i="2"/>
  <c r="G173" i="2"/>
  <c r="G174" i="2"/>
  <c r="G175" i="2"/>
  <c r="G176" i="2"/>
  <c r="G177" i="2"/>
  <c r="G179" i="2"/>
  <c r="G180" i="2"/>
  <c r="G181" i="2"/>
  <c r="G182" i="2"/>
  <c r="G184" i="2"/>
  <c r="G185" i="2"/>
  <c r="G186" i="2"/>
  <c r="G187" i="2"/>
  <c r="G188" i="2"/>
  <c r="G189" i="2"/>
  <c r="G190" i="2"/>
  <c r="G191" i="2"/>
  <c r="G192" i="2"/>
  <c r="G193" i="2"/>
  <c r="G194" i="2"/>
  <c r="G195" i="2"/>
  <c r="G196" i="2"/>
  <c r="G197" i="2"/>
  <c r="G199" i="2"/>
  <c r="G200" i="2"/>
  <c r="G201" i="2"/>
  <c r="G202" i="2"/>
  <c r="G6" i="2"/>
  <c r="G9" i="2"/>
  <c r="G10" i="2"/>
  <c r="G11" i="2"/>
  <c r="G13" i="2"/>
  <c r="G15" i="2"/>
  <c r="G16" i="2"/>
  <c r="G20" i="2"/>
  <c r="G21" i="2"/>
  <c r="G23" i="2"/>
  <c r="G25" i="2"/>
  <c r="G26" i="2"/>
  <c r="G27" i="2"/>
  <c r="G30" i="2"/>
  <c r="G3" i="2"/>
  <c r="E34" i="2"/>
  <c r="E35" i="2"/>
  <c r="E37" i="2"/>
  <c r="E38" i="2"/>
  <c r="E40" i="2"/>
  <c r="E41" i="2"/>
  <c r="E43" i="2"/>
  <c r="E45" i="2"/>
  <c r="E46" i="2"/>
  <c r="E47" i="2"/>
  <c r="E48" i="2"/>
  <c r="E49" i="2"/>
  <c r="E50" i="2"/>
  <c r="E53" i="2"/>
  <c r="E54" i="2"/>
  <c r="E55" i="2"/>
  <c r="E56" i="2"/>
  <c r="E57" i="2"/>
  <c r="E58" i="2"/>
  <c r="E60" i="2"/>
  <c r="E61" i="2"/>
  <c r="E62" i="2"/>
  <c r="E63" i="2"/>
  <c r="E64" i="2"/>
  <c r="E65" i="2"/>
  <c r="E66" i="2"/>
  <c r="E67" i="2"/>
  <c r="E68" i="2"/>
  <c r="E69" i="2"/>
  <c r="E70" i="2"/>
  <c r="E71" i="2"/>
  <c r="E72" i="2"/>
  <c r="E73" i="2"/>
  <c r="E74" i="2"/>
  <c r="E75" i="2"/>
  <c r="E76" i="2"/>
  <c r="E77" i="2"/>
  <c r="E78" i="2"/>
  <c r="E79" i="2"/>
  <c r="E81" i="2"/>
  <c r="E82" i="2"/>
  <c r="E83" i="2"/>
  <c r="E84" i="2"/>
  <c r="E85" i="2"/>
  <c r="E86" i="2"/>
  <c r="E87" i="2"/>
  <c r="E88" i="2"/>
  <c r="E89" i="2"/>
  <c r="E90" i="2"/>
  <c r="E91" i="2"/>
  <c r="E92" i="2"/>
  <c r="E93" i="2"/>
  <c r="E94" i="2"/>
  <c r="E95" i="2"/>
  <c r="E96" i="2"/>
  <c r="E97" i="2"/>
  <c r="E99" i="2"/>
  <c r="E100" i="2"/>
  <c r="E101" i="2"/>
  <c r="E102" i="2"/>
  <c r="E103" i="2"/>
  <c r="E104" i="2"/>
  <c r="E105" i="2"/>
  <c r="E106" i="2"/>
  <c r="E107" i="2"/>
  <c r="E109" i="2"/>
  <c r="E111" i="2"/>
  <c r="E112" i="2"/>
  <c r="E113" i="2"/>
  <c r="E114" i="2"/>
  <c r="E115" i="2"/>
  <c r="E116" i="2"/>
  <c r="E117" i="2"/>
  <c r="E118" i="2"/>
  <c r="E119" i="2"/>
  <c r="E121" i="2"/>
  <c r="E122" i="2"/>
  <c r="E123" i="2"/>
  <c r="E124" i="2"/>
  <c r="E125" i="2"/>
  <c r="E126" i="2"/>
  <c r="E127" i="2"/>
  <c r="E128" i="2"/>
  <c r="E129" i="2"/>
  <c r="E130" i="2"/>
  <c r="E131" i="2"/>
  <c r="E132" i="2"/>
  <c r="E133" i="2"/>
  <c r="E134" i="2"/>
  <c r="E135" i="2"/>
  <c r="E136" i="2"/>
  <c r="E138" i="2"/>
  <c r="E139" i="2"/>
  <c r="E140" i="2"/>
  <c r="E141" i="2"/>
  <c r="E142" i="2"/>
  <c r="E143" i="2"/>
  <c r="E144" i="2"/>
  <c r="E145" i="2"/>
  <c r="E146" i="2"/>
  <c r="E147" i="2"/>
  <c r="E148" i="2"/>
  <c r="E149" i="2"/>
  <c r="E150" i="2"/>
  <c r="E151" i="2"/>
  <c r="E153" i="2"/>
  <c r="E154" i="2"/>
  <c r="E155" i="2"/>
  <c r="E156" i="2"/>
  <c r="E157" i="2"/>
  <c r="E158" i="2"/>
  <c r="E159" i="2"/>
  <c r="E160" i="2"/>
  <c r="E161" i="2"/>
  <c r="E164" i="2"/>
  <c r="E165" i="2"/>
  <c r="E166" i="2"/>
  <c r="E167" i="2"/>
  <c r="E168" i="2"/>
  <c r="E169" i="2"/>
  <c r="E171" i="2"/>
  <c r="E172" i="2"/>
  <c r="E173" i="2"/>
  <c r="E174" i="2"/>
  <c r="E175" i="2"/>
  <c r="E176" i="2"/>
  <c r="E177" i="2"/>
  <c r="E179" i="2"/>
  <c r="E180" i="2"/>
  <c r="E181" i="2"/>
  <c r="E182" i="2"/>
  <c r="E184" i="2"/>
  <c r="E185" i="2"/>
  <c r="E186" i="2"/>
  <c r="E187" i="2"/>
  <c r="E188" i="2"/>
  <c r="E189" i="2"/>
  <c r="E190" i="2"/>
  <c r="E191" i="2"/>
  <c r="E192" i="2"/>
  <c r="E193" i="2"/>
  <c r="E194" i="2"/>
  <c r="E195" i="2"/>
  <c r="E196" i="2"/>
  <c r="E197" i="2"/>
  <c r="E199" i="2"/>
  <c r="E200" i="2"/>
  <c r="E201" i="2"/>
  <c r="E202" i="2"/>
  <c r="E6" i="2"/>
  <c r="E9" i="2"/>
  <c r="E10" i="2"/>
  <c r="E11" i="2"/>
  <c r="E13" i="2"/>
  <c r="E15" i="2"/>
  <c r="E16" i="2"/>
  <c r="E20" i="2"/>
  <c r="E21" i="2"/>
  <c r="E23" i="2"/>
  <c r="E25" i="2"/>
  <c r="E26" i="2"/>
  <c r="E27" i="2"/>
  <c r="E30" i="2"/>
  <c r="E31" i="2"/>
  <c r="E3" i="2"/>
  <c r="E3" i="1"/>
  <c r="E34" i="1"/>
  <c r="E36" i="1"/>
  <c r="E37" i="1"/>
  <c r="E39" i="1"/>
  <c r="E40" i="1"/>
  <c r="E41" i="1"/>
  <c r="E42" i="1"/>
  <c r="E43" i="1"/>
  <c r="E44" i="1"/>
  <c r="E45" i="1"/>
  <c r="E48" i="1"/>
  <c r="E49" i="1"/>
  <c r="E51" i="1"/>
  <c r="E52" i="1"/>
  <c r="E53" i="1"/>
  <c r="E54" i="1"/>
  <c r="E55" i="1"/>
  <c r="E56" i="1"/>
  <c r="E58" i="1"/>
  <c r="E59" i="1"/>
  <c r="E60" i="1"/>
  <c r="E61" i="1"/>
  <c r="E62" i="1"/>
  <c r="E63" i="1"/>
  <c r="E65" i="1"/>
  <c r="E66" i="1"/>
  <c r="E67" i="1"/>
  <c r="E68" i="1"/>
  <c r="E69" i="1"/>
  <c r="E70" i="1"/>
  <c r="E72" i="1"/>
  <c r="E73" i="1"/>
  <c r="E74" i="1"/>
  <c r="E75" i="1"/>
  <c r="E76" i="1"/>
  <c r="E78" i="1"/>
  <c r="E79" i="1"/>
  <c r="E80" i="1"/>
  <c r="E81" i="1"/>
  <c r="E82" i="1"/>
  <c r="E83" i="1"/>
  <c r="E84" i="1"/>
  <c r="E85" i="1"/>
  <c r="E87" i="1"/>
  <c r="E88" i="1"/>
  <c r="E89" i="1"/>
  <c r="E91" i="1"/>
  <c r="E93" i="1"/>
  <c r="E94" i="1"/>
  <c r="E95" i="1"/>
  <c r="E96" i="1"/>
  <c r="E97" i="1"/>
  <c r="E98" i="1"/>
  <c r="E99" i="1"/>
  <c r="E102" i="1"/>
  <c r="E103" i="1"/>
  <c r="E104" i="1"/>
  <c r="E105" i="1"/>
  <c r="E106" i="1"/>
  <c r="E107" i="1"/>
  <c r="E108" i="1"/>
  <c r="E109" i="1"/>
  <c r="E111" i="1"/>
  <c r="E112" i="1"/>
  <c r="E113" i="1"/>
  <c r="E115" i="1"/>
  <c r="E116" i="1"/>
  <c r="E117" i="1"/>
  <c r="E118" i="1"/>
  <c r="E119" i="1"/>
  <c r="E120" i="1"/>
  <c r="E123" i="1"/>
  <c r="E124" i="1"/>
  <c r="E125" i="1"/>
  <c r="E127" i="1"/>
  <c r="E128" i="1"/>
  <c r="E129" i="1"/>
  <c r="E131" i="1"/>
  <c r="E132" i="1"/>
  <c r="E133" i="1"/>
  <c r="E135" i="1"/>
  <c r="E136" i="1"/>
  <c r="E139" i="1"/>
  <c r="E140" i="1"/>
  <c r="E141" i="1"/>
  <c r="E142" i="1"/>
  <c r="E143" i="1"/>
  <c r="E144" i="1"/>
  <c r="E145" i="1"/>
  <c r="E147" i="1"/>
  <c r="E148" i="1"/>
  <c r="E149" i="1"/>
  <c r="E150" i="1"/>
  <c r="E151" i="1"/>
  <c r="E152" i="1"/>
  <c r="E153" i="1"/>
  <c r="E154" i="1"/>
  <c r="E155" i="1"/>
  <c r="E156" i="1"/>
  <c r="E157" i="1"/>
  <c r="E158" i="1"/>
  <c r="E159" i="1"/>
  <c r="E161" i="1"/>
  <c r="E162" i="1"/>
  <c r="E164" i="1"/>
  <c r="E166" i="1"/>
  <c r="E168" i="1"/>
  <c r="E169" i="1"/>
  <c r="E170" i="1"/>
  <c r="E171" i="1"/>
  <c r="E172" i="1"/>
  <c r="E173" i="1"/>
  <c r="E174" i="1"/>
  <c r="E175" i="1"/>
  <c r="E177" i="1"/>
  <c r="E178" i="1"/>
  <c r="E179" i="1"/>
  <c r="E181" i="1"/>
  <c r="E182" i="1"/>
  <c r="E183" i="1"/>
  <c r="E184" i="1"/>
  <c r="E186" i="1"/>
  <c r="E187" i="1"/>
  <c r="E189" i="1"/>
  <c r="E193" i="1"/>
  <c r="E196" i="1"/>
  <c r="E198" i="1"/>
  <c r="E200" i="1"/>
  <c r="E201" i="1"/>
  <c r="E4" i="1"/>
  <c r="E6" i="1"/>
  <c r="E7" i="1"/>
  <c r="E8" i="1"/>
  <c r="E9" i="1"/>
  <c r="E12" i="1"/>
  <c r="E13" i="1"/>
  <c r="E14" i="1"/>
  <c r="E16" i="1"/>
  <c r="E17" i="1"/>
  <c r="E19" i="1"/>
  <c r="E21" i="1"/>
  <c r="E24" i="1"/>
  <c r="E25" i="1"/>
  <c r="E27" i="1"/>
  <c r="E28" i="1"/>
  <c r="E29" i="1"/>
  <c r="E31" i="1"/>
  <c r="E32" i="1"/>
  <c r="G3" i="1"/>
  <c r="G31" i="1"/>
  <c r="G32" i="1"/>
  <c r="G34" i="1"/>
  <c r="G36" i="1"/>
  <c r="G37" i="1"/>
  <c r="G39" i="1"/>
  <c r="G40" i="1"/>
  <c r="G41" i="1"/>
  <c r="G42" i="1"/>
  <c r="G43" i="1"/>
  <c r="G44" i="1"/>
  <c r="G45" i="1"/>
  <c r="G48" i="1"/>
  <c r="G49" i="1"/>
  <c r="G51" i="1"/>
  <c r="G52" i="1"/>
  <c r="G53" i="1"/>
  <c r="G54" i="1"/>
  <c r="G55" i="1"/>
  <c r="G56" i="1"/>
  <c r="G58" i="1"/>
  <c r="G59" i="1"/>
  <c r="G60" i="1"/>
  <c r="G61" i="1"/>
  <c r="G62" i="1"/>
  <c r="G63" i="1"/>
  <c r="G65" i="1"/>
  <c r="G66" i="1"/>
  <c r="G67" i="1"/>
  <c r="G68" i="1"/>
  <c r="G69" i="1"/>
  <c r="G70" i="1"/>
  <c r="G72" i="1"/>
  <c r="G73" i="1"/>
  <c r="G74" i="1"/>
  <c r="G75" i="1"/>
  <c r="G76" i="1"/>
  <c r="G78" i="1"/>
  <c r="G79" i="1"/>
  <c r="G80" i="1"/>
  <c r="G81" i="1"/>
  <c r="G82" i="1"/>
  <c r="G83" i="1"/>
  <c r="G84" i="1"/>
  <c r="G85" i="1"/>
  <c r="G87" i="1"/>
  <c r="G88" i="1"/>
  <c r="G89" i="1"/>
  <c r="G91" i="1"/>
  <c r="G93" i="1"/>
  <c r="G94" i="1"/>
  <c r="G95" i="1"/>
  <c r="G96" i="1"/>
  <c r="G97" i="1"/>
  <c r="G98" i="1"/>
  <c r="G99" i="1"/>
  <c r="G102" i="1"/>
  <c r="G103" i="1"/>
  <c r="G104" i="1"/>
  <c r="G105" i="1"/>
  <c r="G106" i="1"/>
  <c r="G107" i="1"/>
  <c r="G108" i="1"/>
  <c r="G109" i="1"/>
  <c r="G111" i="1"/>
  <c r="G112" i="1"/>
  <c r="G113" i="1"/>
  <c r="G115" i="1"/>
  <c r="G116" i="1"/>
  <c r="G117" i="1"/>
  <c r="G118" i="1"/>
  <c r="G119" i="1"/>
  <c r="G120" i="1"/>
  <c r="G123" i="1"/>
  <c r="G124" i="1"/>
  <c r="G125" i="1"/>
  <c r="G127" i="1"/>
  <c r="G128" i="1"/>
  <c r="G129" i="1"/>
  <c r="G131" i="1"/>
  <c r="G132" i="1"/>
  <c r="G133" i="1"/>
  <c r="G135" i="1"/>
  <c r="G136" i="1"/>
  <c r="G139" i="1"/>
  <c r="G140" i="1"/>
  <c r="G141" i="1"/>
  <c r="G142" i="1"/>
  <c r="G143" i="1"/>
  <c r="G144" i="1"/>
  <c r="G145" i="1"/>
  <c r="G147" i="1"/>
  <c r="G148" i="1"/>
  <c r="G149" i="1"/>
  <c r="G150" i="1"/>
  <c r="G151" i="1"/>
  <c r="G152" i="1"/>
  <c r="G153" i="1"/>
  <c r="G154" i="1"/>
  <c r="G155" i="1"/>
  <c r="G156" i="1"/>
  <c r="G157" i="1"/>
  <c r="G158" i="1"/>
  <c r="G159" i="1"/>
  <c r="G161" i="1"/>
  <c r="G162" i="1"/>
  <c r="G164" i="1"/>
  <c r="G166" i="1"/>
  <c r="G168" i="1"/>
  <c r="G169" i="1"/>
  <c r="G170" i="1"/>
  <c r="G171" i="1"/>
  <c r="G172" i="1"/>
  <c r="G173" i="1"/>
  <c r="G174" i="1"/>
  <c r="G175" i="1"/>
  <c r="G177" i="1"/>
  <c r="G178" i="1"/>
  <c r="G179" i="1"/>
  <c r="G181" i="1"/>
  <c r="G182" i="1"/>
  <c r="G183" i="1"/>
  <c r="G184" i="1"/>
  <c r="G186" i="1"/>
  <c r="G187" i="1"/>
  <c r="G189" i="1"/>
  <c r="G193" i="1"/>
  <c r="G196" i="1"/>
  <c r="G198" i="1"/>
  <c r="G200" i="1"/>
  <c r="G201" i="1"/>
  <c r="G21" i="1"/>
  <c r="G24" i="1"/>
  <c r="G25" i="1"/>
  <c r="G28" i="1"/>
  <c r="G29" i="1"/>
  <c r="G4" i="1"/>
  <c r="G6" i="1"/>
  <c r="G7" i="1"/>
  <c r="G8" i="1"/>
  <c r="G9" i="1"/>
  <c r="G12" i="1"/>
  <c r="G13" i="1"/>
  <c r="G14" i="1"/>
  <c r="G16" i="1"/>
  <c r="G17" i="1"/>
  <c r="G19" i="1"/>
  <c r="H3" i="1"/>
  <c r="H31" i="1"/>
  <c r="H32" i="1"/>
  <c r="H34" i="1"/>
  <c r="H36" i="1"/>
  <c r="H37" i="1"/>
  <c r="H39" i="1"/>
  <c r="H40" i="1"/>
  <c r="H41" i="1"/>
  <c r="H42" i="1"/>
  <c r="H43" i="1"/>
  <c r="H44" i="1"/>
  <c r="H45" i="1"/>
  <c r="H48" i="1"/>
  <c r="H49" i="1"/>
  <c r="H51" i="1"/>
  <c r="H52" i="1"/>
  <c r="H53" i="1"/>
  <c r="H54" i="1"/>
  <c r="H55" i="1"/>
  <c r="H56" i="1"/>
  <c r="H58" i="1"/>
  <c r="H59" i="1"/>
  <c r="H60" i="1"/>
  <c r="H61" i="1"/>
  <c r="H62" i="1"/>
  <c r="H63" i="1"/>
  <c r="H65" i="1"/>
  <c r="H66" i="1"/>
  <c r="H67" i="1"/>
  <c r="H68" i="1"/>
  <c r="H69" i="1"/>
  <c r="H70" i="1"/>
  <c r="H72" i="1"/>
  <c r="H73" i="1"/>
  <c r="H74" i="1"/>
  <c r="H75" i="1"/>
  <c r="H76" i="1"/>
  <c r="H78" i="1"/>
  <c r="H79" i="1"/>
  <c r="H80" i="1"/>
  <c r="H81" i="1"/>
  <c r="H82" i="1"/>
  <c r="H83" i="1"/>
  <c r="H84" i="1"/>
  <c r="H85" i="1"/>
  <c r="H87" i="1"/>
  <c r="H88" i="1"/>
  <c r="H89" i="1"/>
  <c r="H91" i="1"/>
  <c r="H93" i="1"/>
  <c r="H94" i="1"/>
  <c r="H95" i="1"/>
  <c r="H96" i="1"/>
  <c r="H97" i="1"/>
  <c r="H98" i="1"/>
  <c r="H99" i="1"/>
  <c r="H102" i="1"/>
  <c r="H103" i="1"/>
  <c r="H104" i="1"/>
  <c r="H105" i="1"/>
  <c r="H106" i="1"/>
  <c r="H107" i="1"/>
  <c r="H108" i="1"/>
  <c r="H109" i="1"/>
  <c r="H111" i="1"/>
  <c r="H112" i="1"/>
  <c r="H113" i="1"/>
  <c r="H115" i="1"/>
  <c r="H116" i="1"/>
  <c r="H117" i="1"/>
  <c r="H118" i="1"/>
  <c r="H119" i="1"/>
  <c r="H120" i="1"/>
  <c r="H123" i="1"/>
  <c r="H124" i="1"/>
  <c r="H125" i="1"/>
  <c r="H127" i="1"/>
  <c r="H128" i="1"/>
  <c r="H129" i="1"/>
  <c r="H131" i="1"/>
  <c r="H132" i="1"/>
  <c r="H133" i="1"/>
  <c r="H135" i="1"/>
  <c r="H136" i="1"/>
  <c r="H139" i="1"/>
  <c r="H140" i="1"/>
  <c r="H141" i="1"/>
  <c r="H142" i="1"/>
  <c r="H143" i="1"/>
  <c r="H144" i="1"/>
  <c r="H145" i="1"/>
  <c r="H147" i="1"/>
  <c r="H148" i="1"/>
  <c r="H149" i="1"/>
  <c r="H150" i="1"/>
  <c r="H151" i="1"/>
  <c r="H152" i="1"/>
  <c r="H153" i="1"/>
  <c r="H154" i="1"/>
  <c r="H155" i="1"/>
  <c r="H156" i="1"/>
  <c r="H157" i="1"/>
  <c r="H158" i="1"/>
  <c r="H159" i="1"/>
  <c r="H161" i="1"/>
  <c r="H162" i="1"/>
  <c r="H164" i="1"/>
  <c r="H166" i="1"/>
  <c r="H168" i="1"/>
  <c r="H169" i="1"/>
  <c r="H170" i="1"/>
  <c r="H171" i="1"/>
  <c r="H172" i="1"/>
  <c r="H173" i="1"/>
  <c r="H174" i="1"/>
  <c r="H175" i="1"/>
  <c r="H177" i="1"/>
  <c r="H178" i="1"/>
  <c r="H179" i="1"/>
  <c r="H181" i="1"/>
  <c r="H182" i="1"/>
  <c r="H183" i="1"/>
  <c r="H184" i="1"/>
  <c r="H186" i="1"/>
  <c r="H187" i="1"/>
  <c r="H189" i="1"/>
  <c r="H193" i="1"/>
  <c r="H196" i="1"/>
  <c r="H198" i="1"/>
  <c r="H200" i="1"/>
  <c r="H201" i="1"/>
  <c r="H4" i="1"/>
  <c r="H6" i="1"/>
  <c r="H7" i="1"/>
  <c r="H8" i="1"/>
  <c r="H9" i="1"/>
  <c r="H12" i="1"/>
  <c r="H13" i="1"/>
  <c r="H14" i="1"/>
  <c r="H16" i="1"/>
  <c r="H17" i="1"/>
  <c r="H529" i="7" s="1"/>
  <c r="H19" i="1"/>
  <c r="H21" i="1"/>
  <c r="H24" i="1"/>
  <c r="H25" i="1"/>
  <c r="H28" i="1"/>
  <c r="H29" i="1"/>
  <c r="I21" i="4"/>
  <c r="I22" i="4"/>
  <c r="I27" i="4"/>
  <c r="I28" i="4"/>
  <c r="I29" i="4"/>
  <c r="I30" i="4"/>
  <c r="I32" i="4"/>
  <c r="I33" i="4"/>
  <c r="I35" i="4"/>
  <c r="I37" i="4"/>
  <c r="I38" i="4"/>
  <c r="I39" i="4"/>
  <c r="I41" i="4"/>
  <c r="I42" i="4"/>
  <c r="I43" i="4"/>
  <c r="I44" i="4"/>
  <c r="I45" i="4"/>
  <c r="I47" i="4"/>
  <c r="I49" i="4"/>
  <c r="I50" i="4"/>
  <c r="I51" i="4"/>
  <c r="I53" i="4"/>
  <c r="I54" i="4"/>
  <c r="I56" i="4"/>
  <c r="I57" i="4"/>
  <c r="I58" i="4"/>
  <c r="I60" i="4"/>
  <c r="I61" i="4"/>
  <c r="I64" i="4"/>
  <c r="I65" i="4"/>
  <c r="I66" i="4"/>
  <c r="I67" i="4"/>
  <c r="I68" i="4"/>
  <c r="I70" i="4"/>
  <c r="I71" i="4"/>
  <c r="I74" i="4"/>
  <c r="I75" i="4"/>
  <c r="I76" i="4"/>
  <c r="I77" i="4"/>
  <c r="I78" i="4"/>
  <c r="I79" i="4"/>
  <c r="I80" i="4"/>
  <c r="I81" i="4"/>
  <c r="I83" i="4"/>
  <c r="I84" i="4"/>
  <c r="I85" i="4"/>
  <c r="I87" i="4"/>
  <c r="I88" i="4"/>
  <c r="I89" i="4"/>
  <c r="I90" i="4"/>
  <c r="I91" i="4"/>
  <c r="I92" i="4"/>
  <c r="I94" i="4"/>
  <c r="I97" i="4"/>
  <c r="I98" i="4"/>
  <c r="I100" i="4"/>
  <c r="I101" i="4"/>
  <c r="I103" i="4"/>
  <c r="I104" i="4"/>
  <c r="I105" i="4"/>
  <c r="I107" i="4"/>
  <c r="I108" i="4"/>
  <c r="I109" i="4"/>
  <c r="I110" i="4"/>
  <c r="I112" i="4"/>
  <c r="I113" i="4"/>
  <c r="I114" i="4"/>
  <c r="I115" i="4"/>
  <c r="I116" i="4"/>
  <c r="I117" i="4"/>
  <c r="I118" i="4"/>
  <c r="I119" i="4"/>
  <c r="I120" i="4"/>
  <c r="I121" i="4"/>
  <c r="I123" i="4"/>
  <c r="I124" i="4"/>
  <c r="I126" i="4"/>
  <c r="I127" i="4"/>
  <c r="I128" i="4"/>
  <c r="I129" i="4"/>
  <c r="I130" i="4"/>
  <c r="I131" i="4"/>
  <c r="I132" i="4"/>
  <c r="I133" i="4"/>
  <c r="I134" i="4"/>
  <c r="I135" i="4"/>
  <c r="I137" i="4"/>
  <c r="I139" i="4"/>
  <c r="I140" i="4"/>
  <c r="I141" i="4"/>
  <c r="I143" i="4"/>
  <c r="I144" i="4"/>
  <c r="I145" i="4"/>
  <c r="I146" i="4"/>
  <c r="I147" i="4"/>
  <c r="I148" i="4"/>
  <c r="I149" i="4"/>
  <c r="I150" i="4"/>
  <c r="I151" i="4"/>
  <c r="I152" i="4"/>
  <c r="I154" i="4"/>
  <c r="I156" i="4"/>
  <c r="I157" i="4"/>
  <c r="I159" i="4"/>
  <c r="I162" i="4"/>
  <c r="I163" i="4"/>
  <c r="I164" i="4"/>
  <c r="I165" i="4"/>
  <c r="I167" i="4"/>
  <c r="I168" i="4"/>
  <c r="I169" i="4"/>
  <c r="I171" i="4"/>
  <c r="I172" i="4"/>
  <c r="I174" i="4"/>
  <c r="I175" i="4"/>
  <c r="I177" i="4"/>
  <c r="I178" i="4"/>
  <c r="I179" i="4"/>
  <c r="I180" i="4"/>
  <c r="I182" i="4"/>
  <c r="I183" i="4"/>
  <c r="I184" i="4"/>
  <c r="I185" i="4"/>
  <c r="I186" i="4"/>
  <c r="I187" i="4"/>
  <c r="I188" i="4"/>
  <c r="I190" i="4"/>
  <c r="I191" i="4"/>
  <c r="I195" i="4"/>
  <c r="I196" i="4"/>
  <c r="I197" i="4"/>
  <c r="I199" i="4"/>
  <c r="I200" i="4"/>
  <c r="I201" i="4"/>
  <c r="I202" i="4"/>
  <c r="I4" i="4"/>
  <c r="I6" i="4"/>
  <c r="I7" i="4"/>
  <c r="I8" i="4"/>
  <c r="I9" i="4"/>
  <c r="I10" i="4"/>
  <c r="I12" i="4"/>
  <c r="I13" i="4"/>
  <c r="I15" i="4"/>
  <c r="I17" i="4"/>
  <c r="I18" i="4"/>
  <c r="I20" i="4"/>
  <c r="I3" i="4"/>
  <c r="I3" i="3"/>
  <c r="H4" i="4"/>
  <c r="H6" i="4"/>
  <c r="H7" i="4"/>
  <c r="H8" i="4"/>
  <c r="H9" i="4"/>
  <c r="H10" i="4"/>
  <c r="H12" i="4"/>
  <c r="H13" i="4"/>
  <c r="H15" i="4"/>
  <c r="H17" i="4"/>
  <c r="H18" i="4"/>
  <c r="H20" i="4"/>
  <c r="H21" i="4"/>
  <c r="H22" i="4"/>
  <c r="H27" i="4"/>
  <c r="H28" i="4"/>
  <c r="H29" i="4"/>
  <c r="H30" i="4"/>
  <c r="H32" i="4"/>
  <c r="H33" i="4"/>
  <c r="H35" i="4"/>
  <c r="H37" i="4"/>
  <c r="H38" i="4"/>
  <c r="H39" i="4"/>
  <c r="H41" i="4"/>
  <c r="H42" i="4"/>
  <c r="H43" i="4"/>
  <c r="H44" i="4"/>
  <c r="H45" i="4"/>
  <c r="H47" i="4"/>
  <c r="H49" i="4"/>
  <c r="H50" i="4"/>
  <c r="H51" i="4"/>
  <c r="H53" i="4"/>
  <c r="H54" i="4"/>
  <c r="H56" i="4"/>
  <c r="H57" i="4"/>
  <c r="H58" i="4"/>
  <c r="H60" i="4"/>
  <c r="H61" i="4"/>
  <c r="H64" i="4"/>
  <c r="H65" i="4"/>
  <c r="H66" i="4"/>
  <c r="H67" i="4"/>
  <c r="H68" i="4"/>
  <c r="H70" i="4"/>
  <c r="H71" i="4"/>
  <c r="H74" i="4"/>
  <c r="H75" i="4"/>
  <c r="H76" i="4"/>
  <c r="H77" i="4"/>
  <c r="H78" i="4"/>
  <c r="H79" i="4"/>
  <c r="H80" i="4"/>
  <c r="H81" i="4"/>
  <c r="H83" i="4"/>
  <c r="H84" i="4"/>
  <c r="H85" i="4"/>
  <c r="H87" i="4"/>
  <c r="H88" i="4"/>
  <c r="H89" i="4"/>
  <c r="H90" i="4"/>
  <c r="H91" i="4"/>
  <c r="H92" i="4"/>
  <c r="H94" i="4"/>
  <c r="H97" i="4"/>
  <c r="H98" i="4"/>
  <c r="H100" i="4"/>
  <c r="H101" i="4"/>
  <c r="H103" i="4"/>
  <c r="H104" i="4"/>
  <c r="H105" i="4"/>
  <c r="H107" i="4"/>
  <c r="H108" i="4"/>
  <c r="H109" i="4"/>
  <c r="H110" i="4"/>
  <c r="H112" i="4"/>
  <c r="H113" i="4"/>
  <c r="H114" i="4"/>
  <c r="H115" i="4"/>
  <c r="H116" i="4"/>
  <c r="H117" i="4"/>
  <c r="H118" i="4"/>
  <c r="H119" i="4"/>
  <c r="H120" i="4"/>
  <c r="H121" i="4"/>
  <c r="H123" i="4"/>
  <c r="H124" i="4"/>
  <c r="H126" i="4"/>
  <c r="H127" i="4"/>
  <c r="H128" i="4"/>
  <c r="H129" i="4"/>
  <c r="H130" i="4"/>
  <c r="H131" i="4"/>
  <c r="H132" i="4"/>
  <c r="H133" i="4"/>
  <c r="H134" i="4"/>
  <c r="H135" i="4"/>
  <c r="H137" i="4"/>
  <c r="H139" i="4"/>
  <c r="H140" i="4"/>
  <c r="H141" i="4"/>
  <c r="H143" i="4"/>
  <c r="H144" i="4"/>
  <c r="H145" i="4"/>
  <c r="H146" i="4"/>
  <c r="H147" i="4"/>
  <c r="H148" i="4"/>
  <c r="H149" i="4"/>
  <c r="H150" i="4"/>
  <c r="H151" i="4"/>
  <c r="H152" i="4"/>
  <c r="H154" i="4"/>
  <c r="H156" i="4"/>
  <c r="H157" i="4"/>
  <c r="H159" i="4"/>
  <c r="H162" i="4"/>
  <c r="H163" i="4"/>
  <c r="H164" i="4"/>
  <c r="H165" i="4"/>
  <c r="H167" i="4"/>
  <c r="H168" i="4"/>
  <c r="H169" i="4"/>
  <c r="H171" i="4"/>
  <c r="H172" i="4"/>
  <c r="H174" i="4"/>
  <c r="H175" i="4"/>
  <c r="H177" i="4"/>
  <c r="H178" i="4"/>
  <c r="H179" i="4"/>
  <c r="H180" i="4"/>
  <c r="H182" i="4"/>
  <c r="H183" i="4"/>
  <c r="H184" i="4"/>
  <c r="H185" i="4"/>
  <c r="H186" i="4"/>
  <c r="H187" i="4"/>
  <c r="H188" i="4"/>
  <c r="H190" i="4"/>
  <c r="H191" i="4"/>
  <c r="H195" i="4"/>
  <c r="H196" i="4"/>
  <c r="H197" i="4"/>
  <c r="H199" i="4"/>
  <c r="H200" i="4"/>
  <c r="H201" i="4"/>
  <c r="H202" i="4"/>
  <c r="H3" i="4"/>
  <c r="H33" i="3"/>
  <c r="H36" i="3"/>
  <c r="H37" i="3"/>
  <c r="H38" i="3"/>
  <c r="H40" i="3"/>
  <c r="H41" i="3"/>
  <c r="H42" i="3"/>
  <c r="H43" i="3"/>
  <c r="H44" i="3"/>
  <c r="H45" i="3"/>
  <c r="H46" i="3"/>
  <c r="H47" i="3"/>
  <c r="H48" i="3"/>
  <c r="H50" i="3"/>
  <c r="H54" i="3"/>
  <c r="H55" i="3"/>
  <c r="H56" i="3"/>
  <c r="H58" i="3"/>
  <c r="H59" i="3"/>
  <c r="H60" i="3"/>
  <c r="H61" i="3"/>
  <c r="H62" i="3"/>
  <c r="H64" i="3"/>
  <c r="H65" i="3"/>
  <c r="H66" i="3"/>
  <c r="H67" i="3"/>
  <c r="H68" i="3"/>
  <c r="H69" i="3"/>
  <c r="H70" i="3"/>
  <c r="H71" i="3"/>
  <c r="H72" i="3"/>
  <c r="H73" i="3"/>
  <c r="H75" i="3"/>
  <c r="H76" i="3"/>
  <c r="H77" i="3"/>
  <c r="H78" i="3"/>
  <c r="H79" i="3"/>
  <c r="H80" i="3"/>
  <c r="H81" i="3"/>
  <c r="H82" i="3"/>
  <c r="H83" i="3"/>
  <c r="H84" i="3"/>
  <c r="H88" i="3"/>
  <c r="H89" i="3"/>
  <c r="H90" i="3"/>
  <c r="H91" i="3"/>
  <c r="H92" i="3"/>
  <c r="H94" i="3"/>
  <c r="H95" i="3"/>
  <c r="H96" i="3"/>
  <c r="H97" i="3"/>
  <c r="H98" i="3"/>
  <c r="H99" i="3"/>
  <c r="H100" i="3"/>
  <c r="H101" i="3"/>
  <c r="H102" i="3"/>
  <c r="H103" i="3"/>
  <c r="H104" i="3"/>
  <c r="H105" i="3"/>
  <c r="H106" i="3"/>
  <c r="H107" i="3"/>
  <c r="H108" i="3"/>
  <c r="H110" i="3"/>
  <c r="H111" i="3"/>
  <c r="H112" i="3"/>
  <c r="H113" i="3"/>
  <c r="H114" i="3"/>
  <c r="H115" i="3"/>
  <c r="H117" i="3"/>
  <c r="H118" i="3"/>
  <c r="H119" i="3"/>
  <c r="H120" i="3"/>
  <c r="H121" i="3"/>
  <c r="H122" i="3"/>
  <c r="H123" i="3"/>
  <c r="H126" i="3"/>
  <c r="H127" i="3"/>
  <c r="H128" i="3"/>
  <c r="H129" i="3"/>
  <c r="H131" i="3"/>
  <c r="H132" i="3"/>
  <c r="H134" i="3"/>
  <c r="H135" i="3"/>
  <c r="H136" i="3"/>
  <c r="H137" i="3"/>
  <c r="H139" i="3"/>
  <c r="H141" i="3"/>
  <c r="H142" i="3"/>
  <c r="H143" i="3"/>
  <c r="H144" i="3"/>
  <c r="H145" i="3"/>
  <c r="H146" i="3"/>
  <c r="H148" i="3"/>
  <c r="H149" i="3"/>
  <c r="H150" i="3"/>
  <c r="H151" i="3"/>
  <c r="H152" i="3"/>
  <c r="H154" i="3"/>
  <c r="H157" i="3"/>
  <c r="H158" i="3"/>
  <c r="H159" i="3"/>
  <c r="H161" i="3"/>
  <c r="H162" i="3"/>
  <c r="H163" i="3"/>
  <c r="H165" i="3"/>
  <c r="H166" i="3"/>
  <c r="H167" i="3"/>
  <c r="H169" i="3"/>
  <c r="H172" i="3"/>
  <c r="H173" i="3"/>
  <c r="H174" i="3"/>
  <c r="H176" i="3"/>
  <c r="H178" i="3"/>
  <c r="H179" i="3"/>
  <c r="H181" i="3"/>
  <c r="H182" i="3"/>
  <c r="H183" i="3"/>
  <c r="H184" i="3"/>
  <c r="H185" i="3"/>
  <c r="H186" i="3"/>
  <c r="H187" i="3"/>
  <c r="H188" i="3"/>
  <c r="H189" i="3"/>
  <c r="H191" i="3"/>
  <c r="H192" i="3"/>
  <c r="H193" i="3"/>
  <c r="H195" i="3"/>
  <c r="H196" i="3"/>
  <c r="H198" i="3"/>
  <c r="H200" i="3"/>
  <c r="H202" i="3"/>
  <c r="H4" i="3"/>
  <c r="H5" i="3"/>
  <c r="H6" i="3"/>
  <c r="H7" i="3"/>
  <c r="H8" i="3"/>
  <c r="H9" i="3"/>
  <c r="H10" i="3"/>
  <c r="H15" i="3"/>
  <c r="H16" i="3"/>
  <c r="H17" i="3"/>
  <c r="H18" i="3"/>
  <c r="H19" i="3"/>
  <c r="H22" i="3"/>
  <c r="H23" i="3"/>
  <c r="H24" i="3"/>
  <c r="H224" i="7" s="1"/>
  <c r="H25" i="3"/>
  <c r="H26" i="3"/>
  <c r="H27" i="3"/>
  <c r="H28" i="3"/>
  <c r="H29" i="3"/>
  <c r="H30" i="3"/>
  <c r="H31" i="3"/>
  <c r="H32" i="3"/>
  <c r="H3" i="3"/>
  <c r="I29" i="3"/>
  <c r="I30" i="3"/>
  <c r="I31" i="3"/>
  <c r="I32" i="3"/>
  <c r="I33" i="3"/>
  <c r="I36" i="3"/>
  <c r="I37" i="3"/>
  <c r="I38" i="3"/>
  <c r="I40" i="3"/>
  <c r="I41" i="3"/>
  <c r="I42" i="3"/>
  <c r="I43" i="3"/>
  <c r="I44" i="3"/>
  <c r="I45" i="3"/>
  <c r="I46" i="3"/>
  <c r="I47" i="3"/>
  <c r="I48" i="3"/>
  <c r="I50" i="3"/>
  <c r="I54" i="3"/>
  <c r="I55" i="3"/>
  <c r="I56" i="3"/>
  <c r="I58" i="3"/>
  <c r="I59" i="3"/>
  <c r="I60" i="3"/>
  <c r="I61" i="3"/>
  <c r="I62" i="3"/>
  <c r="I64" i="3"/>
  <c r="I65" i="3"/>
  <c r="I66" i="3"/>
  <c r="I67" i="3"/>
  <c r="I68" i="3"/>
  <c r="I69" i="3"/>
  <c r="I70" i="3"/>
  <c r="I71" i="3"/>
  <c r="I72" i="3"/>
  <c r="I73" i="3"/>
  <c r="I75" i="3"/>
  <c r="I76" i="3"/>
  <c r="I77" i="3"/>
  <c r="I78" i="3"/>
  <c r="I79" i="3"/>
  <c r="I80" i="3"/>
  <c r="I81" i="3"/>
  <c r="I82" i="3"/>
  <c r="I83" i="3"/>
  <c r="I88" i="3"/>
  <c r="I89" i="3"/>
  <c r="I90" i="3"/>
  <c r="I91" i="3"/>
  <c r="I92" i="3"/>
  <c r="I94" i="3"/>
  <c r="I95" i="3"/>
  <c r="I96" i="3"/>
  <c r="I97" i="3"/>
  <c r="I98" i="3"/>
  <c r="I99" i="3"/>
  <c r="I100" i="3"/>
  <c r="I101" i="3"/>
  <c r="I102" i="3"/>
  <c r="I103" i="3"/>
  <c r="I104" i="3"/>
  <c r="I105" i="3"/>
  <c r="I106" i="3"/>
  <c r="I107" i="3"/>
  <c r="I108" i="3"/>
  <c r="I110" i="3"/>
  <c r="I111" i="3"/>
  <c r="I112" i="3"/>
  <c r="I113" i="3"/>
  <c r="I114" i="3"/>
  <c r="I115" i="3"/>
  <c r="I117" i="3"/>
  <c r="I118" i="3"/>
  <c r="I119" i="3"/>
  <c r="I120" i="3"/>
  <c r="I121" i="3"/>
  <c r="I122" i="3"/>
  <c r="I123" i="3"/>
  <c r="I126" i="3"/>
  <c r="I127" i="3"/>
  <c r="I128" i="3"/>
  <c r="I129" i="3"/>
  <c r="I131" i="3"/>
  <c r="I132" i="3"/>
  <c r="I134" i="3"/>
  <c r="I135" i="3"/>
  <c r="I136" i="3"/>
  <c r="I137" i="3"/>
  <c r="I139" i="3"/>
  <c r="I141" i="3"/>
  <c r="I142" i="3"/>
  <c r="I143" i="3"/>
  <c r="I144" i="3"/>
  <c r="I145" i="3"/>
  <c r="I146" i="3"/>
  <c r="I148" i="3"/>
  <c r="I149" i="3"/>
  <c r="I151" i="3"/>
  <c r="I152" i="3"/>
  <c r="I154" i="3"/>
  <c r="I156" i="3"/>
  <c r="I157" i="3"/>
  <c r="I158" i="3"/>
  <c r="I159" i="3"/>
  <c r="I161" i="3"/>
  <c r="I162" i="3"/>
  <c r="I163" i="3"/>
  <c r="I165" i="3"/>
  <c r="I166" i="3"/>
  <c r="I167" i="3"/>
  <c r="I169" i="3"/>
  <c r="I172" i="3"/>
  <c r="I173" i="3"/>
  <c r="I174" i="3"/>
  <c r="I176" i="3"/>
  <c r="I178" i="3"/>
  <c r="I179" i="3"/>
  <c r="I181" i="3"/>
  <c r="I182" i="3"/>
  <c r="I183" i="3"/>
  <c r="I184" i="3"/>
  <c r="I185" i="3"/>
  <c r="I186" i="3"/>
  <c r="I187" i="3"/>
  <c r="I188" i="3"/>
  <c r="I189" i="3"/>
  <c r="I191" i="3"/>
  <c r="I192" i="3"/>
  <c r="I193" i="3"/>
  <c r="I195" i="3"/>
  <c r="I196" i="3"/>
  <c r="I198" i="3"/>
  <c r="I200" i="3"/>
  <c r="I202" i="3"/>
  <c r="I4" i="3"/>
  <c r="I5" i="3"/>
  <c r="I6" i="3"/>
  <c r="I7" i="3"/>
  <c r="I8" i="3"/>
  <c r="I9" i="3"/>
  <c r="I10" i="3"/>
  <c r="I15" i="3"/>
  <c r="I16" i="3"/>
  <c r="I17" i="3"/>
  <c r="I18" i="3"/>
  <c r="I19" i="3"/>
  <c r="I22" i="3"/>
  <c r="I23" i="3"/>
  <c r="I24" i="3"/>
  <c r="I224" i="7" s="1"/>
  <c r="I25" i="3"/>
  <c r="I26" i="3"/>
  <c r="I27" i="3"/>
  <c r="I28" i="3"/>
  <c r="I3" i="2"/>
  <c r="I6" i="2"/>
  <c r="I9" i="2"/>
  <c r="I10" i="2"/>
  <c r="I11" i="2"/>
  <c r="I13" i="2"/>
  <c r="I15" i="2"/>
  <c r="I16" i="2"/>
  <c r="I20" i="2"/>
  <c r="I21" i="2"/>
  <c r="I23" i="2"/>
  <c r="I25" i="2"/>
  <c r="I26" i="2"/>
  <c r="I27" i="2"/>
  <c r="I30" i="2"/>
  <c r="I31" i="2"/>
  <c r="I34" i="2"/>
  <c r="I35" i="2"/>
  <c r="I37" i="2"/>
  <c r="I38" i="2"/>
  <c r="I40" i="2"/>
  <c r="I41" i="2"/>
  <c r="I43" i="2"/>
  <c r="I45" i="2"/>
  <c r="I46" i="2"/>
  <c r="I47" i="2"/>
  <c r="I48" i="2"/>
  <c r="I49" i="2"/>
  <c r="I50" i="2"/>
  <c r="I53" i="2"/>
  <c r="I54" i="2"/>
  <c r="I55" i="2"/>
  <c r="I56" i="2"/>
  <c r="I57" i="2"/>
  <c r="I58" i="2"/>
  <c r="I60" i="2"/>
  <c r="I61" i="2"/>
  <c r="I62" i="2"/>
  <c r="I63" i="2"/>
  <c r="I64" i="2"/>
  <c r="I65" i="2"/>
  <c r="I66" i="2"/>
  <c r="I67" i="2"/>
  <c r="I68" i="2"/>
  <c r="I69" i="2"/>
  <c r="I70" i="2"/>
  <c r="I71" i="2"/>
  <c r="I72" i="2"/>
  <c r="I74" i="2"/>
  <c r="I76" i="2"/>
  <c r="I77" i="2"/>
  <c r="I78" i="2"/>
  <c r="I79" i="2"/>
  <c r="I81" i="2"/>
  <c r="I82" i="2"/>
  <c r="I83" i="2"/>
  <c r="I84" i="2"/>
  <c r="I85" i="2"/>
  <c r="I86" i="2"/>
  <c r="I87" i="2"/>
  <c r="I88" i="2"/>
  <c r="I89" i="2"/>
  <c r="I90" i="2"/>
  <c r="I91" i="2"/>
  <c r="I92" i="2"/>
  <c r="I93" i="2"/>
  <c r="I94" i="2"/>
  <c r="I95" i="2"/>
  <c r="I96" i="2"/>
  <c r="I97" i="2"/>
  <c r="I99" i="2"/>
  <c r="I100" i="2"/>
  <c r="I101" i="2"/>
  <c r="I102" i="2"/>
  <c r="I103" i="2"/>
  <c r="I104" i="2"/>
  <c r="I105" i="2"/>
  <c r="I106" i="2"/>
  <c r="I107" i="2"/>
  <c r="I109" i="2"/>
  <c r="I111" i="2"/>
  <c r="I112" i="2"/>
  <c r="I113" i="2"/>
  <c r="I114" i="2"/>
  <c r="I115" i="2"/>
  <c r="I116" i="2"/>
  <c r="I117" i="2"/>
  <c r="I118" i="2"/>
  <c r="I119" i="2"/>
  <c r="I121" i="2"/>
  <c r="I122" i="2"/>
  <c r="I123" i="2"/>
  <c r="I124" i="2"/>
  <c r="I125" i="2"/>
  <c r="I126" i="2"/>
  <c r="I127" i="2"/>
  <c r="I128" i="2"/>
  <c r="I129" i="2"/>
  <c r="I130" i="2"/>
  <c r="I131" i="2"/>
  <c r="I132" i="2"/>
  <c r="I133" i="2"/>
  <c r="I134" i="2"/>
  <c r="I135" i="2"/>
  <c r="I136" i="2"/>
  <c r="I138" i="2"/>
  <c r="I139" i="2"/>
  <c r="I140" i="2"/>
  <c r="I141" i="2"/>
  <c r="I142" i="2"/>
  <c r="I143" i="2"/>
  <c r="I144" i="2"/>
  <c r="I145" i="2"/>
  <c r="I146" i="2"/>
  <c r="I147" i="2"/>
  <c r="I148" i="2"/>
  <c r="I149" i="2"/>
  <c r="I150" i="2"/>
  <c r="I151" i="2"/>
  <c r="I153" i="2"/>
  <c r="I154" i="2"/>
  <c r="I155" i="2"/>
  <c r="I156" i="2"/>
  <c r="I157" i="2"/>
  <c r="I158" i="2"/>
  <c r="I159" i="2"/>
  <c r="I160" i="2"/>
  <c r="I161" i="2"/>
  <c r="I164" i="2"/>
  <c r="I165" i="2"/>
  <c r="I166" i="2"/>
  <c r="I167" i="2"/>
  <c r="I168" i="2"/>
  <c r="I169" i="2"/>
  <c r="I171" i="2"/>
  <c r="I172" i="2"/>
  <c r="I173" i="2"/>
  <c r="I174" i="2"/>
  <c r="I175" i="2"/>
  <c r="I176" i="2"/>
  <c r="I177" i="2"/>
  <c r="I179" i="2"/>
  <c r="I180" i="2"/>
  <c r="I181" i="2"/>
  <c r="I182" i="2"/>
  <c r="I184" i="2"/>
  <c r="I185" i="2"/>
  <c r="I186" i="2"/>
  <c r="I187" i="2"/>
  <c r="I188" i="2"/>
  <c r="I189" i="2"/>
  <c r="I190" i="2"/>
  <c r="I191" i="2"/>
  <c r="I192" i="2"/>
  <c r="I193" i="2"/>
  <c r="I194" i="2"/>
  <c r="I195" i="2"/>
  <c r="I196" i="2"/>
  <c r="I197" i="2"/>
  <c r="I199" i="2"/>
  <c r="I200" i="2"/>
  <c r="I201" i="2"/>
  <c r="I202" i="2"/>
  <c r="J202"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3" i="1"/>
  <c r="J3"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3" i="4"/>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4" i="3"/>
  <c r="J3" i="3"/>
  <c r="J4" i="4"/>
  <c r="C206" i="1"/>
  <c r="C209" i="1"/>
  <c r="J3" i="5"/>
  <c r="J4" i="5"/>
  <c r="J183" i="4"/>
  <c r="J184" i="4"/>
  <c r="J185" i="4"/>
  <c r="J186" i="4"/>
  <c r="J187" i="4"/>
  <c r="J188" i="4"/>
  <c r="J189" i="4"/>
  <c r="J190" i="4"/>
  <c r="J191" i="4"/>
  <c r="J192" i="4"/>
  <c r="J193" i="4"/>
  <c r="J194" i="4"/>
  <c r="J195" i="4"/>
  <c r="J196" i="4"/>
  <c r="J197" i="4"/>
  <c r="J198" i="4"/>
  <c r="J199" i="4"/>
  <c r="J200" i="4"/>
  <c r="J201" i="4"/>
  <c r="J202" i="4"/>
  <c r="J163" i="4"/>
  <c r="J164" i="4"/>
  <c r="J165" i="4"/>
  <c r="J166" i="4"/>
  <c r="J167" i="4"/>
  <c r="J168" i="4"/>
  <c r="J169" i="4"/>
  <c r="J170" i="4"/>
  <c r="J171" i="4"/>
  <c r="J172" i="4"/>
  <c r="J173" i="4"/>
  <c r="J174" i="4"/>
  <c r="J175" i="4"/>
  <c r="J176" i="4"/>
  <c r="J177" i="4"/>
  <c r="J178" i="4"/>
  <c r="J179" i="4"/>
  <c r="J180" i="4"/>
  <c r="J181" i="4"/>
  <c r="J182" i="4"/>
  <c r="J162"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30" i="4"/>
  <c r="J31" i="4"/>
  <c r="J32" i="4"/>
  <c r="J33" i="4"/>
  <c r="J34" i="4"/>
  <c r="J35" i="4"/>
  <c r="J36" i="4"/>
  <c r="J37" i="4"/>
  <c r="J38" i="4"/>
  <c r="J39" i="4"/>
  <c r="J40" i="4"/>
  <c r="J41" i="4"/>
  <c r="J42" i="4"/>
  <c r="J43" i="4"/>
  <c r="J44" i="4"/>
  <c r="J45" i="4"/>
  <c r="J46" i="4"/>
  <c r="J47" i="4"/>
  <c r="J48" i="4"/>
  <c r="J49" i="4"/>
  <c r="J5" i="4"/>
  <c r="J6" i="4"/>
  <c r="J7" i="4"/>
  <c r="J8" i="4"/>
  <c r="J9" i="4"/>
  <c r="J10" i="4"/>
  <c r="J11" i="4"/>
  <c r="J12" i="4"/>
  <c r="J13" i="4"/>
  <c r="J14" i="4"/>
  <c r="J15" i="4"/>
  <c r="J16" i="4"/>
  <c r="J17" i="4"/>
  <c r="J18" i="4"/>
  <c r="J19" i="4"/>
  <c r="J20" i="4"/>
  <c r="J21" i="4"/>
  <c r="J22" i="4"/>
  <c r="J23" i="4"/>
  <c r="J24" i="4"/>
  <c r="J25" i="4"/>
  <c r="J26" i="4"/>
  <c r="J27" i="4"/>
  <c r="J28" i="4"/>
  <c r="J29" i="4"/>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6" i="5"/>
  <c r="J27" i="5"/>
  <c r="J28" i="5"/>
  <c r="J29" i="5"/>
  <c r="J30" i="5"/>
  <c r="J31" i="5"/>
  <c r="J32" i="5"/>
  <c r="J33" i="5"/>
  <c r="J34" i="5"/>
  <c r="J35" i="5"/>
  <c r="J36" i="5"/>
  <c r="J37" i="5"/>
  <c r="J38" i="5"/>
  <c r="J39" i="5"/>
  <c r="J40" i="5"/>
  <c r="J41" i="5"/>
  <c r="J42" i="5"/>
  <c r="J43" i="5"/>
  <c r="J44" i="5"/>
  <c r="J45" i="5"/>
  <c r="J46" i="5"/>
  <c r="J47" i="5"/>
  <c r="J48" i="5"/>
  <c r="J49" i="5"/>
  <c r="J50" i="5"/>
  <c r="J51" i="5"/>
  <c r="J52" i="5"/>
  <c r="J8" i="5"/>
  <c r="J9" i="5"/>
  <c r="J10" i="5"/>
  <c r="J11" i="5"/>
  <c r="J12" i="5"/>
  <c r="J13" i="5"/>
  <c r="J14" i="5"/>
  <c r="J15" i="5"/>
  <c r="J16" i="5"/>
  <c r="J17" i="5"/>
  <c r="J18" i="5"/>
  <c r="J19" i="5"/>
  <c r="J20" i="5"/>
  <c r="J21" i="5"/>
  <c r="J22" i="5"/>
  <c r="J23" i="5"/>
  <c r="J24" i="5"/>
  <c r="J25" i="5"/>
  <c r="J5" i="5"/>
  <c r="J6" i="5"/>
  <c r="J7" i="5"/>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4" i="4"/>
  <c r="D5" i="4"/>
  <c r="D6" i="4"/>
  <c r="D7" i="4"/>
  <c r="D8" i="4"/>
  <c r="D9" i="4"/>
  <c r="D10" i="4"/>
  <c r="D11" i="4"/>
  <c r="D12" i="4"/>
  <c r="D13" i="4"/>
  <c r="D14" i="4"/>
  <c r="D15" i="4"/>
  <c r="D16" i="4"/>
  <c r="D17" i="4"/>
  <c r="D18" i="4"/>
  <c r="D19" i="4"/>
  <c r="D20" i="4"/>
  <c r="D3" i="4"/>
  <c r="F3" i="9" s="1"/>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3" i="3"/>
  <c r="F4" i="9" s="1"/>
  <c r="D3" i="2"/>
  <c r="F5" i="9" s="1"/>
  <c r="C209" i="3"/>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 i="1"/>
  <c r="D206" i="1" s="1"/>
  <c r="D188" i="5"/>
  <c r="D189" i="5"/>
  <c r="D190" i="5"/>
  <c r="D191" i="5"/>
  <c r="D192" i="5"/>
  <c r="D193" i="5"/>
  <c r="D194" i="5"/>
  <c r="D195" i="5"/>
  <c r="D196" i="5"/>
  <c r="D197" i="5"/>
  <c r="D198" i="5"/>
  <c r="D199" i="5"/>
  <c r="D200" i="5"/>
  <c r="D201" i="5"/>
  <c r="D202" i="5"/>
  <c r="D177" i="5"/>
  <c r="D178" i="5"/>
  <c r="D179" i="5"/>
  <c r="D180" i="5"/>
  <c r="D181" i="5"/>
  <c r="D182" i="5"/>
  <c r="D183" i="5"/>
  <c r="D184" i="5"/>
  <c r="D185" i="5"/>
  <c r="D186" i="5"/>
  <c r="D187" i="5"/>
  <c r="D166" i="5"/>
  <c r="D167" i="5"/>
  <c r="D168" i="5"/>
  <c r="D169" i="5"/>
  <c r="D170" i="5"/>
  <c r="D171" i="5"/>
  <c r="D172" i="5"/>
  <c r="D173" i="5"/>
  <c r="D174" i="5"/>
  <c r="D175" i="5"/>
  <c r="D176" i="5"/>
  <c r="D148" i="5"/>
  <c r="D149" i="5"/>
  <c r="D150" i="5"/>
  <c r="D151" i="5"/>
  <c r="D152" i="5"/>
  <c r="D153" i="5"/>
  <c r="D154" i="5"/>
  <c r="D155" i="5"/>
  <c r="D156" i="5"/>
  <c r="D157" i="5"/>
  <c r="D158" i="5"/>
  <c r="D159" i="5"/>
  <c r="D160" i="5"/>
  <c r="D161" i="5"/>
  <c r="D162" i="5"/>
  <c r="D163" i="5"/>
  <c r="D164" i="5"/>
  <c r="D165" i="5"/>
  <c r="D140" i="5"/>
  <c r="D141" i="5"/>
  <c r="D142" i="5"/>
  <c r="D143" i="5"/>
  <c r="D144" i="5"/>
  <c r="D145" i="5"/>
  <c r="D146" i="5"/>
  <c r="D147" i="5"/>
  <c r="D124" i="5"/>
  <c r="D125" i="5"/>
  <c r="D126" i="5"/>
  <c r="D127" i="5"/>
  <c r="D128" i="5"/>
  <c r="D129" i="5"/>
  <c r="D130" i="5"/>
  <c r="D131" i="5"/>
  <c r="D132" i="5"/>
  <c r="D133" i="5"/>
  <c r="D134" i="5"/>
  <c r="D135" i="5"/>
  <c r="D136" i="5"/>
  <c r="D137" i="5"/>
  <c r="D138" i="5"/>
  <c r="D139" i="5"/>
  <c r="D108" i="5"/>
  <c r="D109" i="5"/>
  <c r="D110" i="5"/>
  <c r="D111" i="5"/>
  <c r="D112" i="5"/>
  <c r="D113" i="5"/>
  <c r="D114" i="5"/>
  <c r="D115" i="5"/>
  <c r="D116" i="5"/>
  <c r="D117" i="5"/>
  <c r="D118" i="5"/>
  <c r="D119" i="5"/>
  <c r="D120" i="5"/>
  <c r="D121" i="5"/>
  <c r="D122" i="5"/>
  <c r="D123" i="5"/>
  <c r="D94" i="5"/>
  <c r="D95" i="5"/>
  <c r="D96" i="5"/>
  <c r="D97" i="5"/>
  <c r="D98" i="5"/>
  <c r="D99" i="5"/>
  <c r="D100" i="5"/>
  <c r="D101" i="5"/>
  <c r="D102" i="5"/>
  <c r="D103" i="5"/>
  <c r="D104" i="5"/>
  <c r="D105" i="5"/>
  <c r="D106" i="5"/>
  <c r="D107"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4" i="5"/>
  <c r="D5" i="5"/>
  <c r="D6" i="5"/>
  <c r="D7" i="5"/>
  <c r="D8" i="5"/>
  <c r="D9" i="5"/>
  <c r="D10" i="5"/>
  <c r="D11" i="5"/>
  <c r="D12" i="5"/>
  <c r="D13" i="5"/>
  <c r="D14" i="5"/>
  <c r="D15" i="5"/>
  <c r="D16" i="5"/>
  <c r="D17" i="5"/>
  <c r="D18" i="5"/>
  <c r="D19" i="5"/>
  <c r="D20" i="5"/>
  <c r="D21" i="5"/>
  <c r="D22" i="5"/>
  <c r="D23" i="5"/>
  <c r="D3" i="5"/>
  <c r="F2" i="9" s="1"/>
  <c r="C209" i="5"/>
  <c r="C209" i="4"/>
  <c r="C209" i="2"/>
  <c r="C206" i="5"/>
  <c r="C206" i="4"/>
  <c r="C206" i="3"/>
  <c r="C206"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K27" i="9"/>
  <c r="J28" i="9" l="1"/>
  <c r="J31" i="9"/>
  <c r="J8" i="9"/>
  <c r="D209" i="2"/>
  <c r="D1004" i="7"/>
  <c r="F6" i="9"/>
  <c r="F8" i="9" s="1"/>
  <c r="D206" i="2"/>
  <c r="D206" i="5"/>
  <c r="I2" i="9"/>
  <c r="D206" i="3"/>
  <c r="I222" i="7"/>
  <c r="E218" i="7"/>
  <c r="E392" i="7"/>
  <c r="I210" i="7"/>
  <c r="E194" i="4"/>
  <c r="G391" i="7"/>
  <c r="I24" i="4"/>
  <c r="E210" i="7"/>
  <c r="G213" i="7"/>
  <c r="G222" i="7"/>
  <c r="G189" i="4"/>
  <c r="H19" i="4"/>
  <c r="I213" i="7"/>
  <c r="G225" i="7"/>
  <c r="G392" i="7"/>
  <c r="H130" i="3"/>
  <c r="G198" i="4"/>
  <c r="I215" i="7"/>
  <c r="G218" i="7"/>
  <c r="I392" i="7"/>
  <c r="H397" i="7"/>
  <c r="G11" i="4"/>
  <c r="H11" i="4"/>
  <c r="H393" i="7"/>
  <c r="H451" i="7"/>
  <c r="G24" i="4"/>
  <c r="H14" i="4"/>
  <c r="I25" i="4"/>
  <c r="G16" i="4"/>
  <c r="E222" i="7"/>
  <c r="I225" i="7"/>
  <c r="H189" i="4"/>
  <c r="E16" i="4"/>
  <c r="G393" i="7"/>
  <c r="H26" i="4"/>
  <c r="H215" i="7"/>
  <c r="H223" i="7"/>
  <c r="E388" i="7"/>
  <c r="E188" i="4"/>
  <c r="H23" i="4"/>
  <c r="I393" i="7"/>
  <c r="E192" i="4"/>
  <c r="H193" i="4"/>
  <c r="E198" i="4"/>
  <c r="E26" i="4"/>
  <c r="E213" i="7"/>
  <c r="I218" i="7"/>
  <c r="H25" i="4"/>
  <c r="E224" i="7"/>
  <c r="G25" i="4"/>
  <c r="E24" i="4"/>
  <c r="D209" i="1"/>
  <c r="D209" i="3"/>
  <c r="D209" i="4"/>
  <c r="D20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D1" authorId="0" shapeId="0" xr:uid="{52279391-C2E3-B54C-B3AA-B619C2E6D62C}">
      <text>
        <r>
          <rPr>
            <b/>
            <sz val="10"/>
            <color rgb="FF000000"/>
            <rFont val="Tahoma"/>
            <family val="2"/>
          </rPr>
          <t>Microsoft Office User:</t>
        </r>
        <r>
          <rPr>
            <sz val="10"/>
            <color rgb="FF000000"/>
            <rFont val="Tahoma"/>
            <family val="2"/>
          </rPr>
          <t xml:space="preserve">
</t>
        </r>
        <r>
          <rPr>
            <sz val="10"/>
            <color rgb="FF000000"/>
            <rFont val="Tahoma"/>
            <family val="2"/>
          </rPr>
          <t>Numar vizualizari/1000*5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202" authorId="0" shapeId="0" xr:uid="{4D2BA580-62A9-264E-876F-AFFB066144CA}">
      <text>
        <r>
          <rPr>
            <b/>
            <sz val="10"/>
            <color rgb="FF000000"/>
            <rFont val="Tahoma"/>
            <family val="2"/>
          </rPr>
          <t>Microsoft Office User:</t>
        </r>
        <r>
          <rPr>
            <sz val="10"/>
            <color rgb="FF000000"/>
            <rFont val="Tahoma"/>
            <family val="2"/>
          </rPr>
          <t xml:space="preserve">
</t>
        </r>
        <r>
          <rPr>
            <sz val="10"/>
            <color rgb="FF000000"/>
            <rFont val="Tahoma"/>
            <family val="2"/>
          </rPr>
          <t xml:space="preserve">De aici incepe saptamana 2
</t>
        </r>
      </text>
    </comment>
    <comment ref="A402" authorId="0" shapeId="0" xr:uid="{CD2BE24C-B88D-B348-8AC7-5EB039DA0047}">
      <text>
        <r>
          <rPr>
            <b/>
            <sz val="10"/>
            <color rgb="FF000000"/>
            <rFont val="Tahoma"/>
            <family val="2"/>
          </rPr>
          <t>Microsoft Office User:</t>
        </r>
        <r>
          <rPr>
            <sz val="10"/>
            <color rgb="FF000000"/>
            <rFont val="Tahoma"/>
            <family val="2"/>
          </rPr>
          <t xml:space="preserve">
</t>
        </r>
        <r>
          <rPr>
            <sz val="10"/>
            <color rgb="FF000000"/>
            <rFont val="Tahoma"/>
            <family val="2"/>
          </rPr>
          <t xml:space="preserve">Saptamana 3
</t>
        </r>
      </text>
    </comment>
    <comment ref="A602" authorId="0" shapeId="0" xr:uid="{FD25D39B-1B28-C34E-911C-E9F04379BBC4}">
      <text>
        <r>
          <rPr>
            <b/>
            <sz val="10"/>
            <color rgb="FF000000"/>
            <rFont val="Tahoma"/>
            <family val="2"/>
          </rPr>
          <t>Microsoft Office User:</t>
        </r>
        <r>
          <rPr>
            <sz val="10"/>
            <color rgb="FF000000"/>
            <rFont val="Tahoma"/>
            <family val="2"/>
          </rPr>
          <t xml:space="preserve">
</t>
        </r>
        <r>
          <rPr>
            <sz val="10"/>
            <color rgb="FF000000"/>
            <rFont val="Tahoma"/>
            <family val="2"/>
          </rPr>
          <t xml:space="preserve">Saptamana 4
</t>
        </r>
        <r>
          <rPr>
            <sz val="10"/>
            <color rgb="FF000000"/>
            <rFont val="Tahoma"/>
            <family val="2"/>
          </rPr>
          <t xml:space="preserve">
</t>
        </r>
      </text>
    </comment>
    <comment ref="A802" authorId="0" shapeId="0" xr:uid="{417098F4-E757-F040-9C24-AA24CA087873}">
      <text>
        <r>
          <rPr>
            <b/>
            <sz val="10"/>
            <color rgb="FF000000"/>
            <rFont val="Tahoma"/>
            <family val="2"/>
          </rPr>
          <t>Microsoft Office User:</t>
        </r>
        <r>
          <rPr>
            <sz val="10"/>
            <color rgb="FF000000"/>
            <rFont val="Tahoma"/>
            <family val="2"/>
          </rPr>
          <t xml:space="preserve">
</t>
        </r>
        <r>
          <rPr>
            <sz val="10"/>
            <color rgb="FF000000"/>
            <rFont val="Tahoma"/>
            <family val="2"/>
          </rPr>
          <t xml:space="preserve">Saptamana 5
</t>
        </r>
      </text>
    </comment>
  </commentList>
</comments>
</file>

<file path=xl/sharedStrings.xml><?xml version="1.0" encoding="utf-8"?>
<sst xmlns="http://schemas.openxmlformats.org/spreadsheetml/2006/main" count="5368" uniqueCount="526">
  <si>
    <t>STAY (with Justin Bieber)</t>
  </si>
  <si>
    <t>The Kid LAROI</t>
  </si>
  <si>
    <t>Lil Nas X</t>
  </si>
  <si>
    <t>My Universe</t>
  </si>
  <si>
    <t>Coldplay</t>
  </si>
  <si>
    <t>Heat Waves</t>
  </si>
  <si>
    <t>Glass Animals</t>
  </si>
  <si>
    <t>Pepas</t>
  </si>
  <si>
    <t>Farruko</t>
  </si>
  <si>
    <t>Bad Habits</t>
  </si>
  <si>
    <t>Ed Sheeran</t>
  </si>
  <si>
    <t>Woman</t>
  </si>
  <si>
    <t>Doja Cat</t>
  </si>
  <si>
    <t>Shivers</t>
  </si>
  <si>
    <t>THATS WHAT I WANT</t>
  </si>
  <si>
    <t>Beggin'</t>
  </si>
  <si>
    <t>good 4 u</t>
  </si>
  <si>
    <t>Olivia Rodrigo</t>
  </si>
  <si>
    <t>MONTERO (Call Me By Your Name)</t>
  </si>
  <si>
    <t>Way 2 Sexy (with Future &amp; Young Thug)</t>
  </si>
  <si>
    <t>Drake</t>
  </si>
  <si>
    <t>Need To Know</t>
  </si>
  <si>
    <t>Happier Than Ever</t>
  </si>
  <si>
    <t>Billie Eilish</t>
  </si>
  <si>
    <t>love nwantiti (ah ah ah)</t>
  </si>
  <si>
    <t>CKay</t>
  </si>
  <si>
    <t>Cold Heart - PNAU Remix</t>
  </si>
  <si>
    <t>Elton John</t>
  </si>
  <si>
    <t>Life Goes On</t>
  </si>
  <si>
    <t>Oliver Tree</t>
  </si>
  <si>
    <t>Fair Trade (with Travis Scott)</t>
  </si>
  <si>
    <t>Yonaguni</t>
  </si>
  <si>
    <t>Bad Bunny</t>
  </si>
  <si>
    <t>Todo De Ti</t>
  </si>
  <si>
    <t>Rauw Alejandro</t>
  </si>
  <si>
    <t>Knife Talk (with 21 Savage ft. Project Pat)</t>
  </si>
  <si>
    <t>Aventura</t>
  </si>
  <si>
    <t>traitor</t>
  </si>
  <si>
    <t>Dua Lipa</t>
  </si>
  <si>
    <t>LALISA</t>
  </si>
  <si>
    <t>LISA</t>
  </si>
  <si>
    <t>In Da Getto</t>
  </si>
  <si>
    <t>J Balvin</t>
  </si>
  <si>
    <t>Justin Bieber</t>
  </si>
  <si>
    <t>MONEY</t>
  </si>
  <si>
    <t>Take My Breath</t>
  </si>
  <si>
    <t>The Weeknd</t>
  </si>
  <si>
    <t>Meet Me At Our Spot</t>
  </si>
  <si>
    <t>THE ANXIETY</t>
  </si>
  <si>
    <t>Blinding Lights</t>
  </si>
  <si>
    <t>Girls Want Girls (with Lil Baby)</t>
  </si>
  <si>
    <t>Hurricane</t>
  </si>
  <si>
    <t>Kanye West</t>
  </si>
  <si>
    <t>I WANNA BE YOUR SLAVE</t>
  </si>
  <si>
    <t>Butter</t>
  </si>
  <si>
    <t>BTS</t>
  </si>
  <si>
    <t>Save Your Tears (with Ariana Grande) (Remix)</t>
  </si>
  <si>
    <t>drivers license</t>
  </si>
  <si>
    <t>Don't Be Shy</t>
  </si>
  <si>
    <t>TiÃ«sto</t>
  </si>
  <si>
    <t>Sleepy Hallow</t>
  </si>
  <si>
    <t>Wildest Dreams (Taylor's Version)</t>
  </si>
  <si>
    <t>Taylor Swift</t>
  </si>
  <si>
    <t>Ley Seca</t>
  </si>
  <si>
    <t>Jhay Cortez</t>
  </si>
  <si>
    <t>Get Into It (Yuh)</t>
  </si>
  <si>
    <t>Where Are You Now</t>
  </si>
  <si>
    <t>Lost Frequencies</t>
  </si>
  <si>
    <t>Sobrio</t>
  </si>
  <si>
    <t>Maluma</t>
  </si>
  <si>
    <t>AM Remix</t>
  </si>
  <si>
    <t>Nio Garcia</t>
  </si>
  <si>
    <t>Volando - Remix</t>
  </si>
  <si>
    <t>Mora</t>
  </si>
  <si>
    <t>deja vu</t>
  </si>
  <si>
    <t>Permission to Dance</t>
  </si>
  <si>
    <t>Joel Corry</t>
  </si>
  <si>
    <t>PariÌs</t>
  </si>
  <si>
    <t>Ingratax</t>
  </si>
  <si>
    <t>family ties (with Kendrick Lamar)</t>
  </si>
  <si>
    <t>Baby Keem</t>
  </si>
  <si>
    <t>Don't Go Yet</t>
  </si>
  <si>
    <t>Camila Cabello</t>
  </si>
  <si>
    <t>Watermelon Sugar</t>
  </si>
  <si>
    <t>Harry Styles</t>
  </si>
  <si>
    <t>Sweater Weather</t>
  </si>
  <si>
    <t>The Neighbourhood</t>
  </si>
  <si>
    <t>Leave The Door Open</t>
  </si>
  <si>
    <t>Bruno Mars</t>
  </si>
  <si>
    <t>NostÃ¡lgico</t>
  </si>
  <si>
    <t>Rvssian</t>
  </si>
  <si>
    <t>Like I Can</t>
  </si>
  <si>
    <t>Sam Smith</t>
  </si>
  <si>
    <t>Entre Nosotros</t>
  </si>
  <si>
    <t>Tiago PZK</t>
  </si>
  <si>
    <t>happier</t>
  </si>
  <si>
    <t>Love Tonight - Edit</t>
  </si>
  <si>
    <t>Shouse</t>
  </si>
  <si>
    <t>24kGoldn</t>
  </si>
  <si>
    <t>Dynamite</t>
  </si>
  <si>
    <t>Una Nota</t>
  </si>
  <si>
    <t>Dark Red</t>
  </si>
  <si>
    <t>Steve Lacy</t>
  </si>
  <si>
    <t>Freaks</t>
  </si>
  <si>
    <t>Surf Curse</t>
  </si>
  <si>
    <t>Someone You Loved</t>
  </si>
  <si>
    <t>Lewis Capaldi</t>
  </si>
  <si>
    <t>Leave Before You Love Me (with Jonas Brothers)</t>
  </si>
  <si>
    <t>Marshmello</t>
  </si>
  <si>
    <t>Don't Start Now</t>
  </si>
  <si>
    <t>Bored</t>
  </si>
  <si>
    <t>TINI</t>
  </si>
  <si>
    <t>Pareja Del AÃ±o</t>
  </si>
  <si>
    <t>Sebastian Yatra</t>
  </si>
  <si>
    <t>I GUESS I'M IN LOVE</t>
  </si>
  <si>
    <t>Clinton Kane</t>
  </si>
  <si>
    <t>Riton</t>
  </si>
  <si>
    <t>Tiroteo - Remix</t>
  </si>
  <si>
    <t>Marc SeguÃ­</t>
  </si>
  <si>
    <t>Astronaut In The Ocean</t>
  </si>
  <si>
    <t>Masked Wolf</t>
  </si>
  <si>
    <t>bbno$</t>
  </si>
  <si>
    <t>The Business</t>
  </si>
  <si>
    <t>Your Heart</t>
  </si>
  <si>
    <t>Joyner Lucas</t>
  </si>
  <si>
    <t>jealousy, jealousy</t>
  </si>
  <si>
    <t>Love Again</t>
  </si>
  <si>
    <t>Ain't Shit</t>
  </si>
  <si>
    <t>Have Mercy</t>
  </si>
  <si>
    <t>ChlÃ¶e</t>
  </si>
  <si>
    <t>lovely (with Khalid)</t>
  </si>
  <si>
    <t>SEJODIOTO</t>
  </si>
  <si>
    <t>KAROL G</t>
  </si>
  <si>
    <t>favorite crime</t>
  </si>
  <si>
    <t>911 - Remix</t>
  </si>
  <si>
    <t>Sech</t>
  </si>
  <si>
    <t>Perfect</t>
  </si>
  <si>
    <t>Summer of Love (Shawn Mendes &amp; Tainy)</t>
  </si>
  <si>
    <t>Shawn Mendes</t>
  </si>
  <si>
    <t>Save Your Tears</t>
  </si>
  <si>
    <t>Blxst</t>
  </si>
  <si>
    <t>LOCO</t>
  </si>
  <si>
    <t>ITZY</t>
  </si>
  <si>
    <t>Champagne Poetry</t>
  </si>
  <si>
    <t>Happier Than Ever - Edit</t>
  </si>
  <si>
    <t>Moon</t>
  </si>
  <si>
    <t>Believer</t>
  </si>
  <si>
    <t>Imagine Dragons</t>
  </si>
  <si>
    <t>Loco</t>
  </si>
  <si>
    <t>Justin Quiles</t>
  </si>
  <si>
    <t>ArranhÃ£o - Ao Vivo</t>
  </si>
  <si>
    <t>Henrique &amp; Juliano</t>
  </si>
  <si>
    <t>Before You Go</t>
  </si>
  <si>
    <t>positions</t>
  </si>
  <si>
    <t>Ariana Grande</t>
  </si>
  <si>
    <t>RAPSTAR</t>
  </si>
  <si>
    <t>Polo G</t>
  </si>
  <si>
    <t>Circles</t>
  </si>
  <si>
    <t>Post Malone</t>
  </si>
  <si>
    <t>Smells Like Teen Spirit</t>
  </si>
  <si>
    <t>Nirvana</t>
  </si>
  <si>
    <t>Dance Monkey</t>
  </si>
  <si>
    <t>Tones And I</t>
  </si>
  <si>
    <t>A-O-K</t>
  </si>
  <si>
    <t>Tai Verdes</t>
  </si>
  <si>
    <t>double take</t>
  </si>
  <si>
    <t>dhruv</t>
  </si>
  <si>
    <t>Yellow</t>
  </si>
  <si>
    <t>Sunflower - Spider-Man: Into the Spider-Verse</t>
  </si>
  <si>
    <t>Shape of You</t>
  </si>
  <si>
    <t>Heartbreak Anniversary</t>
  </si>
  <si>
    <t>Giveon</t>
  </si>
  <si>
    <t>telepatÃ­a</t>
  </si>
  <si>
    <t>Kali Uchis</t>
  </si>
  <si>
    <t>...And to Those I Love, Thanks for Sticking Around</t>
  </si>
  <si>
    <t>$uicideboy$</t>
  </si>
  <si>
    <t>Bala Love</t>
  </si>
  <si>
    <t>Mc Anjim</t>
  </si>
  <si>
    <t>Off The Grid</t>
  </si>
  <si>
    <t>Arcade</t>
  </si>
  <si>
    <t>Duncan Laurence</t>
  </si>
  <si>
    <t>Poblado - Remix</t>
  </si>
  <si>
    <t>Too Easy</t>
  </si>
  <si>
    <t>Gunna</t>
  </si>
  <si>
    <t>Heather</t>
  </si>
  <si>
    <t>Conan Gray</t>
  </si>
  <si>
    <t>Levitating</t>
  </si>
  <si>
    <t>Bohemian Rhapsody - Remastered 2011</t>
  </si>
  <si>
    <t>Queen</t>
  </si>
  <si>
    <t>A La AntigÃ¼ita</t>
  </si>
  <si>
    <t>Calibre 50</t>
  </si>
  <si>
    <t>you broke me first</t>
  </si>
  <si>
    <t>Tate McRae</t>
  </si>
  <si>
    <t>Daddy Issues</t>
  </si>
  <si>
    <t>You Right</t>
  </si>
  <si>
    <t>Jugaste y SufrÃ­</t>
  </si>
  <si>
    <t>Eslabon Armado</t>
  </si>
  <si>
    <t>WITHOUT YOU</t>
  </si>
  <si>
    <t>SeÃ±orita</t>
  </si>
  <si>
    <t>The Real Slim Shady</t>
  </si>
  <si>
    <t>Eminem</t>
  </si>
  <si>
    <t>Mon Amour - Remix</t>
  </si>
  <si>
    <t>zzoilo</t>
  </si>
  <si>
    <t>Gangsta's Paradise</t>
  </si>
  <si>
    <t>Coolio</t>
  </si>
  <si>
    <t>Raataan Lambiyan (From "Shershaah")</t>
  </si>
  <si>
    <t>Tanishk Bagchi</t>
  </si>
  <si>
    <t>Internet Money</t>
  </si>
  <si>
    <t>Meu PedaÃ§o de Pecado</t>
  </si>
  <si>
    <t>JoÃ£o Gomes</t>
  </si>
  <si>
    <t>Counting Stars</t>
  </si>
  <si>
    <t>OneRepublic</t>
  </si>
  <si>
    <t>The Nights</t>
  </si>
  <si>
    <t>Avicii</t>
  </si>
  <si>
    <t>Ela e Ela</t>
  </si>
  <si>
    <t>ZÃ© Neto &amp; Cristiano</t>
  </si>
  <si>
    <t>Dandelions</t>
  </si>
  <si>
    <t>Ruth B.</t>
  </si>
  <si>
    <t>ALMAS GEMELAS</t>
  </si>
  <si>
    <t>Myke Towers</t>
  </si>
  <si>
    <t>VocÃª Beberia Ou NÃ£o Beberia?</t>
  </si>
  <si>
    <t>Quer Voar</t>
  </si>
  <si>
    <t>MatuÃª</t>
  </si>
  <si>
    <t>Talking to the Moon</t>
  </si>
  <si>
    <t>Say You Won't Let Go</t>
  </si>
  <si>
    <t>James Arthur</t>
  </si>
  <si>
    <t>Shallow</t>
  </si>
  <si>
    <t>Lady Gaga</t>
  </si>
  <si>
    <t>goosebumps</t>
  </si>
  <si>
    <t>Travis Scott</t>
  </si>
  <si>
    <t>Botella Tras Botella</t>
  </si>
  <si>
    <t>Gera MX</t>
  </si>
  <si>
    <t>Memories</t>
  </si>
  <si>
    <t>Maroon 5</t>
  </si>
  <si>
    <t>Another Love</t>
  </si>
  <si>
    <t>Tom Odell</t>
  </si>
  <si>
    <t>brutal</t>
  </si>
  <si>
    <t>Mr. Brightside</t>
  </si>
  <si>
    <t>The Killers</t>
  </si>
  <si>
    <t>Take Me To Church</t>
  </si>
  <si>
    <t>Hozier</t>
  </si>
  <si>
    <t>Every Breath You Take</t>
  </si>
  <si>
    <t>The Police</t>
  </si>
  <si>
    <t>No Role Modelz</t>
  </si>
  <si>
    <t>J. Cole</t>
  </si>
  <si>
    <t>Riptide</t>
  </si>
  <si>
    <t>Vance Joy</t>
  </si>
  <si>
    <t>No Friends In The Industry</t>
  </si>
  <si>
    <t>Run</t>
  </si>
  <si>
    <t>Heartbreak Anthem (with David Guetta &amp; Little Mix)</t>
  </si>
  <si>
    <t>Galantis</t>
  </si>
  <si>
    <t>Goosebumps - Remix</t>
  </si>
  <si>
    <t>7 rings</t>
  </si>
  <si>
    <t>2/Catorce</t>
  </si>
  <si>
    <t>Here's Your Perfect</t>
  </si>
  <si>
    <t>Jamie Miller</t>
  </si>
  <si>
    <t>Chega E Senta - Ao Vivo</t>
  </si>
  <si>
    <t>John Amplificado</t>
  </si>
  <si>
    <t>bad guy</t>
  </si>
  <si>
    <t>Obsessed With You</t>
  </si>
  <si>
    <t>Central Cee</t>
  </si>
  <si>
    <t>Dreams - 2004 Remaster</t>
  </si>
  <si>
    <t>Fleetwood Mac</t>
  </si>
  <si>
    <t>Wake Me Up</t>
  </si>
  <si>
    <t>Loverboy</t>
  </si>
  <si>
    <t>A-Wall</t>
  </si>
  <si>
    <t>All of Me</t>
  </si>
  <si>
    <t>John Legend</t>
  </si>
  <si>
    <t>Roses - Imanbek Remix</t>
  </si>
  <si>
    <t>SAINt JHN</t>
  </si>
  <si>
    <t>Jocelyn Flores</t>
  </si>
  <si>
    <t>XXXTENTACION</t>
  </si>
  <si>
    <t>Ranjha (From "Shershaah")</t>
  </si>
  <si>
    <t>Jasleen Royal</t>
  </si>
  <si>
    <t>Adore You</t>
  </si>
  <si>
    <t>Never Going Home</t>
  </si>
  <si>
    <t>Kungs</t>
  </si>
  <si>
    <t>HawÃ¡i</t>
  </si>
  <si>
    <t>Sexo Virtual</t>
  </si>
  <si>
    <t>Maria Becerra</t>
  </si>
  <si>
    <t>Lucid Dreams</t>
  </si>
  <si>
    <t>Juice WRLD</t>
  </si>
  <si>
    <t>September</t>
  </si>
  <si>
    <t>Earth, Wind &amp; Fire</t>
  </si>
  <si>
    <t>Blank Space</t>
  </si>
  <si>
    <t>Rasputin</t>
  </si>
  <si>
    <t>Majestic</t>
  </si>
  <si>
    <t>Nota de RepÃºdio - Ao Vivo</t>
  </si>
  <si>
    <t>Gusttavo Lima</t>
  </si>
  <si>
    <t>Wildest Dreams</t>
  </si>
  <si>
    <t>Motley Crew</t>
  </si>
  <si>
    <t>Without Me</t>
  </si>
  <si>
    <t>Hold On</t>
  </si>
  <si>
    <t>Wonderwall - Remastered</t>
  </si>
  <si>
    <t>Oasis</t>
  </si>
  <si>
    <t>Your Love (9PM)</t>
  </si>
  <si>
    <t>ATB</t>
  </si>
  <si>
    <t>Trippie Redd</t>
  </si>
  <si>
    <t>INFERNO</t>
  </si>
  <si>
    <t>Sub Urban</t>
  </si>
  <si>
    <t>Papiâ€™s Home</t>
  </si>
  <si>
    <t>TSU</t>
  </si>
  <si>
    <t>In The Bible (with Lil Durk &amp; Giveon)</t>
  </si>
  <si>
    <t>Love All (with JAY-Z)</t>
  </si>
  <si>
    <t>N 2 Deep</t>
  </si>
  <si>
    <t>Pipe Down</t>
  </si>
  <si>
    <t>7am On Bridle Path</t>
  </si>
  <si>
    <t>Race My Mind</t>
  </si>
  <si>
    <t>IMY2 (with Kid Cudi)</t>
  </si>
  <si>
    <t>Fountains (with Tems)</t>
  </si>
  <si>
    <t>Yebbaâ€™s Heartbreak</t>
  </si>
  <si>
    <t>You Only Live Twice (with Lil Wayne &amp; Rick Ross)</t>
  </si>
  <si>
    <t>Get Along Better</t>
  </si>
  <si>
    <t>Jail</t>
  </si>
  <si>
    <t>F*****g Fans</t>
  </si>
  <si>
    <t>The Remorse</t>
  </si>
  <si>
    <t>Praise God</t>
  </si>
  <si>
    <t>Don't Shut Me Down</t>
  </si>
  <si>
    <t>ABBA</t>
  </si>
  <si>
    <t>Believe What I Say</t>
  </si>
  <si>
    <t>Jonah</t>
  </si>
  <si>
    <t>No Child Left Behind</t>
  </si>
  <si>
    <t>Heaven and Hell</t>
  </si>
  <si>
    <t>I Still Have Faith In You</t>
  </si>
  <si>
    <t>Lizzo</t>
  </si>
  <si>
    <t>RolÃª</t>
  </si>
  <si>
    <t>TarcÃ­sio do Acordeon</t>
  </si>
  <si>
    <t>Ok Ok</t>
  </si>
  <si>
    <t>HOT DEMON B!TCHES NEAR U ! ! !</t>
  </si>
  <si>
    <t>CORPSE</t>
  </si>
  <si>
    <t>Visiting Hours</t>
  </si>
  <si>
    <t>Ficha Limpa</t>
  </si>
  <si>
    <t>Pure Souls</t>
  </si>
  <si>
    <t>MORENA</t>
  </si>
  <si>
    <t>Luan Santana</t>
  </si>
  <si>
    <t>Remote Control</t>
  </si>
  <si>
    <t>Fiel - Remix</t>
  </si>
  <si>
    <t>Wisin</t>
  </si>
  <si>
    <t>Donâ€™t Go (with Justin Bieber &amp; Don Toliver)</t>
  </si>
  <si>
    <t>Skrillex</t>
  </si>
  <si>
    <t>Wrecked</t>
  </si>
  <si>
    <t>EL MAKINON</t>
  </si>
  <si>
    <t>Junya</t>
  </si>
  <si>
    <t>One Dance</t>
  </si>
  <si>
    <t>God Breathed</t>
  </si>
  <si>
    <t>Baby Me Atende</t>
  </si>
  <si>
    <t>Matheus Fernandes</t>
  </si>
  <si>
    <t>Fiel</t>
  </si>
  <si>
    <t>Los Legendarios</t>
  </si>
  <si>
    <t>Remember (and David Guetta)</t>
  </si>
  <si>
    <t>Becky Hill</t>
  </si>
  <si>
    <t>range brothers (with Kendrick Lamar)</t>
  </si>
  <si>
    <t>2CB</t>
  </si>
  <si>
    <t>RAF Camora</t>
  </si>
  <si>
    <t>Fancy Like</t>
  </si>
  <si>
    <t>Walker Hayes</t>
  </si>
  <si>
    <t>DEAD RIGHT NOW</t>
  </si>
  <si>
    <t>SUN GOES DOWN</t>
  </si>
  <si>
    <t>TALES OF DOMINICA</t>
  </si>
  <si>
    <t>LOST IN THE CITADEL</t>
  </si>
  <si>
    <t>DONT WANT IT</t>
  </si>
  <si>
    <t>VOID</t>
  </si>
  <si>
    <t>LIFE AFTER SALEM</t>
  </si>
  <si>
    <t>Donda</t>
  </si>
  <si>
    <t>Keep My Spirit Alive</t>
  </si>
  <si>
    <t>Jesus Lord</t>
  </si>
  <si>
    <t>New Again</t>
  </si>
  <si>
    <t>Jail pt 2</t>
  </si>
  <si>
    <t>Lord I Need You</t>
  </si>
  <si>
    <t>Donda Chant</t>
  </si>
  <si>
    <t>Come to Life</t>
  </si>
  <si>
    <t>I am not a woman, I'm a god</t>
  </si>
  <si>
    <t>Halsey</t>
  </si>
  <si>
    <t>Tell The Vision</t>
  </si>
  <si>
    <t>Ok Ok pt 2</t>
  </si>
  <si>
    <t>Meek Mill</t>
  </si>
  <si>
    <t>Junya pt 2</t>
  </si>
  <si>
    <t>Thot Shit</t>
  </si>
  <si>
    <t>Megan Thee Stallion</t>
  </si>
  <si>
    <t>Build a Bitch</t>
  </si>
  <si>
    <t>Bella Poarch</t>
  </si>
  <si>
    <t>Jesus Lord pt 2</t>
  </si>
  <si>
    <t>Belly, The Weeknd - Die For It (ft. Nas)</t>
  </si>
  <si>
    <t>Belly</t>
  </si>
  <si>
    <t>Bilmem Mi?</t>
  </si>
  <si>
    <t>Sefo</t>
  </si>
  <si>
    <t>Thunderous</t>
  </si>
  <si>
    <t>Stray Kids</t>
  </si>
  <si>
    <t>Pain</t>
  </si>
  <si>
    <t>PinkPantheress</t>
  </si>
  <si>
    <t>999 (with Camilo)</t>
  </si>
  <si>
    <t>Selena Gomez</t>
  </si>
  <si>
    <t>Iko Iko (My Bestie)</t>
  </si>
  <si>
    <t>Justin Wellington</t>
  </si>
  <si>
    <t>REPEAT IT (with Gunna)</t>
  </si>
  <si>
    <t>Lil Tecca</t>
  </si>
  <si>
    <t>Streets</t>
  </si>
  <si>
    <t>Fulanito</t>
  </si>
  <si>
    <t>Becky G</t>
  </si>
  <si>
    <t>Just for me</t>
  </si>
  <si>
    <t>LA NOCHE DE ANOCHE</t>
  </si>
  <si>
    <t>DaBaby</t>
  </si>
  <si>
    <t>Numarul mediu de vizualizari</t>
  </si>
  <si>
    <t>Numarul total de vizualizari</t>
  </si>
  <si>
    <t>Numele Melodiei</t>
  </si>
  <si>
    <t>Artist</t>
  </si>
  <si>
    <t>Numar vizualizari</t>
  </si>
  <si>
    <t>Venituri (nr vizulizari/1000*5)</t>
  </si>
  <si>
    <t>Data Lansarii</t>
  </si>
  <si>
    <t>Aparitii in top 200</t>
  </si>
  <si>
    <t>Venituri Totale</t>
  </si>
  <si>
    <t>Venituri medii</t>
  </si>
  <si>
    <t>Durata Melodiei</t>
  </si>
  <si>
    <t>Genul de Muzica</t>
  </si>
  <si>
    <t>Volví</t>
  </si>
  <si>
    <t>Måneskin</t>
  </si>
  <si>
    <t>R&amp;B/SOUL</t>
  </si>
  <si>
    <t>Qué Más Pues?</t>
  </si>
  <si>
    <t>LATIN URBAN</t>
  </si>
  <si>
    <t>Nationalitatea Artistului</t>
  </si>
  <si>
    <t>Canada</t>
  </si>
  <si>
    <t>Colaborare</t>
  </si>
  <si>
    <t>POP</t>
  </si>
  <si>
    <t>HIP-HOP/RAP</t>
  </si>
  <si>
    <t>K-POP</t>
  </si>
  <si>
    <t>Paris</t>
  </si>
  <si>
    <t>LATIN</t>
  </si>
  <si>
    <t>Cúrame</t>
  </si>
  <si>
    <t>RHYTHM &amp; BLUES</t>
  </si>
  <si>
    <t>ELECTRONIC</t>
  </si>
  <si>
    <t>Dákiti</t>
  </si>
  <si>
    <t>Miénteme</t>
  </si>
  <si>
    <t>DANCE</t>
  </si>
  <si>
    <t>ROCK</t>
  </si>
  <si>
    <t>ALTERNATIVE</t>
  </si>
  <si>
    <t>Marc Segui</t>
  </si>
  <si>
    <t>INDUSTRY BABY (with Jack Harlow)</t>
  </si>
  <si>
    <t>Kiss Me More (with SZA)</t>
  </si>
  <si>
    <t>love nwantiti (with Dj Yo! &amp; AX'EL) - Remix</t>
  </si>
  <si>
    <t>Levitating (with DaBaby)</t>
  </si>
  <si>
    <t>Peaches (with Daniel Caesar &amp; Giveon)</t>
  </si>
  <si>
    <t>OUT OUT (with Charli XCX &amp; Saweetie)</t>
  </si>
  <si>
    <t>Mood (with iann dior)</t>
  </si>
  <si>
    <t>Friday (with Mufasa &amp; Hypeman) - Dopamine Re-Edit</t>
  </si>
  <si>
    <t>edamame (with Rich Brian)</t>
  </si>
  <si>
    <t>Chosen (with Ty Dolla $ign)</t>
  </si>
  <si>
    <t>love nwantiti (with ElGrande Toto) - North African Remix</t>
  </si>
  <si>
    <t>SCOOP (with Doja Cat)</t>
  </si>
  <si>
    <t>Lemonade (with Gunna, Don Toliver &amp; NAV)</t>
  </si>
  <si>
    <t>Head &amp; Heart (with MNEK)</t>
  </si>
  <si>
    <t>Butter (with Megan Thee Stallion)</t>
  </si>
  <si>
    <t>She Knows (with Amber Coffman &amp; Cults)</t>
  </si>
  <si>
    <t>Beautiful Mistakes (with Megan Thee Stallion)</t>
  </si>
  <si>
    <t>Wants and Needs (with Lil Baby)</t>
  </si>
  <si>
    <t>Wow Wow (with Becky G)</t>
  </si>
  <si>
    <t>Miss The Rage (with Playboi Carti)</t>
  </si>
  <si>
    <t>Rumors (with Cardi B)</t>
  </si>
  <si>
    <t>DOLLA SIGN SLIME (with Megan Thee Stallion)</t>
  </si>
  <si>
    <t>ONE OF ME (with Elton John)</t>
  </si>
  <si>
    <t>AM I DREAMING (with Miley Cyrus)</t>
  </si>
  <si>
    <t>Sharing Locations (with Lil Baby &amp; Lil Durk)</t>
  </si>
  <si>
    <t>ROCKSTAR (with Roddy Ricch)</t>
  </si>
  <si>
    <t>Row Labels</t>
  </si>
  <si>
    <t>Grand Total</t>
  </si>
  <si>
    <t>Sum of Numar vizualizari</t>
  </si>
  <si>
    <t>Sum of Venituri (nr vizulizari/1000*5)</t>
  </si>
  <si>
    <t>Venituri</t>
  </si>
  <si>
    <t>Naționalitatea artistului</t>
  </si>
  <si>
    <t>SUA</t>
  </si>
  <si>
    <t>Marea Britanie</t>
  </si>
  <si>
    <t>Australia</t>
  </si>
  <si>
    <t>Italia</t>
  </si>
  <si>
    <t>Puerto Rico</t>
  </si>
  <si>
    <t>Republica Dominicană</t>
  </si>
  <si>
    <t>Columbia</t>
  </si>
  <si>
    <t>Korea de Sud</t>
  </si>
  <si>
    <t>Mexic</t>
  </si>
  <si>
    <t>Jamaica</t>
  </si>
  <si>
    <t>Argentina</t>
  </si>
  <si>
    <t>Panama</t>
  </si>
  <si>
    <t>Cuba</t>
  </si>
  <si>
    <t>Tiësto</t>
  </si>
  <si>
    <t>Olanda</t>
  </si>
  <si>
    <t>Norvegia</t>
  </si>
  <si>
    <t>Scoția</t>
  </si>
  <si>
    <t>India</t>
  </si>
  <si>
    <t>Brazilia</t>
  </si>
  <si>
    <t>Suedia</t>
  </si>
  <si>
    <t>João Gomes</t>
  </si>
  <si>
    <t>Filipine</t>
  </si>
  <si>
    <t>Germania</t>
  </si>
  <si>
    <t>Țara Galilor</t>
  </si>
  <si>
    <t>Matue</t>
  </si>
  <si>
    <t>Turcia</t>
  </si>
  <si>
    <t>Irlanda</t>
  </si>
  <si>
    <t>Papua</t>
  </si>
  <si>
    <t>Franța</t>
  </si>
  <si>
    <t>Africa</t>
  </si>
  <si>
    <t>AFROBEATS</t>
  </si>
  <si>
    <t>Tailanda</t>
  </si>
  <si>
    <t>Belgia</t>
  </si>
  <si>
    <t>s</t>
  </si>
  <si>
    <t>hIP-HOP/RAP</t>
  </si>
  <si>
    <t>USA</t>
  </si>
  <si>
    <t>Column Labels</t>
  </si>
  <si>
    <t>Average of Venituri (nr vizulizari/1000*5)</t>
  </si>
  <si>
    <t>Avg. pe saptamani</t>
  </si>
  <si>
    <t>Week 1</t>
  </si>
  <si>
    <t>Week 2</t>
  </si>
  <si>
    <t>Week 3</t>
  </si>
  <si>
    <t>Week 4</t>
  </si>
  <si>
    <t>Week 5</t>
  </si>
  <si>
    <t>Media</t>
  </si>
  <si>
    <t>Da</t>
  </si>
  <si>
    <t>Nu</t>
  </si>
  <si>
    <t>16.5%</t>
  </si>
  <si>
    <t>83.5%</t>
  </si>
  <si>
    <t>Procentaj</t>
  </si>
  <si>
    <t>Total Sum of Numar vizualizari</t>
  </si>
  <si>
    <t>Total Count of Aparitii in top 200</t>
  </si>
  <si>
    <t>Count of Aparitii in top 200</t>
  </si>
  <si>
    <t>Venituri Colaborare</t>
  </si>
  <si>
    <t>Venituri Medii</t>
  </si>
  <si>
    <t>Diferenta</t>
  </si>
  <si>
    <t>Count of Genul de Muzica</t>
  </si>
  <si>
    <t>Solver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</si>
</sst>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 #,##0.00_)\ &quot;RON&quot;_ ;_ * \(#,##0.00\)\ &quot;RON&quot;_ ;_ * &quot;-&quot;??_)\ &quot;RON&quot;_ ;_ @_ "/>
    <numFmt numFmtId="165" formatCode="#,##0.00\ [$USD]"/>
    <numFmt numFmtId="166" formatCode="_ * #,##0.00_)\ [$USD]_ ;_ * \(#,##0.00\)\ [$USD]_ ;_ * &quot;-&quot;??_)\ [$USD]_ ;_ @_ "/>
    <numFmt numFmtId="167" formatCode="[h]:mm"/>
    <numFmt numFmtId="168" formatCode="_-[$$-409]* #,##0_ ;_-[$$-409]* \-#,##0\ ;_-[$$-409]* &quot;-&quot;_ ;_-@_ "/>
  </numFmts>
  <fonts count="7" x14ac:knownFonts="1">
    <font>
      <sz val="12"/>
      <color theme="1"/>
      <name val="Calibri"/>
      <family val="2"/>
      <scheme val="minor"/>
    </font>
    <font>
      <sz val="12"/>
      <color theme="1"/>
      <name val="Calibri"/>
      <family val="2"/>
      <scheme val="minor"/>
    </font>
    <font>
      <sz val="12"/>
      <color rgb="FF000000"/>
      <name val="Calibri"/>
      <family val="2"/>
      <scheme val="minor"/>
    </font>
    <font>
      <sz val="10"/>
      <color rgb="FF000000"/>
      <name val="Tahoma"/>
      <family val="2"/>
    </font>
    <font>
      <b/>
      <sz val="10"/>
      <color rgb="FF000000"/>
      <name val="Tahoma"/>
      <family val="2"/>
    </font>
    <font>
      <sz val="12"/>
      <color theme="0"/>
      <name val="Calibri"/>
      <family val="2"/>
      <scheme val="minor"/>
    </font>
    <font>
      <sz val="8"/>
      <name val="Calibri"/>
      <family val="2"/>
      <scheme val="minor"/>
    </font>
  </fonts>
  <fills count="1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00B050"/>
        <bgColor indexed="64"/>
      </patternFill>
    </fill>
    <fill>
      <patternFill patternType="solid">
        <fgColor rgb="FF00B0F0"/>
        <bgColor indexed="64"/>
      </patternFill>
    </fill>
    <fill>
      <patternFill patternType="solid">
        <fgColor theme="9" tint="-0.249977111117893"/>
        <bgColor indexed="64"/>
      </patternFill>
    </fill>
    <fill>
      <patternFill patternType="solid">
        <fgColor theme="8" tint="0.39997558519241921"/>
        <bgColor indexed="64"/>
      </patternFill>
    </fill>
    <fill>
      <patternFill patternType="solid">
        <fgColor theme="3" tint="0.59999389629810485"/>
        <bgColor indexed="64"/>
      </patternFill>
    </fill>
    <fill>
      <patternFill patternType="solid">
        <fgColor rgb="FFFFB0FF"/>
        <bgColor indexed="64"/>
      </patternFill>
    </fill>
    <fill>
      <patternFill patternType="solid">
        <fgColor rgb="FF00FFC9"/>
        <bgColor indexed="64"/>
      </patternFill>
    </fill>
    <fill>
      <patternFill patternType="solid">
        <fgColor rgb="FFFF738E"/>
        <bgColor indexed="64"/>
      </patternFill>
    </fill>
    <fill>
      <patternFill patternType="solid">
        <fgColor theme="1"/>
        <bgColor indexed="64"/>
      </patternFill>
    </fill>
    <fill>
      <patternFill patternType="solid">
        <fgColor rgb="FF3530A0"/>
        <bgColor indexed="64"/>
      </patternFill>
    </fill>
    <fill>
      <patternFill patternType="solid">
        <fgColor theme="0"/>
        <bgColor indexed="64"/>
      </patternFill>
    </fill>
  </fills>
  <borders count="1">
    <border>
      <left/>
      <right/>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43">
    <xf numFmtId="0" fontId="0" fillId="0" borderId="0" xfId="0"/>
    <xf numFmtId="0" fontId="2" fillId="0" borderId="0" xfId="0" applyFont="1"/>
    <xf numFmtId="14" fontId="0" fillId="0" borderId="0" xfId="0" applyNumberFormat="1"/>
    <xf numFmtId="165" fontId="0" fillId="0" borderId="0" xfId="0" applyNumberFormat="1"/>
    <xf numFmtId="166" fontId="2" fillId="0" borderId="0" xfId="0" applyNumberFormat="1" applyFont="1"/>
    <xf numFmtId="166" fontId="0" fillId="0" borderId="0" xfId="1" applyNumberFormat="1" applyFont="1"/>
    <xf numFmtId="166" fontId="2" fillId="0" borderId="0" xfId="1" applyNumberFormat="1" applyFont="1"/>
    <xf numFmtId="166" fontId="0" fillId="0" borderId="0" xfId="0" applyNumberFormat="1"/>
    <xf numFmtId="20" fontId="0" fillId="0" borderId="0" xfId="0" applyNumberFormat="1"/>
    <xf numFmtId="0" fontId="0" fillId="0" borderId="0" xfId="0" applyNumberFormat="1"/>
    <xf numFmtId="0" fontId="0" fillId="0" borderId="0" xfId="0" applyAlignment="1">
      <alignment horizontal="left"/>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20" fontId="2" fillId="0" borderId="0" xfId="0" applyNumberFormat="1" applyFont="1"/>
    <xf numFmtId="49" fontId="0" fillId="0" borderId="0" xfId="0" applyNumberFormat="1" applyAlignment="1">
      <alignment horizontal="left"/>
    </xf>
    <xf numFmtId="167" fontId="0" fillId="0" borderId="0" xfId="0" applyNumberFormat="1"/>
    <xf numFmtId="0" fontId="0" fillId="12" borderId="0" xfId="0" applyFill="1"/>
    <xf numFmtId="0" fontId="5" fillId="13" borderId="0" xfId="0" applyFont="1" applyFill="1"/>
    <xf numFmtId="168" fontId="0" fillId="0" borderId="0" xfId="0" applyNumberFormat="1"/>
    <xf numFmtId="0" fontId="5" fillId="13" borderId="0" xfId="0" applyNumberFormat="1" applyFont="1" applyFill="1"/>
    <xf numFmtId="3" fontId="0" fillId="0" borderId="0" xfId="0" applyNumberFormat="1"/>
    <xf numFmtId="0" fontId="0" fillId="13" borderId="0" xfId="0" applyFill="1"/>
    <xf numFmtId="0" fontId="5" fillId="14" borderId="0" xfId="0" applyFont="1" applyFill="1" applyAlignment="1">
      <alignment horizontal="center"/>
    </xf>
    <xf numFmtId="0" fontId="0" fillId="0" borderId="0" xfId="0" applyNumberFormat="1" applyAlignment="1">
      <alignment horizontal="left"/>
    </xf>
    <xf numFmtId="0" fontId="0" fillId="0" borderId="0" xfId="0" applyNumberFormat="1" applyAlignment="1">
      <alignment horizontal="left" indent="1"/>
    </xf>
    <xf numFmtId="14" fontId="0" fillId="0" borderId="0" xfId="0" applyNumberFormat="1" applyAlignment="1">
      <alignment horizontal="left"/>
    </xf>
    <xf numFmtId="14" fontId="5" fillId="13" borderId="0" xfId="0" applyNumberFormat="1" applyFont="1" applyFill="1"/>
    <xf numFmtId="14" fontId="5" fillId="13" borderId="0" xfId="0" applyNumberFormat="1" applyFont="1" applyFill="1" applyAlignment="1">
      <alignment horizontal="left"/>
    </xf>
    <xf numFmtId="168" fontId="5" fillId="13" borderId="0" xfId="0" applyNumberFormat="1" applyFont="1" applyFill="1"/>
    <xf numFmtId="9" fontId="0" fillId="0" borderId="0" xfId="2" applyFont="1"/>
    <xf numFmtId="0" fontId="5" fillId="13" borderId="0" xfId="0" applyFont="1" applyFill="1" applyAlignment="1">
      <alignment horizontal="center"/>
    </xf>
    <xf numFmtId="0" fontId="5" fillId="14" borderId="0" xfId="0" applyFont="1" applyFill="1"/>
    <xf numFmtId="3" fontId="0" fillId="14" borderId="0" xfId="0" applyNumberFormat="1" applyFill="1"/>
    <xf numFmtId="0" fontId="0" fillId="14" borderId="0" xfId="0" applyFill="1"/>
    <xf numFmtId="3" fontId="5" fillId="14" borderId="0" xfId="0" applyNumberFormat="1" applyFont="1" applyFill="1"/>
  </cellXfs>
  <cellStyles count="3">
    <cellStyle name="Currency" xfId="1" builtinId="4"/>
    <cellStyle name="Normal" xfId="0" builtinId="0"/>
    <cellStyle name="Per cent" xfId="2" builtinId="5"/>
  </cellStyles>
  <dxfs count="261">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3530A0"/>
      </font>
    </dxf>
    <dxf>
      <fill>
        <patternFill patternType="solid">
          <bgColor rgb="FF3530A0"/>
        </patternFill>
      </fill>
    </dxf>
    <dxf>
      <font>
        <color theme="0"/>
      </font>
    </dxf>
    <dxf>
      <numFmt numFmtId="0" formatCode="General"/>
    </dxf>
    <dxf>
      <numFmt numFmtId="19" formatCode="dd/mm/yyyy"/>
    </dxf>
    <dxf>
      <numFmt numFmtId="19" formatCode="dd/mm/yyyy"/>
    </dxf>
    <dxf>
      <numFmt numFmtId="19" formatCode="dd/mm/yyyy"/>
    </dxf>
    <dxf>
      <fill>
        <patternFill patternType="solid">
          <bgColor rgb="FF3530A0"/>
        </patternFill>
      </fill>
    </dxf>
    <dxf>
      <fill>
        <patternFill patternType="solid">
          <bgColor rgb="FF3530A0"/>
        </patternFill>
      </fill>
    </dxf>
    <dxf>
      <fill>
        <patternFill patternType="solid">
          <bgColor rgb="FF3530A0"/>
        </patternFill>
      </fill>
    </dxf>
    <dxf>
      <fill>
        <patternFill patternType="solid">
          <bgColor rgb="FF3530A0"/>
        </patternFill>
      </fill>
    </dxf>
    <dxf>
      <fill>
        <patternFill patternType="solid">
          <bgColor rgb="FF3530A0"/>
        </patternFill>
      </fill>
    </dxf>
    <dxf>
      <font>
        <color theme="0"/>
      </font>
    </dxf>
    <dxf>
      <font>
        <color theme="0"/>
      </font>
    </dxf>
    <dxf>
      <font>
        <color theme="0"/>
      </font>
    </dxf>
    <dxf>
      <font>
        <color theme="0"/>
      </font>
    </dxf>
    <dxf>
      <font>
        <color theme="0"/>
      </font>
    </dxf>
    <dxf>
      <fill>
        <patternFill patternType="solid">
          <bgColor rgb="FF3530A0"/>
        </patternFill>
      </fill>
    </dxf>
    <dxf>
      <fill>
        <patternFill patternType="solid">
          <bgColor rgb="FF3530A0"/>
        </patternFill>
      </fill>
    </dxf>
    <dxf>
      <font>
        <color theme="0"/>
      </font>
    </dxf>
    <dxf>
      <font>
        <color theme="0"/>
      </font>
    </dxf>
    <dxf>
      <numFmt numFmtId="168" formatCode="_-[$$-409]* #,##0_ ;_-[$$-409]* \-#,##0\ ;_-[$$-409]* &quot;-&quot;_ ;_-@_ "/>
    </dxf>
    <dxf>
      <numFmt numFmtId="168" formatCode="_-[$$-409]* #,##0_ ;_-[$$-409]* \-#,##0\ ;_-[$$-409]* &quot;-&quot;_ ;_-@_ "/>
    </dxf>
    <dxf>
      <font>
        <color rgb="FF3530A0"/>
      </font>
    </dxf>
    <dxf>
      <fill>
        <patternFill patternType="solid">
          <bgColor rgb="FF3530A0"/>
        </patternFill>
      </fill>
    </dxf>
    <dxf>
      <font>
        <color theme="0"/>
      </font>
    </dxf>
    <dxf>
      <numFmt numFmtId="0" formatCode="General"/>
    </dxf>
    <dxf>
      <numFmt numFmtId="19" formatCode="dd/mm/yyyy"/>
    </dxf>
    <dxf>
      <numFmt numFmtId="19" formatCode="dd/mm/yyyy"/>
    </dxf>
    <dxf>
      <numFmt numFmtId="19" formatCode="dd/mm/yyyy"/>
    </dxf>
    <dxf>
      <fill>
        <patternFill patternType="solid">
          <bgColor rgb="FF3530A0"/>
        </patternFill>
      </fill>
    </dxf>
    <dxf>
      <fill>
        <patternFill patternType="solid">
          <bgColor rgb="FF3530A0"/>
        </patternFill>
      </fill>
    </dxf>
    <dxf>
      <fill>
        <patternFill patternType="solid">
          <bgColor rgb="FF3530A0"/>
        </patternFill>
      </fill>
    </dxf>
    <dxf>
      <fill>
        <patternFill patternType="solid">
          <bgColor rgb="FF3530A0"/>
        </patternFill>
      </fill>
    </dxf>
    <dxf>
      <fill>
        <patternFill patternType="solid">
          <bgColor rgb="FF3530A0"/>
        </patternFill>
      </fill>
    </dxf>
    <dxf>
      <font>
        <color theme="0"/>
      </font>
    </dxf>
    <dxf>
      <font>
        <color theme="0"/>
      </font>
    </dxf>
    <dxf>
      <font>
        <color theme="0"/>
      </font>
    </dxf>
    <dxf>
      <font>
        <color theme="0"/>
      </font>
    </dxf>
    <dxf>
      <font>
        <color theme="0"/>
      </font>
    </dxf>
    <dxf>
      <fill>
        <patternFill patternType="solid">
          <bgColor rgb="FF3530A0"/>
        </patternFill>
      </fill>
    </dxf>
    <dxf>
      <fill>
        <patternFill patternType="solid">
          <bgColor rgb="FF3530A0"/>
        </patternFill>
      </fill>
    </dxf>
    <dxf>
      <font>
        <color theme="0"/>
      </font>
    </dxf>
    <dxf>
      <font>
        <color theme="0"/>
      </font>
    </dxf>
    <dxf>
      <numFmt numFmtId="168" formatCode="_-[$$-409]* #,##0_ ;_-[$$-409]* \-#,##0\ ;_-[$$-409]* &quot;-&quot;_ ;_-@_ "/>
    </dxf>
    <dxf>
      <numFmt numFmtId="168" formatCode="_-[$$-409]* #,##0_ ;_-[$$-409]* \-#,##0\ ;_-[$$-409]* &quot;-&quot;_ ;_-@_ "/>
    </dxf>
    <dxf>
      <font>
        <color rgb="FF3530A0"/>
      </font>
    </dxf>
    <dxf>
      <fill>
        <patternFill patternType="solid">
          <bgColor rgb="FF3530A0"/>
        </patternFill>
      </fill>
    </dxf>
    <dxf>
      <font>
        <color theme="0"/>
      </font>
    </dxf>
    <dxf>
      <numFmt numFmtId="0" formatCode="General"/>
    </dxf>
    <dxf>
      <numFmt numFmtId="19" formatCode="dd/mm/yyyy"/>
    </dxf>
    <dxf>
      <numFmt numFmtId="19" formatCode="dd/mm/yyyy"/>
    </dxf>
    <dxf>
      <numFmt numFmtId="19" formatCode="dd/mm/yyyy"/>
    </dxf>
    <dxf>
      <fill>
        <patternFill patternType="solid">
          <bgColor rgb="FF3530A0"/>
        </patternFill>
      </fill>
    </dxf>
    <dxf>
      <fill>
        <patternFill patternType="solid">
          <bgColor rgb="FF3530A0"/>
        </patternFill>
      </fill>
    </dxf>
    <dxf>
      <fill>
        <patternFill patternType="solid">
          <bgColor rgb="FF3530A0"/>
        </patternFill>
      </fill>
    </dxf>
    <dxf>
      <fill>
        <patternFill patternType="solid">
          <bgColor rgb="FF3530A0"/>
        </patternFill>
      </fill>
    </dxf>
    <dxf>
      <fill>
        <patternFill patternType="solid">
          <bgColor rgb="FF3530A0"/>
        </patternFill>
      </fill>
    </dxf>
    <dxf>
      <font>
        <color theme="0"/>
      </font>
    </dxf>
    <dxf>
      <font>
        <color theme="0"/>
      </font>
    </dxf>
    <dxf>
      <font>
        <color theme="0"/>
      </font>
    </dxf>
    <dxf>
      <font>
        <color theme="0"/>
      </font>
    </dxf>
    <dxf>
      <font>
        <color theme="0"/>
      </font>
    </dxf>
    <dxf>
      <fill>
        <patternFill patternType="solid">
          <bgColor rgb="FF3530A0"/>
        </patternFill>
      </fill>
    </dxf>
    <dxf>
      <fill>
        <patternFill patternType="solid">
          <bgColor rgb="FF3530A0"/>
        </patternFill>
      </fill>
    </dxf>
    <dxf>
      <font>
        <color theme="0"/>
      </font>
    </dxf>
    <dxf>
      <font>
        <color theme="0"/>
      </font>
    </dxf>
    <dxf>
      <numFmt numFmtId="168" formatCode="_-[$$-409]* #,##0_ ;_-[$$-409]* \-#,##0\ ;_-[$$-409]* &quot;-&quot;_ ;_-@_ "/>
    </dxf>
    <dxf>
      <numFmt numFmtId="168" formatCode="_-[$$-409]* #,##0_ ;_-[$$-409]* \-#,##0\ ;_-[$$-409]* &quot;-&quot;_ ;_-@_ "/>
    </dxf>
    <dxf>
      <font>
        <color rgb="FF3530A0"/>
      </font>
    </dxf>
    <dxf>
      <fill>
        <patternFill patternType="solid">
          <bgColor rgb="FF3530A0"/>
        </patternFill>
      </fill>
    </dxf>
    <dxf>
      <font>
        <color theme="0"/>
      </font>
    </dxf>
    <dxf>
      <numFmt numFmtId="0" formatCode="General"/>
    </dxf>
    <dxf>
      <numFmt numFmtId="0" formatCode="General"/>
    </dxf>
    <dxf>
      <numFmt numFmtId="0" formatCode="General"/>
    </dxf>
    <dxf>
      <numFmt numFmtId="3" formatCode="#,##0"/>
    </dxf>
    <dxf>
      <numFmt numFmtId="19" formatCode="dd/mm/yyyy"/>
    </dxf>
    <dxf>
      <numFmt numFmtId="19" formatCode="dd/mm/yyyy"/>
    </dxf>
    <dxf>
      <numFmt numFmtId="19" formatCode="dd/mm/yyyy"/>
    </dxf>
    <dxf>
      <numFmt numFmtId="19" formatCode="dd/mm/yyyy"/>
    </dxf>
    <dxf>
      <numFmt numFmtId="19" formatCode="dd/mm/yyyy"/>
    </dxf>
    <dxf>
      <fill>
        <patternFill patternType="solid">
          <bgColor rgb="FF3530A0"/>
        </patternFill>
      </fill>
    </dxf>
    <dxf>
      <fill>
        <patternFill patternType="solid">
          <bgColor rgb="FF3530A0"/>
        </patternFill>
      </fill>
    </dxf>
    <dxf>
      <fill>
        <patternFill patternType="solid">
          <bgColor rgb="FF3530A0"/>
        </patternFill>
      </fill>
    </dxf>
    <dxf>
      <fill>
        <patternFill patternType="solid">
          <bgColor rgb="FF3530A0"/>
        </patternFill>
      </fill>
    </dxf>
    <dxf>
      <fill>
        <patternFill patternType="solid">
          <bgColor rgb="FF3530A0"/>
        </patternFill>
      </fill>
    </dxf>
    <dxf>
      <fill>
        <patternFill patternType="solid">
          <bgColor rgb="FF3530A0"/>
        </patternFill>
      </fill>
    </dxf>
    <dxf>
      <fill>
        <patternFill patternType="solid">
          <bgColor rgb="FF3530A0"/>
        </patternFill>
      </fill>
    </dxf>
    <dxf>
      <fill>
        <patternFill patternType="solid">
          <bgColor rgb="FF3530A0"/>
        </patternFill>
      </fill>
    </dxf>
    <dxf>
      <fill>
        <patternFill patternType="solid">
          <bgColor rgb="FF3530A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rgb="FF3530A0"/>
        </patternFill>
      </fill>
    </dxf>
    <dxf>
      <fill>
        <patternFill patternType="solid">
          <bgColor rgb="FF3530A0"/>
        </patternFill>
      </fill>
    </dxf>
    <dxf>
      <font>
        <color theme="0"/>
      </font>
    </dxf>
    <dxf>
      <font>
        <color theme="0"/>
      </font>
    </dxf>
    <dxf>
      <fill>
        <patternFill patternType="solid">
          <bgColor rgb="FF3530A0"/>
        </patternFill>
      </fill>
    </dxf>
    <dxf>
      <fill>
        <patternFill patternType="solid">
          <bgColor rgb="FF3530A0"/>
        </patternFill>
      </fill>
    </dxf>
    <dxf>
      <font>
        <color theme="0"/>
      </font>
    </dxf>
    <dxf>
      <font>
        <color theme="0"/>
      </font>
    </dxf>
    <dxf>
      <font>
        <color theme="0"/>
      </font>
    </dxf>
    <dxf>
      <font>
        <color theme="0"/>
      </font>
    </dxf>
    <dxf>
      <fill>
        <patternFill patternType="solid">
          <bgColor rgb="FF3530A0"/>
        </patternFill>
      </fill>
    </dxf>
    <dxf>
      <fill>
        <patternFill patternType="solid">
          <bgColor rgb="FF3530A0"/>
        </patternFill>
      </fill>
    </dxf>
    <dxf>
      <fill>
        <patternFill patternType="solid">
          <bgColor rgb="FF3530A0"/>
        </patternFill>
      </fill>
    </dxf>
    <dxf>
      <fill>
        <patternFill patternType="solid">
          <bgColor rgb="FF3530A0"/>
        </patternFill>
      </fill>
    </dxf>
    <dxf>
      <font>
        <color theme="0"/>
      </font>
    </dxf>
    <dxf>
      <font>
        <color theme="0"/>
      </font>
    </dxf>
    <dxf>
      <font>
        <color theme="0"/>
      </font>
    </dxf>
    <dxf>
      <font>
        <color theme="0"/>
      </font>
    </dxf>
    <dxf>
      <fill>
        <patternFill patternType="solid">
          <bgColor rgb="FF3530A0"/>
        </patternFill>
      </fill>
    </dxf>
    <dxf>
      <fill>
        <patternFill patternType="solid">
          <bgColor rgb="FF3530A0"/>
        </patternFill>
      </fill>
    </dxf>
    <dxf>
      <font>
        <color theme="0"/>
      </font>
    </dxf>
    <dxf>
      <font>
        <color theme="0"/>
      </font>
    </dxf>
    <dxf>
      <fill>
        <patternFill patternType="solid">
          <bgColor rgb="FF3530A0"/>
        </patternFill>
      </fill>
    </dxf>
    <dxf>
      <fill>
        <patternFill patternType="solid">
          <bgColor rgb="FF3530A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rgb="FF3530A0"/>
        </patternFill>
      </fill>
    </dxf>
    <dxf>
      <fill>
        <patternFill patternType="solid">
          <bgColor rgb="FF3530A0"/>
        </patternFill>
      </fill>
    </dxf>
    <dxf>
      <fill>
        <patternFill patternType="solid">
          <bgColor rgb="FF3530A0"/>
        </patternFill>
      </fill>
    </dxf>
    <dxf>
      <fill>
        <patternFill patternType="solid">
          <bgColor rgb="FF3530A0"/>
        </patternFill>
      </fill>
    </dxf>
    <dxf>
      <fill>
        <patternFill patternType="solid">
          <bgColor rgb="FF3530A0"/>
        </patternFill>
      </fill>
    </dxf>
    <dxf>
      <fill>
        <patternFill patternType="solid">
          <bgColor rgb="FF3530A0"/>
        </patternFill>
      </fill>
    </dxf>
    <dxf>
      <fill>
        <patternFill patternType="solid">
          <bgColor rgb="FF3530A0"/>
        </patternFill>
      </fill>
    </dxf>
    <dxf>
      <fill>
        <patternFill patternType="solid">
          <bgColor rgb="FF3530A0"/>
        </patternFill>
      </fill>
    </dxf>
    <dxf>
      <fill>
        <patternFill patternType="solid">
          <bgColor rgb="FF3530A0"/>
        </patternFill>
      </fill>
    </dxf>
    <dxf>
      <numFmt numFmtId="19" formatCode="dd/mm/yyyy"/>
    </dxf>
    <dxf>
      <numFmt numFmtId="19" formatCode="dd/mm/yyyy"/>
    </dxf>
    <dxf>
      <numFmt numFmtId="19" formatCode="dd/mm/yyyy"/>
    </dxf>
    <dxf>
      <numFmt numFmtId="19" formatCode="dd/mm/yyyy"/>
    </dxf>
    <dxf>
      <numFmt numFmtId="19" formatCode="dd/mm/yyyy"/>
    </dxf>
    <dxf>
      <numFmt numFmtId="3" formatCode="#,##0"/>
    </dxf>
    <dxf>
      <numFmt numFmtId="0" formatCode="General"/>
    </dxf>
    <dxf>
      <numFmt numFmtId="0" formatCode="General"/>
    </dxf>
    <dxf>
      <numFmt numFmtId="0" formatCode="General"/>
    </dxf>
    <dxf>
      <font>
        <color theme="0"/>
      </font>
    </dxf>
    <dxf>
      <fill>
        <patternFill patternType="solid">
          <bgColor rgb="FF3530A0"/>
        </patternFill>
      </fill>
    </dxf>
    <dxf>
      <font>
        <color rgb="FF3530A0"/>
      </font>
    </dxf>
    <dxf>
      <numFmt numFmtId="168" formatCode="_-[$$-409]* #,##0_ ;_-[$$-409]* \-#,##0\ ;_-[$$-409]* &quot;-&quot;_ ;_-@_ "/>
    </dxf>
    <dxf>
      <numFmt numFmtId="168" formatCode="_-[$$-409]* #,##0_ ;_-[$$-409]* \-#,##0\ ;_-[$$-409]* &quot;-&quot;_ ;_-@_ "/>
    </dxf>
    <dxf>
      <font>
        <color theme="0"/>
      </font>
    </dxf>
    <dxf>
      <font>
        <color theme="0"/>
      </font>
    </dxf>
    <dxf>
      <fill>
        <patternFill patternType="solid">
          <bgColor rgb="FF3530A0"/>
        </patternFill>
      </fill>
    </dxf>
    <dxf>
      <fill>
        <patternFill patternType="solid">
          <bgColor rgb="FF3530A0"/>
        </patternFill>
      </fill>
    </dxf>
    <dxf>
      <font>
        <color theme="0"/>
      </font>
    </dxf>
    <dxf>
      <font>
        <color theme="0"/>
      </font>
    </dxf>
    <dxf>
      <font>
        <color theme="0"/>
      </font>
    </dxf>
    <dxf>
      <font>
        <color theme="0"/>
      </font>
    </dxf>
    <dxf>
      <font>
        <color theme="0"/>
      </font>
    </dxf>
    <dxf>
      <fill>
        <patternFill patternType="solid">
          <bgColor rgb="FF3530A0"/>
        </patternFill>
      </fill>
    </dxf>
    <dxf>
      <fill>
        <patternFill patternType="solid">
          <bgColor rgb="FF3530A0"/>
        </patternFill>
      </fill>
    </dxf>
    <dxf>
      <fill>
        <patternFill patternType="solid">
          <bgColor rgb="FF3530A0"/>
        </patternFill>
      </fill>
    </dxf>
    <dxf>
      <fill>
        <patternFill patternType="solid">
          <bgColor rgb="FF3530A0"/>
        </patternFill>
      </fill>
    </dxf>
    <dxf>
      <fill>
        <patternFill patternType="solid">
          <bgColor rgb="FF3530A0"/>
        </patternFill>
      </fill>
    </dxf>
    <dxf>
      <numFmt numFmtId="19" formatCode="dd/mm/yyyy"/>
    </dxf>
    <dxf>
      <numFmt numFmtId="19" formatCode="dd/mm/yyyy"/>
    </dxf>
    <dxf>
      <numFmt numFmtId="19" formatCode="dd/mm/yyyy"/>
    </dxf>
    <dxf>
      <numFmt numFmtId="0" formatCode="General"/>
    </dxf>
    <dxf>
      <font>
        <color theme="0"/>
      </font>
    </dxf>
    <dxf>
      <fill>
        <patternFill patternType="solid">
          <bgColor rgb="FF3530A0"/>
        </patternFill>
      </fill>
    </dxf>
    <dxf>
      <font>
        <color rgb="FF3530A0"/>
      </font>
    </dxf>
    <dxf>
      <numFmt numFmtId="168" formatCode="_-[$$-409]* #,##0_ ;_-[$$-409]* \-#,##0\ ;_-[$$-409]* &quot;-&quot;_ ;_-@_ "/>
    </dxf>
    <dxf>
      <numFmt numFmtId="168" formatCode="_-[$$-409]* #,##0_ ;_-[$$-409]* \-#,##0\ ;_-[$$-409]* &quot;-&quot;_ ;_-@_ "/>
    </dxf>
    <dxf>
      <font>
        <color theme="0"/>
      </font>
    </dxf>
    <dxf>
      <font>
        <color theme="0"/>
      </font>
    </dxf>
    <dxf>
      <fill>
        <patternFill patternType="solid">
          <bgColor rgb="FF3530A0"/>
        </patternFill>
      </fill>
    </dxf>
    <dxf>
      <fill>
        <patternFill patternType="solid">
          <bgColor rgb="FF3530A0"/>
        </patternFill>
      </fill>
    </dxf>
    <dxf>
      <font>
        <color theme="0"/>
      </font>
    </dxf>
    <dxf>
      <font>
        <color theme="0"/>
      </font>
    </dxf>
    <dxf>
      <font>
        <color theme="0"/>
      </font>
    </dxf>
    <dxf>
      <font>
        <color theme="0"/>
      </font>
    </dxf>
    <dxf>
      <font>
        <color theme="0"/>
      </font>
    </dxf>
    <dxf>
      <fill>
        <patternFill patternType="solid">
          <bgColor rgb="FF3530A0"/>
        </patternFill>
      </fill>
    </dxf>
    <dxf>
      <fill>
        <patternFill patternType="solid">
          <bgColor rgb="FF3530A0"/>
        </patternFill>
      </fill>
    </dxf>
    <dxf>
      <fill>
        <patternFill patternType="solid">
          <bgColor rgb="FF3530A0"/>
        </patternFill>
      </fill>
    </dxf>
    <dxf>
      <fill>
        <patternFill patternType="solid">
          <bgColor rgb="FF3530A0"/>
        </patternFill>
      </fill>
    </dxf>
    <dxf>
      <fill>
        <patternFill patternType="solid">
          <bgColor rgb="FF3530A0"/>
        </patternFill>
      </fill>
    </dxf>
    <dxf>
      <numFmt numFmtId="19" formatCode="dd/mm/yyyy"/>
    </dxf>
    <dxf>
      <numFmt numFmtId="19" formatCode="dd/mm/yyyy"/>
    </dxf>
    <dxf>
      <numFmt numFmtId="19" formatCode="dd/mm/yyyy"/>
    </dxf>
    <dxf>
      <numFmt numFmtId="0" formatCode="General"/>
    </dxf>
    <dxf>
      <font>
        <color theme="0"/>
      </font>
    </dxf>
    <dxf>
      <fill>
        <patternFill patternType="solid">
          <bgColor rgb="FF3530A0"/>
        </patternFill>
      </fill>
    </dxf>
    <dxf>
      <font>
        <color rgb="FF3530A0"/>
      </font>
    </dxf>
    <dxf>
      <numFmt numFmtId="168" formatCode="_-[$$-409]* #,##0_ ;_-[$$-409]* \-#,##0\ ;_-[$$-409]* &quot;-&quot;_ ;_-@_ "/>
    </dxf>
    <dxf>
      <numFmt numFmtId="0" formatCode="General"/>
    </dxf>
    <dxf>
      <numFmt numFmtId="0" formatCode="General"/>
    </dxf>
    <dxf>
      <numFmt numFmtId="0" formatCode="General"/>
    </dxf>
    <dxf>
      <font>
        <color theme="0"/>
      </font>
    </dxf>
    <dxf>
      <fill>
        <patternFill patternType="solid">
          <bgColor rgb="FF3530A0"/>
        </patternFill>
      </fill>
    </dxf>
    <dxf>
      <font>
        <color rgb="FF3530A0"/>
      </font>
    </dxf>
    <dxf>
      <numFmt numFmtId="168" formatCode="_-[$$-409]* #,##0_ ;_-[$$-409]* \-#,##0\ ;_-[$$-409]* &quot;-&quot;_ ;_-@_ "/>
    </dxf>
    <dxf>
      <font>
        <color theme="0"/>
      </font>
    </dxf>
    <dxf>
      <fill>
        <patternFill patternType="solid">
          <bgColor rgb="FF3530A0"/>
        </patternFill>
      </fill>
    </dxf>
    <dxf>
      <font>
        <color rgb="FF3530A0"/>
      </font>
    </dxf>
    <dxf>
      <numFmt numFmtId="3" formatCode="#,##0"/>
    </dxf>
    <dxf>
      <font>
        <color theme="0"/>
      </font>
    </dxf>
    <dxf>
      <fill>
        <patternFill patternType="solid">
          <bgColor rgb="FF3530A0"/>
        </patternFill>
      </fill>
    </dxf>
    <dxf>
      <font>
        <color rgb="FF3530A0"/>
      </font>
    </dxf>
    <dxf>
      <numFmt numFmtId="168" formatCode="_-[$$-409]* #,##0_ ;_-[$$-409]* \-#,##0\ ;_-[$$-409]* &quot;-&quot;_ ;_-@_ "/>
    </dxf>
    <dxf>
      <numFmt numFmtId="168" formatCode="_-[$$-409]* #,##0_ ;_-[$$-409]* \-#,##0\ ;_-[$$-409]* &quot;-&quot;_ ;_-@_ "/>
    </dxf>
    <dxf>
      <font>
        <color theme="0"/>
      </font>
    </dxf>
    <dxf>
      <font>
        <color theme="0"/>
      </font>
    </dxf>
    <dxf>
      <fill>
        <patternFill patternType="solid">
          <bgColor rgb="FF3530A0"/>
        </patternFill>
      </fill>
    </dxf>
    <dxf>
      <fill>
        <patternFill patternType="solid">
          <bgColor rgb="FF3530A0"/>
        </patternFill>
      </fill>
    </dxf>
    <dxf>
      <font>
        <color theme="0"/>
      </font>
    </dxf>
    <dxf>
      <font>
        <color theme="0"/>
      </font>
    </dxf>
    <dxf>
      <font>
        <color theme="0"/>
      </font>
    </dxf>
    <dxf>
      <font>
        <color theme="0"/>
      </font>
    </dxf>
    <dxf>
      <font>
        <color theme="0"/>
      </font>
    </dxf>
    <dxf>
      <fill>
        <patternFill patternType="solid">
          <bgColor rgb="FF3530A0"/>
        </patternFill>
      </fill>
    </dxf>
    <dxf>
      <fill>
        <patternFill patternType="solid">
          <bgColor rgb="FF3530A0"/>
        </patternFill>
      </fill>
    </dxf>
    <dxf>
      <fill>
        <patternFill patternType="solid">
          <bgColor rgb="FF3530A0"/>
        </patternFill>
      </fill>
    </dxf>
    <dxf>
      <fill>
        <patternFill patternType="solid">
          <bgColor rgb="FF3530A0"/>
        </patternFill>
      </fill>
    </dxf>
    <dxf>
      <fill>
        <patternFill patternType="solid">
          <bgColor rgb="FF3530A0"/>
        </patternFill>
      </fill>
    </dxf>
    <dxf>
      <numFmt numFmtId="19" formatCode="dd/mm/yyyy"/>
    </dxf>
    <dxf>
      <numFmt numFmtId="19" formatCode="dd/mm/yyyy"/>
    </dxf>
    <dxf>
      <numFmt numFmtId="19" formatCode="dd/mm/yyyy"/>
    </dxf>
    <dxf>
      <numFmt numFmtId="0" formatCode="General"/>
    </dxf>
    <dxf>
      <font>
        <color theme="0"/>
      </font>
    </dxf>
    <dxf>
      <fill>
        <patternFill patternType="solid">
          <bgColor rgb="FF3530A0"/>
        </patternFill>
      </fill>
    </dxf>
    <dxf>
      <font>
        <color rgb="FF3530A0"/>
      </font>
    </dxf>
    <dxf>
      <fill>
        <gradientFill degree="90">
          <stop position="0">
            <color rgb="FF171720"/>
          </stop>
          <stop position="1">
            <color rgb="FF171720"/>
          </stop>
        </gradientFill>
      </fill>
      <border diagonalUp="0" diagonalDown="0">
        <left/>
        <right/>
        <top/>
        <bottom/>
        <vertical/>
        <horizontal/>
      </border>
    </dxf>
    <dxf>
      <fill>
        <gradientFill degree="90">
          <stop position="0">
            <color rgb="FF171720"/>
          </stop>
          <stop position="1">
            <color rgb="FF171720"/>
          </stop>
        </gradientFill>
      </fill>
      <border diagonalUp="0" diagonalDown="0">
        <left/>
        <right/>
        <top/>
        <bottom/>
        <vertical/>
        <horizontal/>
      </border>
    </dxf>
  </dxfs>
  <tableStyles count="1" defaultTableStyle="TableStyleMedium2" defaultPivotStyle="PivotStyleLight16">
    <tableStyle name="proiectSlicer" pivot="0" table="0" count="6" xr9:uid="{909D0C08-8AB8-4089-A32E-751392886885}">
      <tableStyleElement type="wholeTable" dxfId="260"/>
      <tableStyleElement type="headerRow" dxfId="259"/>
    </tableStyle>
  </tableStyles>
  <colors>
    <mruColors>
      <color rgb="FF3530A0"/>
      <color rgb="FF399795"/>
      <color rgb="FF4E30A0"/>
      <color rgb="FF100F15"/>
      <color rgb="FF681B7E"/>
      <color rgb="FF171720"/>
      <color rgb="FF171721"/>
      <color rgb="FFAAAAAA"/>
      <color rgb="FF1D2D30"/>
      <color rgb="FFFF738E"/>
    </mruColors>
  </colors>
  <extLst>
    <ext xmlns:x14="http://schemas.microsoft.com/office/spreadsheetml/2009/9/main" uri="{46F421CA-312F-682f-3DD2-61675219B42D}">
      <x14:dxfs count="4">
        <dxf>
          <font>
            <b/>
            <i val="0"/>
          </font>
          <fill>
            <patternFill patternType="solid">
              <fgColor auto="1"/>
              <bgColor theme="0"/>
            </patternFill>
          </fill>
          <border diagonalUp="0" diagonalDown="0">
            <left/>
            <right/>
            <top/>
            <bottom/>
            <vertical/>
            <horizontal/>
          </border>
        </dxf>
        <dxf>
          <font>
            <sz val="11"/>
          </font>
          <fill>
            <patternFill>
              <bgColor rgb="FF399795"/>
            </patternFill>
          </fill>
          <border diagonalUp="0" diagonalDown="0">
            <left/>
            <right/>
            <top/>
            <bottom/>
            <vertical/>
            <horizontal/>
          </border>
        </dxf>
        <dxf>
          <font>
            <b/>
            <i val="0"/>
            <sz val="14"/>
          </font>
          <fill>
            <patternFill patternType="solid">
              <fgColor auto="1"/>
              <bgColor theme="0" tint="-4.9989318521683403E-2"/>
            </patternFill>
          </fill>
          <border diagonalUp="0" diagonalDown="0">
            <left/>
            <right/>
            <top/>
            <bottom/>
            <vertical/>
            <horizontal/>
          </border>
        </dxf>
        <dxf>
          <font>
            <b/>
            <i val="0"/>
            <sz val="10"/>
          </font>
          <fill>
            <patternFill patternType="solid">
              <fgColor auto="1"/>
              <bgColor theme="1" tint="0.2499465926084170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proiectSlicer">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bg1">
                <a:alpha val="21000"/>
              </a:schemeClr>
            </a:solidFill>
            <a:ln>
              <a:noFill/>
            </a:ln>
            <a:effectLst/>
          </c:spPr>
          <c:invertIfNegative val="0"/>
          <c:trendline>
            <c:spPr>
              <a:ln w="19050" cap="rnd">
                <a:solidFill>
                  <a:schemeClr val="accent2"/>
                </a:solidFill>
                <a:prstDash val="dash"/>
              </a:ln>
              <a:effectLst/>
            </c:spPr>
            <c:trendlineType val="movingAvg"/>
            <c:period val="2"/>
            <c:dispRSqr val="0"/>
            <c:dispEq val="0"/>
          </c:trendline>
          <c:cat>
            <c:strRef>
              <c:f>Pivotables!$E$1:$E$6</c:f>
              <c:strCache>
                <c:ptCount val="6"/>
                <c:pt idx="0">
                  <c:v>Avg. pe saptamani</c:v>
                </c:pt>
                <c:pt idx="1">
                  <c:v>Week 1</c:v>
                </c:pt>
                <c:pt idx="2">
                  <c:v>Week 2</c:v>
                </c:pt>
                <c:pt idx="3">
                  <c:v>Week 3</c:v>
                </c:pt>
                <c:pt idx="4">
                  <c:v>Week 4</c:v>
                </c:pt>
                <c:pt idx="5">
                  <c:v>Week 5</c:v>
                </c:pt>
              </c:strCache>
            </c:strRef>
          </c:cat>
          <c:val>
            <c:numRef>
              <c:f>Pivotables!$F$1:$F$6</c:f>
              <c:numCache>
                <c:formatCode>_-[$$-409]* #,##0_ ;_-[$$-409]* \-#,##0\ ;_-[$$-409]* "-"_ ;_-@_ </c:formatCode>
                <c:ptCount val="6"/>
                <c:pt idx="1">
                  <c:v>52013.156149999966</c:v>
                </c:pt>
                <c:pt idx="2">
                  <c:v>49350.929150000011</c:v>
                </c:pt>
                <c:pt idx="3">
                  <c:v>48355.189924999962</c:v>
                </c:pt>
                <c:pt idx="4">
                  <c:v>56193.574849999968</c:v>
                </c:pt>
                <c:pt idx="5">
                  <c:v>47851.169375000034</c:v>
                </c:pt>
              </c:numCache>
            </c:numRef>
          </c:val>
          <c:extLst>
            <c:ext xmlns:c16="http://schemas.microsoft.com/office/drawing/2014/chart" uri="{C3380CC4-5D6E-409C-BE32-E72D297353CC}">
              <c16:uniqueId val="{00000000-B7A6-E648-8549-A0AABDE930E9}"/>
            </c:ext>
          </c:extLst>
        </c:ser>
        <c:dLbls>
          <c:showLegendKey val="0"/>
          <c:showVal val="0"/>
          <c:showCatName val="0"/>
          <c:showSerName val="0"/>
          <c:showPercent val="0"/>
          <c:showBubbleSize val="0"/>
        </c:dLbls>
        <c:gapWidth val="4"/>
        <c:overlap val="100"/>
        <c:axId val="1640088400"/>
        <c:axId val="1640090048"/>
      </c:barChart>
      <c:catAx>
        <c:axId val="1640088400"/>
        <c:scaling>
          <c:orientation val="minMax"/>
        </c:scaling>
        <c:delete val="1"/>
        <c:axPos val="b"/>
        <c:numFmt formatCode="General" sourceLinked="1"/>
        <c:majorTickMark val="none"/>
        <c:minorTickMark val="none"/>
        <c:tickLblPos val="nextTo"/>
        <c:crossAx val="1640090048"/>
        <c:crosses val="autoZero"/>
        <c:auto val="1"/>
        <c:lblAlgn val="ctr"/>
        <c:lblOffset val="100"/>
        <c:noMultiLvlLbl val="0"/>
      </c:catAx>
      <c:valAx>
        <c:axId val="1640090048"/>
        <c:scaling>
          <c:orientation val="minMax"/>
        </c:scaling>
        <c:delete val="1"/>
        <c:axPos val="l"/>
        <c:numFmt formatCode="General" sourceLinked="1"/>
        <c:majorTickMark val="none"/>
        <c:minorTickMark val="none"/>
        <c:tickLblPos val="nextTo"/>
        <c:crossAx val="164008840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R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Pivotables!$I$1</c:f>
              <c:strCache>
                <c:ptCount val="1"/>
                <c:pt idx="0">
                  <c:v>Colaborare</c:v>
                </c:pt>
              </c:strCache>
            </c:strRef>
          </c:tx>
          <c:spPr>
            <a:solidFill>
              <a:schemeClr val="accent6">
                <a:lumMod val="40000"/>
                <a:lumOff val="60000"/>
              </a:schemeClr>
            </a:solidFill>
          </c:spPr>
          <c:dPt>
            <c:idx val="0"/>
            <c:bubble3D val="0"/>
            <c:spPr>
              <a:solidFill>
                <a:schemeClr val="bg1">
                  <a:alpha val="10000"/>
                </a:schemeClr>
              </a:solidFill>
              <a:ln w="19050">
                <a:solidFill>
                  <a:srgbClr val="1D2D30"/>
                </a:solidFill>
              </a:ln>
              <a:effectLst/>
            </c:spPr>
            <c:extLst>
              <c:ext xmlns:c16="http://schemas.microsoft.com/office/drawing/2014/chart" uri="{C3380CC4-5D6E-409C-BE32-E72D297353CC}">
                <c16:uniqueId val="{00000001-E71A-A64F-8631-87EB9D3AEE93}"/>
              </c:ext>
            </c:extLst>
          </c:dPt>
          <c:dPt>
            <c:idx val="1"/>
            <c:bubble3D val="0"/>
            <c:spPr>
              <a:gradFill>
                <a:gsLst>
                  <a:gs pos="0">
                    <a:srgbClr val="3530A0"/>
                  </a:gs>
                  <a:gs pos="57000">
                    <a:srgbClr val="681B7E"/>
                  </a:gs>
                  <a:gs pos="100000">
                    <a:schemeClr val="bg2">
                      <a:lumMod val="25000"/>
                    </a:schemeClr>
                  </a:gs>
                </a:gsLst>
                <a:lin ang="5400000" scaled="1"/>
              </a:gradFill>
              <a:ln w="19050">
                <a:noFill/>
              </a:ln>
              <a:effectLst/>
            </c:spPr>
            <c:extLst>
              <c:ext xmlns:c16="http://schemas.microsoft.com/office/drawing/2014/chart" uri="{C3380CC4-5D6E-409C-BE32-E72D297353CC}">
                <c16:uniqueId val="{00000003-E71A-A64F-8631-87EB9D3AEE93}"/>
              </c:ext>
            </c:extLst>
          </c:dPt>
          <c:val>
            <c:numRef>
              <c:f>Pivotables!$I$2:$I$3</c:f>
              <c:numCache>
                <c:formatCode>General</c:formatCode>
                <c:ptCount val="2"/>
                <c:pt idx="0">
                  <c:v>165</c:v>
                </c:pt>
                <c:pt idx="1">
                  <c:v>835</c:v>
                </c:pt>
              </c:numCache>
            </c:numRef>
          </c:val>
          <c:extLst>
            <c:ext xmlns:c16="http://schemas.microsoft.com/office/drawing/2014/chart" uri="{C3380CC4-5D6E-409C-BE32-E72D297353CC}">
              <c16:uniqueId val="{00000004-E71A-A64F-8631-87EB9D3AEE9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R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[dataset.xlsx]Pivotables!PivotTable9</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81B7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99795"/>
          </a:solidFill>
          <a:ln>
            <a:noFill/>
          </a:ln>
          <a:effectLst/>
        </c:spPr>
      </c:pivotFmt>
    </c:pivotFmts>
    <c:plotArea>
      <c:layout/>
      <c:barChart>
        <c:barDir val="col"/>
        <c:grouping val="clustered"/>
        <c:varyColors val="0"/>
        <c:ser>
          <c:idx val="0"/>
          <c:order val="0"/>
          <c:tx>
            <c:strRef>
              <c:f>Pivotables!$K$14</c:f>
              <c:strCache>
                <c:ptCount val="1"/>
                <c:pt idx="0">
                  <c:v>Total</c:v>
                </c:pt>
              </c:strCache>
            </c:strRef>
          </c:tx>
          <c:spPr>
            <a:solidFill>
              <a:srgbClr val="681B7E"/>
            </a:solidFill>
            <a:ln>
              <a:noFill/>
            </a:ln>
            <a:effectLst/>
          </c:spPr>
          <c:invertIfNegative val="0"/>
          <c:cat>
            <c:multiLvlStrRef>
              <c:f>Pivotables!$J$15:$J$20</c:f>
              <c:multiLvlStrCache>
                <c:ptCount val="4"/>
                <c:lvl>
                  <c:pt idx="0">
                    <c:v>02.09.2021</c:v>
                  </c:pt>
                  <c:pt idx="1">
                    <c:v>09.09.2021</c:v>
                  </c:pt>
                  <c:pt idx="2">
                    <c:v>16.09.2021</c:v>
                  </c:pt>
                  <c:pt idx="3">
                    <c:v>30.09.2021</c:v>
                  </c:pt>
                </c:lvl>
                <c:lvl>
                  <c:pt idx="0">
                    <c:v>XXXTENTACION</c:v>
                  </c:pt>
                </c:lvl>
              </c:multiLvlStrCache>
            </c:multiLvlStrRef>
          </c:cat>
          <c:val>
            <c:numRef>
              <c:f>Pivotables!$K$15:$K$20</c:f>
              <c:numCache>
                <c:formatCode>_-[$$-409]* #,##0_ ;_-[$$-409]* \-#,##0\ ;_-[$$-409]* "-"_ ;_-@_ </c:formatCode>
                <c:ptCount val="4"/>
                <c:pt idx="0">
                  <c:v>27040.400000000001</c:v>
                </c:pt>
                <c:pt idx="1">
                  <c:v>27374.595000000001</c:v>
                </c:pt>
                <c:pt idx="2">
                  <c:v>26691.54</c:v>
                </c:pt>
                <c:pt idx="3">
                  <c:v>26462.055</c:v>
                </c:pt>
              </c:numCache>
            </c:numRef>
          </c:val>
          <c:extLst>
            <c:ext xmlns:c16="http://schemas.microsoft.com/office/drawing/2014/chart" uri="{C3380CC4-5D6E-409C-BE32-E72D297353CC}">
              <c16:uniqueId val="{00000000-8F6C-7F44-A0A9-7844C176B5F3}"/>
            </c:ext>
          </c:extLst>
        </c:ser>
        <c:dLbls>
          <c:showLegendKey val="0"/>
          <c:showVal val="0"/>
          <c:showCatName val="0"/>
          <c:showSerName val="0"/>
          <c:showPercent val="0"/>
          <c:showBubbleSize val="0"/>
        </c:dLbls>
        <c:gapWidth val="261"/>
        <c:overlap val="-9"/>
        <c:axId val="622728752"/>
        <c:axId val="622730400"/>
      </c:barChart>
      <c:catAx>
        <c:axId val="62272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crossAx val="622730400"/>
        <c:crosses val="autoZero"/>
        <c:auto val="1"/>
        <c:lblAlgn val="ctr"/>
        <c:lblOffset val="100"/>
        <c:noMultiLvlLbl val="0"/>
      </c:catAx>
      <c:valAx>
        <c:axId val="622730400"/>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crossAx val="622728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R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[dataset.xlsx]Pivotables!PivotTable4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Genuri</a:t>
            </a:r>
            <a:r>
              <a:rPr lang="en-US" baseline="0"/>
              <a:t> Muzicale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R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gradFill>
            <a:gsLst>
              <a:gs pos="0">
                <a:srgbClr val="4E30A0"/>
              </a:gs>
              <a:gs pos="100000">
                <a:srgbClr val="681B7E"/>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gradFill>
            <a:gsLst>
              <a:gs pos="100000">
                <a:schemeClr val="accent1">
                  <a:lumMod val="50000"/>
                </a:schemeClr>
              </a:gs>
              <a:gs pos="0">
                <a:srgbClr val="002060"/>
              </a:gs>
            </a:gsLst>
            <a:lin ang="5400000" scaled="1"/>
          </a:gradFill>
          <a:ln>
            <a:noFill/>
          </a:ln>
          <a:effectLst/>
        </c:spPr>
      </c:pivotFmt>
      <c:pivotFmt>
        <c:idx val="6"/>
        <c:spPr>
          <a:gradFill>
            <a:gsLst>
              <a:gs pos="0">
                <a:srgbClr val="100F15"/>
              </a:gs>
              <a:gs pos="100000">
                <a:srgbClr val="3530A0"/>
              </a:gs>
            </a:gsLst>
            <a:lin ang="5400000" scaled="1"/>
          </a:gradFill>
          <a:ln>
            <a:noFill/>
          </a:ln>
          <a:effectLst/>
        </c:spPr>
      </c:pivotFmt>
      <c:pivotFmt>
        <c:idx val="7"/>
        <c:spPr>
          <a:gradFill>
            <a:gsLst>
              <a:gs pos="0">
                <a:srgbClr val="4E30A0"/>
              </a:gs>
              <a:gs pos="100000">
                <a:srgbClr val="681B7E"/>
              </a:gs>
            </a:gsLst>
            <a:lin ang="5400000" scaled="1"/>
          </a:gradFill>
          <a:ln>
            <a:noFill/>
          </a:ln>
          <a:effectLst/>
        </c:spPr>
      </c:pivotFmt>
      <c:pivotFmt>
        <c:idx val="8"/>
        <c:spPr>
          <a:gradFill>
            <a:gsLst>
              <a:gs pos="0">
                <a:srgbClr val="4E30A0"/>
              </a:gs>
              <a:gs pos="100000">
                <a:srgbClr val="681B7E"/>
              </a:gs>
            </a:gsLst>
            <a:lin ang="5400000" scaled="1"/>
          </a:gradFill>
          <a:ln>
            <a:noFill/>
          </a:ln>
          <a:effectLst/>
        </c:spPr>
      </c:pivotFmt>
      <c:pivotFmt>
        <c:idx val="9"/>
        <c:spPr>
          <a:gradFill>
            <a:gsLst>
              <a:gs pos="0">
                <a:srgbClr val="4E30A0"/>
              </a:gs>
              <a:gs pos="100000">
                <a:srgbClr val="681B7E"/>
              </a:gs>
            </a:gsLst>
            <a:lin ang="5400000" scaled="1"/>
          </a:gradFill>
          <a:ln>
            <a:noFill/>
          </a:ln>
          <a:effectLst/>
        </c:spPr>
      </c:pivotFmt>
      <c:pivotFmt>
        <c:idx val="10"/>
        <c:spPr>
          <a:gradFill>
            <a:gsLst>
              <a:gs pos="0">
                <a:srgbClr val="4E30A0"/>
              </a:gs>
              <a:gs pos="100000">
                <a:srgbClr val="681B7E"/>
              </a:gs>
            </a:gsLst>
            <a:lin ang="5400000" scaled="1"/>
          </a:gradFill>
          <a:ln>
            <a:noFill/>
          </a:ln>
          <a:effectLst/>
        </c:spPr>
      </c:pivotFmt>
      <c:pivotFmt>
        <c:idx val="11"/>
        <c:spPr>
          <a:gradFill>
            <a:gsLst>
              <a:gs pos="0">
                <a:srgbClr val="4E30A0"/>
              </a:gs>
              <a:gs pos="100000">
                <a:srgbClr val="681B7E"/>
              </a:gs>
            </a:gsLst>
            <a:lin ang="5400000" scaled="1"/>
          </a:gradFill>
          <a:ln>
            <a:noFill/>
          </a:ln>
          <a:effectLst/>
        </c:spPr>
      </c:pivotFmt>
      <c:pivotFmt>
        <c:idx val="12"/>
        <c:spPr>
          <a:gradFill>
            <a:gsLst>
              <a:gs pos="0">
                <a:srgbClr val="4E30A0"/>
              </a:gs>
              <a:gs pos="100000">
                <a:srgbClr val="681B7E"/>
              </a:gs>
            </a:gsLst>
            <a:lin ang="5400000" scaled="1"/>
          </a:gradFill>
          <a:ln>
            <a:noFill/>
          </a:ln>
          <a:effectLst/>
        </c:spPr>
      </c:pivotFmt>
    </c:pivotFmts>
    <c:plotArea>
      <c:layout/>
      <c:doughnutChart>
        <c:varyColors val="1"/>
        <c:ser>
          <c:idx val="0"/>
          <c:order val="0"/>
          <c:tx>
            <c:strRef>
              <c:f>Pivotables!$H$14</c:f>
              <c:strCache>
                <c:ptCount val="1"/>
                <c:pt idx="0">
                  <c:v>Total</c:v>
                </c:pt>
              </c:strCache>
            </c:strRef>
          </c:tx>
          <c:spPr>
            <a:gradFill>
              <a:gsLst>
                <a:gs pos="0">
                  <a:srgbClr val="4E30A0"/>
                </a:gs>
                <a:gs pos="100000">
                  <a:srgbClr val="681B7E"/>
                </a:gs>
              </a:gsLst>
              <a:lin ang="5400000" scaled="1"/>
            </a:gradFill>
          </c:spPr>
          <c:dPt>
            <c:idx val="0"/>
            <c:bubble3D val="0"/>
            <c:spPr>
              <a:gradFill>
                <a:gsLst>
                  <a:gs pos="0">
                    <a:srgbClr val="4E30A0"/>
                  </a:gs>
                  <a:gs pos="100000">
                    <a:srgbClr val="681B7E"/>
                  </a:gs>
                </a:gsLst>
                <a:lin ang="5400000" scaled="1"/>
              </a:gradFill>
              <a:ln>
                <a:noFill/>
              </a:ln>
              <a:effectLst/>
            </c:spPr>
            <c:extLst>
              <c:ext xmlns:c16="http://schemas.microsoft.com/office/drawing/2014/chart" uri="{C3380CC4-5D6E-409C-BE32-E72D297353CC}">
                <c16:uniqueId val="{00000001-011F-DE48-BDDE-1C2C11B882A6}"/>
              </c:ext>
            </c:extLst>
          </c:dPt>
          <c:dPt>
            <c:idx val="1"/>
            <c:bubble3D val="0"/>
            <c:spPr>
              <a:gradFill>
                <a:gsLst>
                  <a:gs pos="0">
                    <a:srgbClr val="4E30A0"/>
                  </a:gs>
                  <a:gs pos="100000">
                    <a:srgbClr val="681B7E"/>
                  </a:gs>
                </a:gsLst>
                <a:lin ang="5400000" scaled="1"/>
              </a:gradFill>
              <a:ln>
                <a:noFill/>
              </a:ln>
              <a:effectLst/>
            </c:spPr>
            <c:extLst>
              <c:ext xmlns:c16="http://schemas.microsoft.com/office/drawing/2014/chart" uri="{C3380CC4-5D6E-409C-BE32-E72D297353CC}">
                <c16:uniqueId val="{00000004-011F-DE48-BDDE-1C2C11B882A6}"/>
              </c:ext>
            </c:extLst>
          </c:dPt>
          <c:dPt>
            <c:idx val="2"/>
            <c:bubble3D val="0"/>
            <c:spPr>
              <a:gradFill>
                <a:gsLst>
                  <a:gs pos="0">
                    <a:srgbClr val="4E30A0"/>
                  </a:gs>
                  <a:gs pos="100000">
                    <a:srgbClr val="681B7E"/>
                  </a:gs>
                </a:gsLst>
                <a:lin ang="5400000" scaled="1"/>
              </a:gradFill>
              <a:ln>
                <a:noFill/>
              </a:ln>
              <a:effectLst/>
            </c:spPr>
            <c:extLst>
              <c:ext xmlns:c16="http://schemas.microsoft.com/office/drawing/2014/chart" uri="{C3380CC4-5D6E-409C-BE32-E72D297353CC}">
                <c16:uniqueId val="{00000005-4D67-AC4F-9FBE-B89F53A49C11}"/>
              </c:ext>
            </c:extLst>
          </c:dPt>
          <c:cat>
            <c:multiLvlStrRef>
              <c:f>Pivotables!$G$15:$G$17</c:f>
              <c:multiLvlStrCache>
                <c:ptCount val="1"/>
                <c:lvl>
                  <c:pt idx="0">
                    <c:v>HIP-HOP/RAP</c:v>
                  </c:pt>
                </c:lvl>
                <c:lvl>
                  <c:pt idx="0">
                    <c:v>XXXTENTACION</c:v>
                  </c:pt>
                </c:lvl>
              </c:multiLvlStrCache>
            </c:multiLvlStrRef>
          </c:cat>
          <c:val>
            <c:numRef>
              <c:f>Pivotables!$H$15:$H$17</c:f>
              <c:numCache>
                <c:formatCode>_-[$$-409]* #,##0_ ;_-[$$-409]* \-#,##0\ ;_-[$$-409]* "-"_ ;_-@_ </c:formatCode>
                <c:ptCount val="1"/>
                <c:pt idx="0">
                  <c:v>4</c:v>
                </c:pt>
              </c:numCache>
            </c:numRef>
          </c:val>
          <c:extLst>
            <c:ext xmlns:c16="http://schemas.microsoft.com/office/drawing/2014/chart" uri="{C3380CC4-5D6E-409C-BE32-E72D297353CC}">
              <c16:uniqueId val="{00000002-011F-DE48-BDDE-1C2C11B882A6}"/>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R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393700</xdr:colOff>
      <xdr:row>0</xdr:row>
      <xdr:rowOff>139700</xdr:rowOff>
    </xdr:from>
    <xdr:to>
      <xdr:col>21</xdr:col>
      <xdr:colOff>22860</xdr:colOff>
      <xdr:row>43</xdr:row>
      <xdr:rowOff>61468</xdr:rowOff>
    </xdr:to>
    <xdr:sp macro="" textlink="">
      <xdr:nvSpPr>
        <xdr:cNvPr id="2" name="Rounded Rectangle 1">
          <a:extLst>
            <a:ext uri="{FF2B5EF4-FFF2-40B4-BE49-F238E27FC236}">
              <a16:creationId xmlns:a16="http://schemas.microsoft.com/office/drawing/2014/main" id="{4010CF45-661C-B942-8473-0F058F9E650A}"/>
            </a:ext>
          </a:extLst>
        </xdr:cNvPr>
        <xdr:cNvSpPr/>
      </xdr:nvSpPr>
      <xdr:spPr>
        <a:xfrm>
          <a:off x="1219200" y="139700"/>
          <a:ext cx="16139160" cy="8659368"/>
        </a:xfrm>
        <a:prstGeom prst="roundRect">
          <a:avLst/>
        </a:prstGeom>
        <a:solidFill>
          <a:srgbClr val="35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469900</xdr:colOff>
      <xdr:row>0</xdr:row>
      <xdr:rowOff>139700</xdr:rowOff>
    </xdr:from>
    <xdr:to>
      <xdr:col>21</xdr:col>
      <xdr:colOff>99060</xdr:colOff>
      <xdr:row>43</xdr:row>
      <xdr:rowOff>61468</xdr:rowOff>
    </xdr:to>
    <xdr:sp macro="" textlink="">
      <xdr:nvSpPr>
        <xdr:cNvPr id="3" name="Rounded Rectangle 2">
          <a:extLst>
            <a:ext uri="{FF2B5EF4-FFF2-40B4-BE49-F238E27FC236}">
              <a16:creationId xmlns:a16="http://schemas.microsoft.com/office/drawing/2014/main" id="{8E2E37FF-A2C3-A14A-BE6D-7C368E52F8CA}"/>
            </a:ext>
          </a:extLst>
        </xdr:cNvPr>
        <xdr:cNvSpPr/>
      </xdr:nvSpPr>
      <xdr:spPr>
        <a:xfrm>
          <a:off x="1300285" y="139700"/>
          <a:ext cx="16236852" cy="8743383"/>
        </a:xfrm>
        <a:prstGeom prst="roundRect">
          <a:avLst/>
        </a:prstGeom>
        <a:gradFill>
          <a:gsLst>
            <a:gs pos="0">
              <a:srgbClr val="1E2D31"/>
            </a:gs>
            <a:gs pos="19000">
              <a:srgbClr val="1E2D31"/>
            </a:gs>
            <a:gs pos="29000">
              <a:srgbClr val="1E2D31"/>
            </a:gs>
            <a:gs pos="99000">
              <a:srgbClr val="2F292D"/>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279400</xdr:colOff>
      <xdr:row>3</xdr:row>
      <xdr:rowOff>63500</xdr:rowOff>
    </xdr:from>
    <xdr:to>
      <xdr:col>8</xdr:col>
      <xdr:colOff>330200</xdr:colOff>
      <xdr:row>6</xdr:row>
      <xdr:rowOff>101600</xdr:rowOff>
    </xdr:to>
    <xdr:sp macro="" textlink="">
      <xdr:nvSpPr>
        <xdr:cNvPr id="4" name="TextBox 3">
          <a:extLst>
            <a:ext uri="{FF2B5EF4-FFF2-40B4-BE49-F238E27FC236}">
              <a16:creationId xmlns:a16="http://schemas.microsoft.com/office/drawing/2014/main" id="{A74C4818-FF5E-7649-B58C-F4D2F2762D66}"/>
            </a:ext>
          </a:extLst>
        </xdr:cNvPr>
        <xdr:cNvSpPr txBox="1"/>
      </xdr:nvSpPr>
      <xdr:spPr>
        <a:xfrm>
          <a:off x="2755900" y="673100"/>
          <a:ext cx="417830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chemeClr val="bg1"/>
              </a:solidFill>
              <a:latin typeface="Arial" panose="020B0604020202020204" pitchFamily="34" charset="0"/>
              <a:cs typeface="Arial" panose="020B0604020202020204" pitchFamily="34" charset="0"/>
            </a:rPr>
            <a:t>Analiza veniturilor</a:t>
          </a:r>
          <a:r>
            <a:rPr lang="en-GB" sz="1800" b="1" baseline="0">
              <a:solidFill>
                <a:schemeClr val="bg1"/>
              </a:solidFill>
              <a:latin typeface="Arial" panose="020B0604020202020204" pitchFamily="34" charset="0"/>
              <a:cs typeface="Arial" panose="020B0604020202020204" pitchFamily="34" charset="0"/>
            </a:rPr>
            <a:t> </a:t>
          </a:r>
          <a:r>
            <a:rPr lang="en-GB" sz="1000" b="1" baseline="0">
              <a:solidFill>
                <a:schemeClr val="bg1"/>
              </a:solidFill>
              <a:latin typeface="Arial" panose="020B0604020202020204" pitchFamily="34" charset="0"/>
              <a:cs typeface="Arial" panose="020B0604020202020204" pitchFamily="34" charset="0"/>
            </a:rPr>
            <a:t>2.09 - 30.09 2021</a:t>
          </a:r>
          <a:endParaRPr lang="en-GB" sz="1800" b="1">
            <a:solidFill>
              <a:schemeClr val="bg1"/>
            </a:solidFill>
            <a:latin typeface="Arial" panose="020B0604020202020204" pitchFamily="34" charset="0"/>
            <a:cs typeface="Arial" panose="020B0604020202020204" pitchFamily="34" charset="0"/>
          </a:endParaRPr>
        </a:p>
      </xdr:txBody>
    </xdr:sp>
    <xdr:clientData/>
  </xdr:twoCellAnchor>
  <xdr:twoCellAnchor>
    <xdr:from>
      <xdr:col>3</xdr:col>
      <xdr:colOff>482600</xdr:colOff>
      <xdr:row>4</xdr:row>
      <xdr:rowOff>50800</xdr:rowOff>
    </xdr:from>
    <xdr:to>
      <xdr:col>8</xdr:col>
      <xdr:colOff>533400</xdr:colOff>
      <xdr:row>6</xdr:row>
      <xdr:rowOff>190500</xdr:rowOff>
    </xdr:to>
    <xdr:sp macro="" textlink="">
      <xdr:nvSpPr>
        <xdr:cNvPr id="5" name="TextBox 4">
          <a:extLst>
            <a:ext uri="{FF2B5EF4-FFF2-40B4-BE49-F238E27FC236}">
              <a16:creationId xmlns:a16="http://schemas.microsoft.com/office/drawing/2014/main" id="{E04B1B70-6B6D-9444-9A81-A0601D3E9ACA}"/>
            </a:ext>
          </a:extLst>
        </xdr:cNvPr>
        <xdr:cNvSpPr txBox="1"/>
      </xdr:nvSpPr>
      <xdr:spPr>
        <a:xfrm>
          <a:off x="2973754" y="871415"/>
          <a:ext cx="4202723" cy="550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2400" b="1">
              <a:solidFill>
                <a:schemeClr val="accent5">
                  <a:lumMod val="60000"/>
                  <a:lumOff val="40000"/>
                </a:schemeClr>
              </a:solidFill>
              <a:latin typeface="APPLE CHANCERY" panose="03020702040506060504" pitchFamily="66" charset="-79"/>
              <a:cs typeface="APPLE CHANCERY" panose="03020702040506060504" pitchFamily="66" charset="-79"/>
            </a:rPr>
            <a:t>Pitu Lysander-Claudiu</a:t>
          </a:r>
        </a:p>
      </xdr:txBody>
    </xdr:sp>
    <xdr:clientData/>
  </xdr:twoCellAnchor>
  <xdr:twoCellAnchor>
    <xdr:from>
      <xdr:col>12</xdr:col>
      <xdr:colOff>215900</xdr:colOff>
      <xdr:row>4</xdr:row>
      <xdr:rowOff>165100</xdr:rowOff>
    </xdr:from>
    <xdr:to>
      <xdr:col>14</xdr:col>
      <xdr:colOff>732028</xdr:colOff>
      <xdr:row>12</xdr:row>
      <xdr:rowOff>84836</xdr:rowOff>
    </xdr:to>
    <xdr:sp macro="" textlink="">
      <xdr:nvSpPr>
        <xdr:cNvPr id="9" name="Rounded Rectangle 8">
          <a:extLst>
            <a:ext uri="{FF2B5EF4-FFF2-40B4-BE49-F238E27FC236}">
              <a16:creationId xmlns:a16="http://schemas.microsoft.com/office/drawing/2014/main" id="{14F6110B-5706-A445-BB83-4D7B73A977BD}"/>
            </a:ext>
          </a:extLst>
        </xdr:cNvPr>
        <xdr:cNvSpPr/>
      </xdr:nvSpPr>
      <xdr:spPr>
        <a:xfrm>
          <a:off x="10121900" y="977900"/>
          <a:ext cx="2167128" cy="1545336"/>
        </a:xfrm>
        <a:prstGeom prst="roundRect">
          <a:avLst/>
        </a:prstGeom>
        <a:solidFill>
          <a:srgbClr val="17172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584200</xdr:colOff>
      <xdr:row>4</xdr:row>
      <xdr:rowOff>165100</xdr:rowOff>
    </xdr:from>
    <xdr:to>
      <xdr:col>18</xdr:col>
      <xdr:colOff>274828</xdr:colOff>
      <xdr:row>12</xdr:row>
      <xdr:rowOff>84836</xdr:rowOff>
    </xdr:to>
    <xdr:sp macro="" textlink="">
      <xdr:nvSpPr>
        <xdr:cNvPr id="10" name="Rounded Rectangle 9">
          <a:extLst>
            <a:ext uri="{FF2B5EF4-FFF2-40B4-BE49-F238E27FC236}">
              <a16:creationId xmlns:a16="http://schemas.microsoft.com/office/drawing/2014/main" id="{B64E05D5-37CD-B540-8C22-EF97E0BB0248}"/>
            </a:ext>
          </a:extLst>
        </xdr:cNvPr>
        <xdr:cNvSpPr/>
      </xdr:nvSpPr>
      <xdr:spPr>
        <a:xfrm>
          <a:off x="12966700" y="977900"/>
          <a:ext cx="2167128" cy="1545336"/>
        </a:xfrm>
        <a:prstGeom prst="roundRect">
          <a:avLst/>
        </a:prstGeom>
        <a:solidFill>
          <a:srgbClr val="17172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12700</xdr:colOff>
      <xdr:row>8</xdr:row>
      <xdr:rowOff>50031</xdr:rowOff>
    </xdr:from>
    <xdr:to>
      <xdr:col>11</xdr:col>
      <xdr:colOff>619215</xdr:colOff>
      <xdr:row>13</xdr:row>
      <xdr:rowOff>72740</xdr:rowOff>
    </xdr:to>
    <xdr:sp macro="" textlink="">
      <xdr:nvSpPr>
        <xdr:cNvPr id="13" name="Freeform 12">
          <a:extLst>
            <a:ext uri="{FF2B5EF4-FFF2-40B4-BE49-F238E27FC236}">
              <a16:creationId xmlns:a16="http://schemas.microsoft.com/office/drawing/2014/main" id="{07C5352D-45A3-8441-B66A-AD9F100639BE}"/>
            </a:ext>
          </a:extLst>
        </xdr:cNvPr>
        <xdr:cNvSpPr/>
      </xdr:nvSpPr>
      <xdr:spPr>
        <a:xfrm rot="1020000">
          <a:off x="7442200" y="1675631"/>
          <a:ext cx="2257515" cy="1038709"/>
        </a:xfrm>
        <a:custGeom>
          <a:avLst/>
          <a:gdLst>
            <a:gd name="connsiteX0" fmla="*/ 204695 w 2257515"/>
            <a:gd name="connsiteY0" fmla="*/ 5233 h 1038709"/>
            <a:gd name="connsiteX1" fmla="*/ 256602 w 2257515"/>
            <a:gd name="connsiteY1" fmla="*/ 0 h 1038709"/>
            <a:gd name="connsiteX2" fmla="*/ 1999953 w 2257515"/>
            <a:gd name="connsiteY2" fmla="*/ 0 h 1038709"/>
            <a:gd name="connsiteX3" fmla="*/ 2257515 w 2257515"/>
            <a:gd name="connsiteY3" fmla="*/ 257561 h 1038709"/>
            <a:gd name="connsiteX4" fmla="*/ 2257515 w 2257515"/>
            <a:gd name="connsiteY4" fmla="*/ 375640 h 1038709"/>
            <a:gd name="connsiteX5" fmla="*/ 2239532 w 2257515"/>
            <a:gd name="connsiteY5" fmla="*/ 418998 h 1038709"/>
            <a:gd name="connsiteX6" fmla="*/ 2087423 w 2257515"/>
            <a:gd name="connsiteY6" fmla="*/ 544387 h 1038709"/>
            <a:gd name="connsiteX7" fmla="*/ 507602 w 2257515"/>
            <a:gd name="connsiteY7" fmla="*/ 1027387 h 1038709"/>
            <a:gd name="connsiteX8" fmla="*/ 185992 w 2257515"/>
            <a:gd name="connsiteY8" fmla="*/ 856384 h 1038709"/>
            <a:gd name="connsiteX9" fmla="*/ 0 w 2257515"/>
            <a:gd name="connsiteY9" fmla="*/ 248034 h 1038709"/>
            <a:gd name="connsiteX10" fmla="*/ 4272 w 2257515"/>
            <a:gd name="connsiteY10" fmla="*/ 205653 h 1038709"/>
            <a:gd name="connsiteX11" fmla="*/ 204695 w 2257515"/>
            <a:gd name="connsiteY11" fmla="*/ 5233 h 10387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2257515" h="1038709">
              <a:moveTo>
                <a:pt x="204695" y="5233"/>
              </a:moveTo>
              <a:cubicBezTo>
                <a:pt x="221461" y="1802"/>
                <a:pt x="238821" y="0"/>
                <a:pt x="256602" y="0"/>
              </a:cubicBezTo>
              <a:lnTo>
                <a:pt x="1999953" y="0"/>
              </a:lnTo>
              <a:cubicBezTo>
                <a:pt x="2142200" y="0"/>
                <a:pt x="2257514" y="115314"/>
                <a:pt x="2257515" y="257561"/>
              </a:cubicBezTo>
              <a:lnTo>
                <a:pt x="2257515" y="375640"/>
              </a:lnTo>
              <a:lnTo>
                <a:pt x="2239532" y="418998"/>
              </a:lnTo>
              <a:cubicBezTo>
                <a:pt x="2208587" y="477198"/>
                <a:pt x="2155439" y="523592"/>
                <a:pt x="2087423" y="544387"/>
              </a:cubicBezTo>
              <a:lnTo>
                <a:pt x="507602" y="1027387"/>
              </a:lnTo>
              <a:cubicBezTo>
                <a:pt x="371571" y="1068976"/>
                <a:pt x="227581" y="992415"/>
                <a:pt x="185992" y="856384"/>
              </a:cubicBezTo>
              <a:lnTo>
                <a:pt x="0" y="248034"/>
              </a:lnTo>
              <a:lnTo>
                <a:pt x="4272" y="205653"/>
              </a:lnTo>
              <a:cubicBezTo>
                <a:pt x="24858" y="105054"/>
                <a:pt x="104094" y="25819"/>
                <a:pt x="204695" y="5233"/>
              </a:cubicBezTo>
              <a:close/>
            </a:path>
          </a:pathLst>
        </a:custGeom>
        <a:gradFill>
          <a:gsLst>
            <a:gs pos="0">
              <a:srgbClr val="002060"/>
            </a:gs>
            <a:gs pos="85000">
              <a:srgbClr val="4E30A0"/>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R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GB" sz="1100"/>
        </a:p>
      </xdr:txBody>
    </xdr:sp>
    <xdr:clientData/>
  </xdr:twoCellAnchor>
  <xdr:twoCellAnchor>
    <xdr:from>
      <xdr:col>9</xdr:col>
      <xdr:colOff>123700</xdr:colOff>
      <xdr:row>3</xdr:row>
      <xdr:rowOff>139700</xdr:rowOff>
    </xdr:from>
    <xdr:to>
      <xdr:col>12</xdr:col>
      <xdr:colOff>43484</xdr:colOff>
      <xdr:row>10</xdr:row>
      <xdr:rowOff>37687</xdr:rowOff>
    </xdr:to>
    <xdr:sp macro="" textlink="">
      <xdr:nvSpPr>
        <xdr:cNvPr id="14" name="Freeform 13">
          <a:extLst>
            <a:ext uri="{FF2B5EF4-FFF2-40B4-BE49-F238E27FC236}">
              <a16:creationId xmlns:a16="http://schemas.microsoft.com/office/drawing/2014/main" id="{596D9415-5C30-874C-8EE2-C95D498F6374}"/>
            </a:ext>
          </a:extLst>
        </xdr:cNvPr>
        <xdr:cNvSpPr/>
      </xdr:nvSpPr>
      <xdr:spPr>
        <a:xfrm rot="1020000">
          <a:off x="7553200" y="749300"/>
          <a:ext cx="2396284" cy="1320387"/>
        </a:xfrm>
        <a:custGeom>
          <a:avLst/>
          <a:gdLst>
            <a:gd name="connsiteX0" fmla="*/ 182326 w 2396284"/>
            <a:gd name="connsiteY0" fmla="*/ 494322 h 1320387"/>
            <a:gd name="connsiteX1" fmla="*/ 1762147 w 2396284"/>
            <a:gd name="connsiteY1" fmla="*/ 11322 h 1320387"/>
            <a:gd name="connsiteX2" fmla="*/ 2083757 w 2396284"/>
            <a:gd name="connsiteY2" fmla="*/ 182325 h 1320387"/>
            <a:gd name="connsiteX3" fmla="*/ 2384962 w 2396284"/>
            <a:gd name="connsiteY3" fmla="*/ 1167524 h 1320387"/>
            <a:gd name="connsiteX4" fmla="*/ 2385000 w 2396284"/>
            <a:gd name="connsiteY4" fmla="*/ 1318097 h 1320387"/>
            <a:gd name="connsiteX5" fmla="*/ 2384051 w 2396284"/>
            <a:gd name="connsiteY5" fmla="*/ 1320387 h 1320387"/>
            <a:gd name="connsiteX6" fmla="*/ 2384051 w 2396284"/>
            <a:gd name="connsiteY6" fmla="*/ 1202308 h 1320387"/>
            <a:gd name="connsiteX7" fmla="*/ 2126489 w 2396284"/>
            <a:gd name="connsiteY7" fmla="*/ 944747 h 1320387"/>
            <a:gd name="connsiteX8" fmla="*/ 383138 w 2396284"/>
            <a:gd name="connsiteY8" fmla="*/ 944747 h 1320387"/>
            <a:gd name="connsiteX9" fmla="*/ 130808 w 2396284"/>
            <a:gd name="connsiteY9" fmla="*/ 1150400 h 1320387"/>
            <a:gd name="connsiteX10" fmla="*/ 126536 w 2396284"/>
            <a:gd name="connsiteY10" fmla="*/ 1192781 h 1320387"/>
            <a:gd name="connsiteX11" fmla="*/ 11322 w 2396284"/>
            <a:gd name="connsiteY11" fmla="*/ 815932 h 1320387"/>
            <a:gd name="connsiteX12" fmla="*/ 182326 w 2396284"/>
            <a:gd name="connsiteY12" fmla="*/ 494322 h 13203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2396284" h="1320387">
              <a:moveTo>
                <a:pt x="182326" y="494322"/>
              </a:moveTo>
              <a:lnTo>
                <a:pt x="1762147" y="11322"/>
              </a:lnTo>
              <a:cubicBezTo>
                <a:pt x="1898178" y="-30267"/>
                <a:pt x="2042168" y="46294"/>
                <a:pt x="2083757" y="182325"/>
              </a:cubicBezTo>
              <a:lnTo>
                <a:pt x="2384962" y="1167524"/>
              </a:lnTo>
              <a:cubicBezTo>
                <a:pt x="2400558" y="1218535"/>
                <a:pt x="2399539" y="1270666"/>
                <a:pt x="2385000" y="1318097"/>
              </a:cubicBezTo>
              <a:lnTo>
                <a:pt x="2384051" y="1320387"/>
              </a:lnTo>
              <a:lnTo>
                <a:pt x="2384051" y="1202308"/>
              </a:lnTo>
              <a:cubicBezTo>
                <a:pt x="2384050" y="1060061"/>
                <a:pt x="2268736" y="944747"/>
                <a:pt x="2126489" y="944747"/>
              </a:cubicBezTo>
              <a:lnTo>
                <a:pt x="383138" y="944747"/>
              </a:lnTo>
              <a:cubicBezTo>
                <a:pt x="258671" y="944747"/>
                <a:pt x="154825" y="1033034"/>
                <a:pt x="130808" y="1150400"/>
              </a:cubicBezTo>
              <a:lnTo>
                <a:pt x="126536" y="1192781"/>
              </a:lnTo>
              <a:lnTo>
                <a:pt x="11322" y="815932"/>
              </a:lnTo>
              <a:cubicBezTo>
                <a:pt x="-30267" y="679901"/>
                <a:pt x="46294" y="535911"/>
                <a:pt x="182326" y="494322"/>
              </a:cubicBezTo>
              <a:close/>
            </a:path>
          </a:pathLst>
        </a:custGeom>
        <a:solidFill>
          <a:srgbClr val="17172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R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GB" sz="1100"/>
        </a:p>
      </xdr:txBody>
    </xdr:sp>
    <xdr:clientData/>
  </xdr:twoCellAnchor>
  <xdr:twoCellAnchor>
    <xdr:from>
      <xdr:col>9</xdr:col>
      <xdr:colOff>342900</xdr:colOff>
      <xdr:row>9</xdr:row>
      <xdr:rowOff>101600</xdr:rowOff>
    </xdr:from>
    <xdr:to>
      <xdr:col>11</xdr:col>
      <xdr:colOff>457200</xdr:colOff>
      <xdr:row>12</xdr:row>
      <xdr:rowOff>139700</xdr:rowOff>
    </xdr:to>
    <xdr:sp macro="" textlink="">
      <xdr:nvSpPr>
        <xdr:cNvPr id="11" name="TextBox 10">
          <a:extLst>
            <a:ext uri="{FF2B5EF4-FFF2-40B4-BE49-F238E27FC236}">
              <a16:creationId xmlns:a16="http://schemas.microsoft.com/office/drawing/2014/main" id="{F62A51C0-20C0-7D40-8E78-B02C12FD149B}"/>
            </a:ext>
          </a:extLst>
        </xdr:cNvPr>
        <xdr:cNvSpPr txBox="1"/>
      </xdr:nvSpPr>
      <xdr:spPr>
        <a:xfrm>
          <a:off x="7772400" y="1930400"/>
          <a:ext cx="176530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bg1"/>
              </a:solidFill>
              <a:latin typeface="Arial" panose="020B0604020202020204" pitchFamily="34" charset="0"/>
              <a:cs typeface="Arial" panose="020B0604020202020204" pitchFamily="34" charset="0"/>
            </a:rPr>
            <a:t>Totalul</a:t>
          </a:r>
        </a:p>
        <a:p>
          <a:r>
            <a:rPr lang="en-GB" sz="1800" b="0">
              <a:solidFill>
                <a:schemeClr val="bg1"/>
              </a:solidFill>
              <a:latin typeface="Arial" panose="020B0604020202020204" pitchFamily="34" charset="0"/>
              <a:cs typeface="Arial" panose="020B0604020202020204" pitchFamily="34" charset="0"/>
            </a:rPr>
            <a:t>Veniturilor</a:t>
          </a:r>
        </a:p>
      </xdr:txBody>
    </xdr:sp>
    <xdr:clientData/>
  </xdr:twoCellAnchor>
  <xdr:twoCellAnchor>
    <xdr:from>
      <xdr:col>10</xdr:col>
      <xdr:colOff>63500</xdr:colOff>
      <xdr:row>5</xdr:row>
      <xdr:rowOff>127000</xdr:rowOff>
    </xdr:from>
    <xdr:to>
      <xdr:col>12</xdr:col>
      <xdr:colOff>177800</xdr:colOff>
      <xdr:row>8</xdr:row>
      <xdr:rowOff>165100</xdr:rowOff>
    </xdr:to>
    <xdr:sp macro="" textlink="Pivotables!$A$2">
      <xdr:nvSpPr>
        <xdr:cNvPr id="15" name="TextBox 14">
          <a:extLst>
            <a:ext uri="{FF2B5EF4-FFF2-40B4-BE49-F238E27FC236}">
              <a16:creationId xmlns:a16="http://schemas.microsoft.com/office/drawing/2014/main" id="{5F25442F-EF79-584F-B0A6-3E5DE2FD6443}"/>
            </a:ext>
          </a:extLst>
        </xdr:cNvPr>
        <xdr:cNvSpPr txBox="1"/>
      </xdr:nvSpPr>
      <xdr:spPr>
        <a:xfrm>
          <a:off x="8318500" y="1143000"/>
          <a:ext cx="176530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D6F18D3-2DE3-7046-BCF1-4F12D22EABCD}" type="TxLink">
            <a:rPr lang="en-US" sz="1600" b="1" i="0" u="none" strike="noStrike">
              <a:solidFill>
                <a:schemeClr val="bg2"/>
              </a:solidFill>
              <a:latin typeface="Tw Cen MT" panose="020B0602020104020603" pitchFamily="34" charset="77"/>
              <a:cs typeface="Calibri"/>
            </a:rPr>
            <a:pPr/>
            <a:t> $50.752.804 </a:t>
          </a:fld>
          <a:endParaRPr lang="en-GB" sz="2400" b="1">
            <a:solidFill>
              <a:schemeClr val="bg2"/>
            </a:solidFill>
            <a:latin typeface="Tw Cen MT" panose="020B0602020104020603" pitchFamily="34" charset="77"/>
            <a:cs typeface="Arial" panose="020B0604020202020204" pitchFamily="34" charset="0"/>
          </a:endParaRPr>
        </a:p>
      </xdr:txBody>
    </xdr:sp>
    <xdr:clientData/>
  </xdr:twoCellAnchor>
  <xdr:twoCellAnchor>
    <xdr:from>
      <xdr:col>13</xdr:col>
      <xdr:colOff>745565</xdr:colOff>
      <xdr:row>4</xdr:row>
      <xdr:rowOff>180041</xdr:rowOff>
    </xdr:from>
    <xdr:to>
      <xdr:col>14</xdr:col>
      <xdr:colOff>542365</xdr:colOff>
      <xdr:row>7</xdr:row>
      <xdr:rowOff>103841</xdr:rowOff>
    </xdr:to>
    <xdr:sp macro="" textlink="">
      <xdr:nvSpPr>
        <xdr:cNvPr id="6" name="Parallelogram 5">
          <a:extLst>
            <a:ext uri="{FF2B5EF4-FFF2-40B4-BE49-F238E27FC236}">
              <a16:creationId xmlns:a16="http://schemas.microsoft.com/office/drawing/2014/main" id="{C3B89C7C-8E45-0548-991D-7B825E87763F}"/>
            </a:ext>
          </a:extLst>
        </xdr:cNvPr>
        <xdr:cNvSpPr/>
      </xdr:nvSpPr>
      <xdr:spPr>
        <a:xfrm>
          <a:off x="11525624" y="986865"/>
          <a:ext cx="626035" cy="528917"/>
        </a:xfrm>
        <a:prstGeom prst="parallelogram">
          <a:avLst>
            <a:gd name="adj" fmla="val 36765"/>
          </a:avLst>
        </a:prstGeom>
        <a:solidFill>
          <a:schemeClr val="accent3">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712694</xdr:colOff>
      <xdr:row>4</xdr:row>
      <xdr:rowOff>180042</xdr:rowOff>
    </xdr:from>
    <xdr:to>
      <xdr:col>13</xdr:col>
      <xdr:colOff>509494</xdr:colOff>
      <xdr:row>7</xdr:row>
      <xdr:rowOff>103842</xdr:rowOff>
    </xdr:to>
    <xdr:sp macro="" textlink="">
      <xdr:nvSpPr>
        <xdr:cNvPr id="16" name="Parallelogram 15">
          <a:extLst>
            <a:ext uri="{FF2B5EF4-FFF2-40B4-BE49-F238E27FC236}">
              <a16:creationId xmlns:a16="http://schemas.microsoft.com/office/drawing/2014/main" id="{0A85BFB4-DBEF-B94B-BC1D-6542AB6E4062}"/>
            </a:ext>
          </a:extLst>
        </xdr:cNvPr>
        <xdr:cNvSpPr/>
      </xdr:nvSpPr>
      <xdr:spPr>
        <a:xfrm>
          <a:off x="10663518" y="986866"/>
          <a:ext cx="626035" cy="528917"/>
        </a:xfrm>
        <a:prstGeom prst="parallelogram">
          <a:avLst>
            <a:gd name="adj" fmla="val 36765"/>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295088</xdr:colOff>
      <xdr:row>4</xdr:row>
      <xdr:rowOff>178546</xdr:rowOff>
    </xdr:from>
    <xdr:to>
      <xdr:col>13</xdr:col>
      <xdr:colOff>88153</xdr:colOff>
      <xdr:row>7</xdr:row>
      <xdr:rowOff>102346</xdr:rowOff>
    </xdr:to>
    <xdr:sp macro="" textlink="">
      <xdr:nvSpPr>
        <xdr:cNvPr id="18" name="Parallelogram 17">
          <a:extLst>
            <a:ext uri="{FF2B5EF4-FFF2-40B4-BE49-F238E27FC236}">
              <a16:creationId xmlns:a16="http://schemas.microsoft.com/office/drawing/2014/main" id="{B770FFB1-F206-9A4C-A272-242B4CEEF11B}"/>
            </a:ext>
          </a:extLst>
        </xdr:cNvPr>
        <xdr:cNvSpPr/>
      </xdr:nvSpPr>
      <xdr:spPr>
        <a:xfrm>
          <a:off x="10245912" y="985370"/>
          <a:ext cx="622300" cy="528917"/>
        </a:xfrm>
        <a:prstGeom prst="parallelogram">
          <a:avLst>
            <a:gd name="adj" fmla="val 36765"/>
          </a:avLst>
        </a:prstGeom>
        <a:solidFill>
          <a:schemeClr val="bg2">
            <a:lumMod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313765</xdr:colOff>
      <xdr:row>6</xdr:row>
      <xdr:rowOff>52294</xdr:rowOff>
    </xdr:from>
    <xdr:to>
      <xdr:col>13</xdr:col>
      <xdr:colOff>769471</xdr:colOff>
      <xdr:row>7</xdr:row>
      <xdr:rowOff>104588</xdr:rowOff>
    </xdr:to>
    <xdr:sp macro="" textlink="">
      <xdr:nvSpPr>
        <xdr:cNvPr id="7" name="Triangle 6">
          <a:extLst>
            <a:ext uri="{FF2B5EF4-FFF2-40B4-BE49-F238E27FC236}">
              <a16:creationId xmlns:a16="http://schemas.microsoft.com/office/drawing/2014/main" id="{D068C779-689F-2240-9001-6044161CE634}"/>
            </a:ext>
          </a:extLst>
        </xdr:cNvPr>
        <xdr:cNvSpPr/>
      </xdr:nvSpPr>
      <xdr:spPr>
        <a:xfrm>
          <a:off x="11093824" y="1262529"/>
          <a:ext cx="455706" cy="254000"/>
        </a:xfrm>
        <a:prstGeom prst="triangle">
          <a:avLst>
            <a:gd name="adj" fmla="val 23771"/>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406401</xdr:colOff>
      <xdr:row>6</xdr:row>
      <xdr:rowOff>32871</xdr:rowOff>
    </xdr:from>
    <xdr:to>
      <xdr:col>14</xdr:col>
      <xdr:colOff>32872</xdr:colOff>
      <xdr:row>7</xdr:row>
      <xdr:rowOff>85165</xdr:rowOff>
    </xdr:to>
    <xdr:sp macro="" textlink="">
      <xdr:nvSpPr>
        <xdr:cNvPr id="19" name="Triangle 18">
          <a:extLst>
            <a:ext uri="{FF2B5EF4-FFF2-40B4-BE49-F238E27FC236}">
              <a16:creationId xmlns:a16="http://schemas.microsoft.com/office/drawing/2014/main" id="{F5E61C4C-588C-AB43-AB81-D26F1DAD3B78}"/>
            </a:ext>
          </a:extLst>
        </xdr:cNvPr>
        <xdr:cNvSpPr/>
      </xdr:nvSpPr>
      <xdr:spPr>
        <a:xfrm rot="10800000">
          <a:off x="11186460" y="1243106"/>
          <a:ext cx="455706" cy="254000"/>
        </a:xfrm>
        <a:prstGeom prst="triangle">
          <a:avLst>
            <a:gd name="adj" fmla="val 23771"/>
          </a:avLst>
        </a:prstGeom>
        <a:solidFill>
          <a:srgbClr val="7030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648447</xdr:colOff>
      <xdr:row>7</xdr:row>
      <xdr:rowOff>71718</xdr:rowOff>
    </xdr:from>
    <xdr:to>
      <xdr:col>14</xdr:col>
      <xdr:colOff>274918</xdr:colOff>
      <xdr:row>8</xdr:row>
      <xdr:rowOff>124012</xdr:rowOff>
    </xdr:to>
    <xdr:sp macro="" textlink="">
      <xdr:nvSpPr>
        <xdr:cNvPr id="20" name="Triangle 19">
          <a:extLst>
            <a:ext uri="{FF2B5EF4-FFF2-40B4-BE49-F238E27FC236}">
              <a16:creationId xmlns:a16="http://schemas.microsoft.com/office/drawing/2014/main" id="{DFF62655-A3A9-0E41-B7C9-F955ED39CF90}"/>
            </a:ext>
          </a:extLst>
        </xdr:cNvPr>
        <xdr:cNvSpPr/>
      </xdr:nvSpPr>
      <xdr:spPr>
        <a:xfrm>
          <a:off x="11379947" y="1494118"/>
          <a:ext cx="451971" cy="255494"/>
        </a:xfrm>
        <a:prstGeom prst="triangle">
          <a:avLst>
            <a:gd name="adj" fmla="val 23771"/>
          </a:avLst>
        </a:prstGeom>
        <a:solidFill>
          <a:srgbClr val="7030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715683</xdr:colOff>
      <xdr:row>7</xdr:row>
      <xdr:rowOff>103095</xdr:rowOff>
    </xdr:from>
    <xdr:to>
      <xdr:col>14</xdr:col>
      <xdr:colOff>342154</xdr:colOff>
      <xdr:row>8</xdr:row>
      <xdr:rowOff>155389</xdr:rowOff>
    </xdr:to>
    <xdr:sp macro="" textlink="">
      <xdr:nvSpPr>
        <xdr:cNvPr id="21" name="Triangle 20">
          <a:extLst>
            <a:ext uri="{FF2B5EF4-FFF2-40B4-BE49-F238E27FC236}">
              <a16:creationId xmlns:a16="http://schemas.microsoft.com/office/drawing/2014/main" id="{4727D5A4-71B5-364B-B8E7-AFCE59493111}"/>
            </a:ext>
          </a:extLst>
        </xdr:cNvPr>
        <xdr:cNvSpPr/>
      </xdr:nvSpPr>
      <xdr:spPr>
        <a:xfrm rot="10800000">
          <a:off x="11495742" y="1515036"/>
          <a:ext cx="455706" cy="254000"/>
        </a:xfrm>
        <a:prstGeom prst="triangle">
          <a:avLst>
            <a:gd name="adj" fmla="val 23771"/>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179294</xdr:colOff>
      <xdr:row>7</xdr:row>
      <xdr:rowOff>109071</xdr:rowOff>
    </xdr:from>
    <xdr:to>
      <xdr:col>13</xdr:col>
      <xdr:colOff>395941</xdr:colOff>
      <xdr:row>8</xdr:row>
      <xdr:rowOff>161365</xdr:rowOff>
    </xdr:to>
    <xdr:sp macro="" textlink="">
      <xdr:nvSpPr>
        <xdr:cNvPr id="25" name="Triangle 24">
          <a:extLst>
            <a:ext uri="{FF2B5EF4-FFF2-40B4-BE49-F238E27FC236}">
              <a16:creationId xmlns:a16="http://schemas.microsoft.com/office/drawing/2014/main" id="{6CB10265-B8A9-E840-9D0B-AD6831B37D48}"/>
            </a:ext>
          </a:extLst>
        </xdr:cNvPr>
        <xdr:cNvSpPr/>
      </xdr:nvSpPr>
      <xdr:spPr>
        <a:xfrm rot="10800000">
          <a:off x="10130118" y="1521012"/>
          <a:ext cx="1045882" cy="254000"/>
        </a:xfrm>
        <a:prstGeom prst="triangle">
          <a:avLst>
            <a:gd name="adj" fmla="val 23771"/>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185270</xdr:colOff>
      <xdr:row>7</xdr:row>
      <xdr:rowOff>95623</xdr:rowOff>
    </xdr:from>
    <xdr:to>
      <xdr:col>13</xdr:col>
      <xdr:colOff>640976</xdr:colOff>
      <xdr:row>8</xdr:row>
      <xdr:rowOff>147917</xdr:rowOff>
    </xdr:to>
    <xdr:sp macro="" textlink="">
      <xdr:nvSpPr>
        <xdr:cNvPr id="22" name="Triangle 21">
          <a:extLst>
            <a:ext uri="{FF2B5EF4-FFF2-40B4-BE49-F238E27FC236}">
              <a16:creationId xmlns:a16="http://schemas.microsoft.com/office/drawing/2014/main" id="{A06FAF97-B38C-CB4C-AE66-49EE52B41C30}"/>
            </a:ext>
          </a:extLst>
        </xdr:cNvPr>
        <xdr:cNvSpPr/>
      </xdr:nvSpPr>
      <xdr:spPr>
        <a:xfrm>
          <a:off x="10965329" y="1507564"/>
          <a:ext cx="455706" cy="254000"/>
        </a:xfrm>
        <a:prstGeom prst="triangle">
          <a:avLst>
            <a:gd name="adj" fmla="val 23771"/>
          </a:avLst>
        </a:prstGeom>
        <a:solidFill>
          <a:schemeClr val="bg2">
            <a:lumMod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300318</xdr:colOff>
      <xdr:row>7</xdr:row>
      <xdr:rowOff>88153</xdr:rowOff>
    </xdr:from>
    <xdr:to>
      <xdr:col>13</xdr:col>
      <xdr:colOff>756024</xdr:colOff>
      <xdr:row>8</xdr:row>
      <xdr:rowOff>140447</xdr:rowOff>
    </xdr:to>
    <xdr:sp macro="" textlink="">
      <xdr:nvSpPr>
        <xdr:cNvPr id="23" name="Triangle 22">
          <a:extLst>
            <a:ext uri="{FF2B5EF4-FFF2-40B4-BE49-F238E27FC236}">
              <a16:creationId xmlns:a16="http://schemas.microsoft.com/office/drawing/2014/main" id="{7828F7F3-0CA9-8A46-AEA0-F99C01E07FF7}"/>
            </a:ext>
          </a:extLst>
        </xdr:cNvPr>
        <xdr:cNvSpPr/>
      </xdr:nvSpPr>
      <xdr:spPr>
        <a:xfrm rot="10800000">
          <a:off x="11031818" y="1510553"/>
          <a:ext cx="455706" cy="255494"/>
        </a:xfrm>
        <a:prstGeom prst="triangle">
          <a:avLst>
            <a:gd name="adj" fmla="val 23771"/>
          </a:avLst>
        </a:prstGeom>
        <a:solidFill>
          <a:schemeClr val="bg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623105</xdr:colOff>
      <xdr:row>11</xdr:row>
      <xdr:rowOff>32297</xdr:rowOff>
    </xdr:from>
    <xdr:to>
      <xdr:col>18</xdr:col>
      <xdr:colOff>737405</xdr:colOff>
      <xdr:row>14</xdr:row>
      <xdr:rowOff>70397</xdr:rowOff>
    </xdr:to>
    <xdr:sp macro="" textlink="">
      <xdr:nvSpPr>
        <xdr:cNvPr id="26" name="TextBox 25">
          <a:extLst>
            <a:ext uri="{FF2B5EF4-FFF2-40B4-BE49-F238E27FC236}">
              <a16:creationId xmlns:a16="http://schemas.microsoft.com/office/drawing/2014/main" id="{CDFA7191-CA6C-EF4F-BBFD-73FC4623741B}"/>
            </a:ext>
          </a:extLst>
        </xdr:cNvPr>
        <xdr:cNvSpPr txBox="1"/>
      </xdr:nvSpPr>
      <xdr:spPr>
        <a:xfrm>
          <a:off x="13909259" y="2288989"/>
          <a:ext cx="1775069" cy="653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a:solidFill>
                <a:schemeClr val="bg2">
                  <a:lumMod val="50000"/>
                </a:schemeClr>
              </a:solidFill>
              <a:latin typeface="Arial" panose="020B0604020202020204" pitchFamily="34" charset="0"/>
              <a:cs typeface="Arial" panose="020B0604020202020204" pitchFamily="34" charset="0"/>
            </a:rPr>
            <a:t>Avg</a:t>
          </a:r>
          <a:r>
            <a:rPr lang="en-GB" sz="1200" b="1">
              <a:solidFill>
                <a:schemeClr val="bg1"/>
              </a:solidFill>
              <a:latin typeface="Arial" panose="020B0604020202020204" pitchFamily="34" charset="0"/>
              <a:cs typeface="Arial" panose="020B0604020202020204" pitchFamily="34" charset="0"/>
            </a:rPr>
            <a:t>.</a:t>
          </a:r>
          <a:endParaRPr lang="en-GB" sz="1400" b="0" baseline="0">
            <a:solidFill>
              <a:schemeClr val="bg1"/>
            </a:solidFill>
            <a:latin typeface="Arial" panose="020B0604020202020204" pitchFamily="34" charset="0"/>
            <a:cs typeface="Arial" panose="020B0604020202020204" pitchFamily="34" charset="0"/>
          </a:endParaRPr>
        </a:p>
        <a:p>
          <a:endParaRPr lang="en-GB" sz="1400" b="0">
            <a:solidFill>
              <a:schemeClr val="bg1"/>
            </a:solidFill>
            <a:latin typeface="Arial" panose="020B0604020202020204" pitchFamily="34" charset="0"/>
            <a:cs typeface="Arial" panose="020B0604020202020204" pitchFamily="34" charset="0"/>
          </a:endParaRPr>
        </a:p>
      </xdr:txBody>
    </xdr:sp>
    <xdr:clientData/>
  </xdr:twoCellAnchor>
  <xdr:twoCellAnchor>
    <xdr:from>
      <xdr:col>16</xdr:col>
      <xdr:colOff>364392</xdr:colOff>
      <xdr:row>10</xdr:row>
      <xdr:rowOff>88903</xdr:rowOff>
    </xdr:from>
    <xdr:to>
      <xdr:col>18</xdr:col>
      <xdr:colOff>41662</xdr:colOff>
      <xdr:row>12</xdr:row>
      <xdr:rowOff>115797</xdr:rowOff>
    </xdr:to>
    <xdr:sp macro="" textlink="Pivotables!$A$6">
      <xdr:nvSpPr>
        <xdr:cNvPr id="27" name="TextBox 26">
          <a:extLst>
            <a:ext uri="{FF2B5EF4-FFF2-40B4-BE49-F238E27FC236}">
              <a16:creationId xmlns:a16="http://schemas.microsoft.com/office/drawing/2014/main" id="{6B45C67C-9640-AB4C-A421-36C5FA81CFDE}"/>
            </a:ext>
          </a:extLst>
        </xdr:cNvPr>
        <xdr:cNvSpPr txBox="1"/>
      </xdr:nvSpPr>
      <xdr:spPr>
        <a:xfrm>
          <a:off x="13650546" y="2140441"/>
          <a:ext cx="1338039" cy="4372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4EFA5C-9A15-EC4C-8CC4-3220DA0DACDB}" type="TxLink">
            <a:rPr lang="en-US" sz="1600" b="1" i="0" u="none" strike="noStrike">
              <a:solidFill>
                <a:schemeClr val="accent6">
                  <a:lumMod val="60000"/>
                  <a:lumOff val="40000"/>
                </a:schemeClr>
              </a:solidFill>
              <a:latin typeface="Tw Cen MT" panose="020B0602020104020603" pitchFamily="34" charset="77"/>
              <a:cs typeface="Calibri"/>
            </a:rPr>
            <a:pPr/>
            <a:t> $50.753 </a:t>
          </a:fld>
          <a:endParaRPr lang="en-GB" sz="1800" b="1">
            <a:solidFill>
              <a:schemeClr val="accent6">
                <a:lumMod val="60000"/>
                <a:lumOff val="40000"/>
              </a:schemeClr>
            </a:solidFill>
            <a:latin typeface="Tw Cen MT" panose="020B0602020104020603" pitchFamily="34" charset="77"/>
            <a:cs typeface="Arial" panose="020B0604020202020204" pitchFamily="34" charset="0"/>
          </a:endParaRPr>
        </a:p>
      </xdr:txBody>
    </xdr:sp>
    <xdr:clientData/>
  </xdr:twoCellAnchor>
  <xdr:twoCellAnchor>
    <xdr:from>
      <xdr:col>12</xdr:col>
      <xdr:colOff>342900</xdr:colOff>
      <xdr:row>10</xdr:row>
      <xdr:rowOff>0</xdr:rowOff>
    </xdr:from>
    <xdr:to>
      <xdr:col>14</xdr:col>
      <xdr:colOff>457200</xdr:colOff>
      <xdr:row>13</xdr:row>
      <xdr:rowOff>38100</xdr:rowOff>
    </xdr:to>
    <xdr:sp macro="" textlink="">
      <xdr:nvSpPr>
        <xdr:cNvPr id="24" name="TextBox 23">
          <a:extLst>
            <a:ext uri="{FF2B5EF4-FFF2-40B4-BE49-F238E27FC236}">
              <a16:creationId xmlns:a16="http://schemas.microsoft.com/office/drawing/2014/main" id="{590B463F-3E77-0F4F-9360-7F9EFE0C7755}"/>
            </a:ext>
          </a:extLst>
        </xdr:cNvPr>
        <xdr:cNvSpPr txBox="1"/>
      </xdr:nvSpPr>
      <xdr:spPr>
        <a:xfrm>
          <a:off x="10248900" y="2032000"/>
          <a:ext cx="176530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bg1"/>
              </a:solidFill>
              <a:latin typeface="Arial" panose="020B0604020202020204" pitchFamily="34" charset="0"/>
              <a:cs typeface="Arial" panose="020B0604020202020204" pitchFamily="34" charset="0"/>
            </a:rPr>
            <a:t>Totalul</a:t>
          </a:r>
        </a:p>
        <a:p>
          <a:r>
            <a:rPr lang="en-GB" sz="1400" b="0">
              <a:solidFill>
                <a:schemeClr val="bg1"/>
              </a:solidFill>
              <a:latin typeface="Arial" panose="020B0604020202020204" pitchFamily="34" charset="0"/>
              <a:cs typeface="Arial" panose="020B0604020202020204" pitchFamily="34" charset="0"/>
            </a:rPr>
            <a:t>Streamurilor</a:t>
          </a:r>
        </a:p>
      </xdr:txBody>
    </xdr:sp>
    <xdr:clientData/>
  </xdr:twoCellAnchor>
  <xdr:twoCellAnchor>
    <xdr:from>
      <xdr:col>13</xdr:col>
      <xdr:colOff>63500</xdr:colOff>
      <xdr:row>8</xdr:row>
      <xdr:rowOff>127000</xdr:rowOff>
    </xdr:from>
    <xdr:to>
      <xdr:col>15</xdr:col>
      <xdr:colOff>177800</xdr:colOff>
      <xdr:row>13</xdr:row>
      <xdr:rowOff>152400</xdr:rowOff>
    </xdr:to>
    <xdr:sp macro="" textlink="Pivotables!$C$2">
      <xdr:nvSpPr>
        <xdr:cNvPr id="28" name="TextBox 27">
          <a:extLst>
            <a:ext uri="{FF2B5EF4-FFF2-40B4-BE49-F238E27FC236}">
              <a16:creationId xmlns:a16="http://schemas.microsoft.com/office/drawing/2014/main" id="{A44FF184-7288-8141-AE21-C781405AAC39}"/>
            </a:ext>
          </a:extLst>
        </xdr:cNvPr>
        <xdr:cNvSpPr txBox="1"/>
      </xdr:nvSpPr>
      <xdr:spPr>
        <a:xfrm>
          <a:off x="10795000" y="1752600"/>
          <a:ext cx="1765300" cy="1041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143584-BC6A-FA49-9B1B-5C00D0755D12}" type="TxLink">
            <a:rPr lang="en-US" sz="1400" b="0" i="0" u="none" strike="noStrike">
              <a:solidFill>
                <a:schemeClr val="bg1"/>
              </a:solidFill>
              <a:latin typeface="Calibri"/>
              <a:cs typeface="Calibri"/>
            </a:rPr>
            <a:pPr algn="ctr"/>
            <a:t>10.150.560.778</a:t>
          </a:fld>
          <a:endParaRPr lang="en-US" sz="1400" b="0" i="0" u="none" strike="noStrike">
            <a:solidFill>
              <a:schemeClr val="bg1"/>
            </a:solidFill>
            <a:latin typeface="Calibri"/>
            <a:cs typeface="Calibri"/>
          </a:endParaRPr>
        </a:p>
        <a:p>
          <a:pPr algn="ctr"/>
          <a:r>
            <a:rPr lang="en-US" sz="2400" b="0" i="0" u="none" strike="noStrike">
              <a:solidFill>
                <a:schemeClr val="bg1"/>
              </a:solidFill>
              <a:latin typeface="+mn-lt"/>
              <a:cs typeface="Calibri"/>
            </a:rPr>
            <a:t>🎧</a:t>
          </a:r>
          <a:endParaRPr lang="en-GB" sz="2400" b="0">
            <a:solidFill>
              <a:schemeClr val="bg1"/>
            </a:solidFill>
            <a:latin typeface="Tw Cen MT" panose="020B0602020104020603" pitchFamily="34" charset="77"/>
            <a:cs typeface="Arial" panose="020B0604020202020204" pitchFamily="34" charset="0"/>
          </a:endParaRPr>
        </a:p>
      </xdr:txBody>
    </xdr:sp>
    <xdr:clientData/>
  </xdr:twoCellAnchor>
  <xdr:twoCellAnchor>
    <xdr:from>
      <xdr:col>15</xdr:col>
      <xdr:colOff>101600</xdr:colOff>
      <xdr:row>6</xdr:row>
      <xdr:rowOff>25400</xdr:rowOff>
    </xdr:from>
    <xdr:to>
      <xdr:col>18</xdr:col>
      <xdr:colOff>368300</xdr:colOff>
      <xdr:row>13</xdr:row>
      <xdr:rowOff>0</xdr:rowOff>
    </xdr:to>
    <xdr:graphicFrame macro="">
      <xdr:nvGraphicFramePr>
        <xdr:cNvPr id="29" name="Chart 28">
          <a:extLst>
            <a:ext uri="{FF2B5EF4-FFF2-40B4-BE49-F238E27FC236}">
              <a16:creationId xmlns:a16="http://schemas.microsoft.com/office/drawing/2014/main" id="{5C04EA7F-AC83-F045-A35D-828D78C0C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622300</xdr:colOff>
      <xdr:row>5</xdr:row>
      <xdr:rowOff>0</xdr:rowOff>
    </xdr:from>
    <xdr:to>
      <xdr:col>18</xdr:col>
      <xdr:colOff>78154</xdr:colOff>
      <xdr:row>8</xdr:row>
      <xdr:rowOff>190500</xdr:rowOff>
    </xdr:to>
    <xdr:sp macro="" textlink="">
      <xdr:nvSpPr>
        <xdr:cNvPr id="30" name="TextBox 29">
          <a:extLst>
            <a:ext uri="{FF2B5EF4-FFF2-40B4-BE49-F238E27FC236}">
              <a16:creationId xmlns:a16="http://schemas.microsoft.com/office/drawing/2014/main" id="{44663906-5287-E84B-945D-E69A4C0FFCD0}"/>
            </a:ext>
          </a:extLst>
        </xdr:cNvPr>
        <xdr:cNvSpPr txBox="1"/>
      </xdr:nvSpPr>
      <xdr:spPr>
        <a:xfrm>
          <a:off x="13078069" y="1025769"/>
          <a:ext cx="1947008" cy="805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bg1"/>
              </a:solidFill>
              <a:latin typeface="Arial" panose="020B0604020202020204" pitchFamily="34" charset="0"/>
              <a:cs typeface="Arial" panose="020B0604020202020204" pitchFamily="34" charset="0"/>
            </a:rPr>
            <a:t>Media</a:t>
          </a:r>
        </a:p>
        <a:p>
          <a:r>
            <a:rPr lang="en-GB" sz="1800" b="0">
              <a:solidFill>
                <a:schemeClr val="bg1"/>
              </a:solidFill>
              <a:latin typeface="Arial" panose="020B0604020202020204" pitchFamily="34" charset="0"/>
              <a:cs typeface="Arial" panose="020B0604020202020204" pitchFamily="34" charset="0"/>
            </a:rPr>
            <a:t>Veniturilor Totale </a:t>
          </a:r>
          <a:r>
            <a:rPr lang="en-GB" sz="1200" b="1">
              <a:solidFill>
                <a:schemeClr val="accent6">
                  <a:lumMod val="40000"/>
                  <a:lumOff val="60000"/>
                </a:schemeClr>
              </a:solidFill>
              <a:latin typeface="Arial" panose="020B0604020202020204" pitchFamily="34" charset="0"/>
              <a:cs typeface="Arial" panose="020B0604020202020204" pitchFamily="34" charset="0"/>
            </a:rPr>
            <a:t>/ săptămâna</a:t>
          </a:r>
          <a:endParaRPr lang="en-GB" sz="1800" b="1">
            <a:solidFill>
              <a:schemeClr val="accent6">
                <a:lumMod val="40000"/>
                <a:lumOff val="60000"/>
              </a:schemeClr>
            </a:solidFill>
            <a:latin typeface="Arial" panose="020B0604020202020204" pitchFamily="34" charset="0"/>
            <a:cs typeface="Arial" panose="020B0604020202020204" pitchFamily="34" charset="0"/>
          </a:endParaRPr>
        </a:p>
      </xdr:txBody>
    </xdr:sp>
    <xdr:clientData/>
  </xdr:twoCellAnchor>
  <xdr:twoCellAnchor>
    <xdr:from>
      <xdr:col>15</xdr:col>
      <xdr:colOff>533400</xdr:colOff>
      <xdr:row>4</xdr:row>
      <xdr:rowOff>165100</xdr:rowOff>
    </xdr:from>
    <xdr:to>
      <xdr:col>18</xdr:col>
      <xdr:colOff>292100</xdr:colOff>
      <xdr:row>12</xdr:row>
      <xdr:rowOff>127000</xdr:rowOff>
    </xdr:to>
    <xdr:sp macro="" textlink="">
      <xdr:nvSpPr>
        <xdr:cNvPr id="8" name="Rounded Rectangle 7">
          <a:extLst>
            <a:ext uri="{FF2B5EF4-FFF2-40B4-BE49-F238E27FC236}">
              <a16:creationId xmlns:a16="http://schemas.microsoft.com/office/drawing/2014/main" id="{0E0F1383-211B-9441-9227-6433CD4B91C2}"/>
            </a:ext>
          </a:extLst>
        </xdr:cNvPr>
        <xdr:cNvSpPr/>
      </xdr:nvSpPr>
      <xdr:spPr>
        <a:xfrm>
          <a:off x="12915900" y="977900"/>
          <a:ext cx="2235200" cy="1587500"/>
        </a:xfrm>
        <a:prstGeom prst="roundRect">
          <a:avLst/>
        </a:prstGeom>
        <a:noFill/>
        <a:ln w="114300">
          <a:solidFill>
            <a:srgbClr val="1D2D3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624254</xdr:colOff>
      <xdr:row>13</xdr:row>
      <xdr:rowOff>129931</xdr:rowOff>
    </xdr:from>
    <xdr:to>
      <xdr:col>21</xdr:col>
      <xdr:colOff>593624</xdr:colOff>
      <xdr:row>29</xdr:row>
      <xdr:rowOff>43502</xdr:rowOff>
    </xdr:to>
    <xdr:grpSp>
      <xdr:nvGrpSpPr>
        <xdr:cNvPr id="31" name="Group 30">
          <a:extLst>
            <a:ext uri="{FF2B5EF4-FFF2-40B4-BE49-F238E27FC236}">
              <a16:creationId xmlns:a16="http://schemas.microsoft.com/office/drawing/2014/main" id="{8A545622-E4D5-7D46-AE7B-6D7CB6276854}"/>
            </a:ext>
          </a:extLst>
        </xdr:cNvPr>
        <xdr:cNvGrpSpPr/>
      </xdr:nvGrpSpPr>
      <xdr:grpSpPr>
        <a:xfrm>
          <a:off x="13006754" y="2812806"/>
          <a:ext cx="4922370" cy="3215571"/>
          <a:chOff x="12953024" y="2943470"/>
          <a:chExt cx="4951678" cy="3196033"/>
        </a:xfrm>
      </xdr:grpSpPr>
      <xdr:sp macro="" textlink="">
        <xdr:nvSpPr>
          <xdr:cNvPr id="12" name="Rounded Rectangle 11">
            <a:extLst>
              <a:ext uri="{FF2B5EF4-FFF2-40B4-BE49-F238E27FC236}">
                <a16:creationId xmlns:a16="http://schemas.microsoft.com/office/drawing/2014/main" id="{E1175394-7207-1D47-B984-F13F78CDC26E}"/>
              </a:ext>
            </a:extLst>
          </xdr:cNvPr>
          <xdr:cNvSpPr/>
        </xdr:nvSpPr>
        <xdr:spPr>
          <a:xfrm>
            <a:off x="13344771" y="3073400"/>
            <a:ext cx="3907692" cy="2963008"/>
          </a:xfrm>
          <a:prstGeom prst="roundRect">
            <a:avLst/>
          </a:prstGeom>
          <a:solidFill>
            <a:srgbClr val="17172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32" name="Chart 31">
            <a:extLst>
              <a:ext uri="{FF2B5EF4-FFF2-40B4-BE49-F238E27FC236}">
                <a16:creationId xmlns:a16="http://schemas.microsoft.com/office/drawing/2014/main" id="{9C9EE658-C2AA-8140-BDA4-74C2117AF121}"/>
              </a:ext>
            </a:extLst>
          </xdr:cNvPr>
          <xdr:cNvGraphicFramePr>
            <a:graphicFrameLocks/>
          </xdr:cNvGraphicFramePr>
        </xdr:nvGraphicFramePr>
        <xdr:xfrm>
          <a:off x="12953024" y="3303954"/>
          <a:ext cx="4601307" cy="2770554"/>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33" name="TextBox 32">
            <a:extLst>
              <a:ext uri="{FF2B5EF4-FFF2-40B4-BE49-F238E27FC236}">
                <a16:creationId xmlns:a16="http://schemas.microsoft.com/office/drawing/2014/main" id="{2AC0774F-977A-E24C-879C-C81CE0DEEA8E}"/>
              </a:ext>
            </a:extLst>
          </xdr:cNvPr>
          <xdr:cNvSpPr txBox="1"/>
        </xdr:nvSpPr>
        <xdr:spPr>
          <a:xfrm>
            <a:off x="14350024" y="2943470"/>
            <a:ext cx="1775069" cy="653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solidFill>
                  <a:schemeClr val="bg1"/>
                </a:solidFill>
                <a:latin typeface="Arial" panose="020B0604020202020204" pitchFamily="34" charset="0"/>
                <a:cs typeface="Arial" panose="020B0604020202020204" pitchFamily="34" charset="0"/>
              </a:rPr>
              <a:t>Colaborări</a:t>
            </a:r>
          </a:p>
        </xdr:txBody>
      </xdr:sp>
      <xdr:sp macro="" textlink="">
        <xdr:nvSpPr>
          <xdr:cNvPr id="34" name="TextBox 33">
            <a:extLst>
              <a:ext uri="{FF2B5EF4-FFF2-40B4-BE49-F238E27FC236}">
                <a16:creationId xmlns:a16="http://schemas.microsoft.com/office/drawing/2014/main" id="{0242BE33-92C8-7549-9EDD-EF54151B954D}"/>
              </a:ext>
            </a:extLst>
          </xdr:cNvPr>
          <xdr:cNvSpPr txBox="1"/>
        </xdr:nvSpPr>
        <xdr:spPr>
          <a:xfrm>
            <a:off x="15855462" y="3369408"/>
            <a:ext cx="1775069" cy="653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0">
                <a:solidFill>
                  <a:schemeClr val="bg1"/>
                </a:solidFill>
                <a:latin typeface="Arial" panose="020B0604020202020204" pitchFamily="34" charset="0"/>
                <a:cs typeface="Arial" panose="020B0604020202020204" pitchFamily="34" charset="0"/>
              </a:rPr>
              <a:t>Da</a:t>
            </a:r>
            <a:endParaRPr lang="en-GB" sz="1800" b="0">
              <a:solidFill>
                <a:schemeClr val="bg1"/>
              </a:solidFill>
              <a:latin typeface="Arial" panose="020B0604020202020204" pitchFamily="34" charset="0"/>
              <a:cs typeface="Arial" panose="020B0604020202020204" pitchFamily="34" charset="0"/>
            </a:endParaRPr>
          </a:p>
        </xdr:txBody>
      </xdr:sp>
      <xdr:sp macro="" textlink="">
        <xdr:nvSpPr>
          <xdr:cNvPr id="35" name="TextBox 34">
            <a:extLst>
              <a:ext uri="{FF2B5EF4-FFF2-40B4-BE49-F238E27FC236}">
                <a16:creationId xmlns:a16="http://schemas.microsoft.com/office/drawing/2014/main" id="{D3B09C28-183A-214C-9F7B-4420C2BE271A}"/>
              </a:ext>
            </a:extLst>
          </xdr:cNvPr>
          <xdr:cNvSpPr txBox="1"/>
        </xdr:nvSpPr>
        <xdr:spPr>
          <a:xfrm>
            <a:off x="15918962" y="5112238"/>
            <a:ext cx="1775069" cy="653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0">
                <a:solidFill>
                  <a:schemeClr val="bg1"/>
                </a:solidFill>
                <a:latin typeface="Arial" panose="020B0604020202020204" pitchFamily="34" charset="0"/>
                <a:cs typeface="Arial" panose="020B0604020202020204" pitchFamily="34" charset="0"/>
              </a:rPr>
              <a:t>Nu</a:t>
            </a:r>
            <a:endParaRPr lang="en-GB" sz="1800" b="0">
              <a:solidFill>
                <a:schemeClr val="bg1"/>
              </a:solidFill>
              <a:latin typeface="Arial" panose="020B0604020202020204" pitchFamily="34" charset="0"/>
              <a:cs typeface="Arial" panose="020B0604020202020204" pitchFamily="34" charset="0"/>
            </a:endParaRPr>
          </a:p>
        </xdr:txBody>
      </xdr:sp>
      <xdr:cxnSp macro="">
        <xdr:nvCxnSpPr>
          <xdr:cNvPr id="38" name="Curved Connector 37">
            <a:extLst>
              <a:ext uri="{FF2B5EF4-FFF2-40B4-BE49-F238E27FC236}">
                <a16:creationId xmlns:a16="http://schemas.microsoft.com/office/drawing/2014/main" id="{D29EC838-8370-6C40-BDA6-0172A0A56210}"/>
              </a:ext>
            </a:extLst>
          </xdr:cNvPr>
          <xdr:cNvCxnSpPr/>
        </xdr:nvCxnSpPr>
        <xdr:spPr>
          <a:xfrm rot="10800000" flipV="1">
            <a:off x="15791962" y="3688862"/>
            <a:ext cx="830385" cy="243253"/>
          </a:xfrm>
          <a:prstGeom prst="curvedConnector3">
            <a:avLst>
              <a:gd name="adj1" fmla="val 96153"/>
            </a:avLst>
          </a:prstGeom>
          <a:ln w="25400">
            <a:solidFill>
              <a:schemeClr val="accent6">
                <a:lumMod val="40000"/>
                <a:lumOff val="60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9" name="Curved Connector 48">
            <a:extLst>
              <a:ext uri="{FF2B5EF4-FFF2-40B4-BE49-F238E27FC236}">
                <a16:creationId xmlns:a16="http://schemas.microsoft.com/office/drawing/2014/main" id="{BDD3770D-BECC-4E4A-ABD7-6A5A99A66B6A}"/>
              </a:ext>
            </a:extLst>
          </xdr:cNvPr>
          <xdr:cNvCxnSpPr/>
        </xdr:nvCxnSpPr>
        <xdr:spPr>
          <a:xfrm rot="10800000" flipV="1">
            <a:off x="15880862" y="5573346"/>
            <a:ext cx="931985" cy="103554"/>
          </a:xfrm>
          <a:prstGeom prst="curvedConnector3">
            <a:avLst>
              <a:gd name="adj1" fmla="val -2055"/>
            </a:avLst>
          </a:prstGeom>
          <a:ln w="25400">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53" name="TextBox 52">
            <a:extLst>
              <a:ext uri="{FF2B5EF4-FFF2-40B4-BE49-F238E27FC236}">
                <a16:creationId xmlns:a16="http://schemas.microsoft.com/office/drawing/2014/main" id="{B463915F-6FAC-5848-A6FA-4BC01F9547C6}"/>
              </a:ext>
            </a:extLst>
          </xdr:cNvPr>
          <xdr:cNvSpPr txBox="1"/>
        </xdr:nvSpPr>
        <xdr:spPr>
          <a:xfrm>
            <a:off x="16414263" y="3767016"/>
            <a:ext cx="1338039" cy="4372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chemeClr val="accent6">
                    <a:lumMod val="60000"/>
                    <a:lumOff val="40000"/>
                  </a:schemeClr>
                </a:solidFill>
                <a:latin typeface="Tw Cen MT" panose="020B0602020104020603" pitchFamily="34" charset="77"/>
                <a:cs typeface="Calibri"/>
              </a:rPr>
              <a:t>16.5%</a:t>
            </a:r>
          </a:p>
        </xdr:txBody>
      </xdr:sp>
      <xdr:sp macro="" textlink="">
        <xdr:nvSpPr>
          <xdr:cNvPr id="54" name="TextBox 53">
            <a:extLst>
              <a:ext uri="{FF2B5EF4-FFF2-40B4-BE49-F238E27FC236}">
                <a16:creationId xmlns:a16="http://schemas.microsoft.com/office/drawing/2014/main" id="{8890D162-D0AE-F64E-9B5D-402598E29D7F}"/>
              </a:ext>
            </a:extLst>
          </xdr:cNvPr>
          <xdr:cNvSpPr txBox="1"/>
        </xdr:nvSpPr>
        <xdr:spPr>
          <a:xfrm>
            <a:off x="16571548" y="5702301"/>
            <a:ext cx="1333154" cy="4372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latin typeface="Tw Cen MT" panose="020B0602020104020603" pitchFamily="34" charset="77"/>
                <a:cs typeface="Calibri"/>
              </a:rPr>
              <a:t>83.5%</a:t>
            </a:r>
          </a:p>
        </xdr:txBody>
      </xdr:sp>
    </xdr:grpSp>
    <xdr:clientData/>
  </xdr:twoCellAnchor>
  <xdr:twoCellAnchor>
    <xdr:from>
      <xdr:col>2</xdr:col>
      <xdr:colOff>342900</xdr:colOff>
      <xdr:row>13</xdr:row>
      <xdr:rowOff>165100</xdr:rowOff>
    </xdr:from>
    <xdr:to>
      <xdr:col>9</xdr:col>
      <xdr:colOff>533400</xdr:colOff>
      <xdr:row>28</xdr:row>
      <xdr:rowOff>50800</xdr:rowOff>
    </xdr:to>
    <xdr:sp macro="" textlink="">
      <xdr:nvSpPr>
        <xdr:cNvPr id="55" name="Rounded Rectangle 54">
          <a:extLst>
            <a:ext uri="{FF2B5EF4-FFF2-40B4-BE49-F238E27FC236}">
              <a16:creationId xmlns:a16="http://schemas.microsoft.com/office/drawing/2014/main" id="{A64E270F-197D-B34F-8C66-A2A46A26018B}"/>
            </a:ext>
          </a:extLst>
        </xdr:cNvPr>
        <xdr:cNvSpPr/>
      </xdr:nvSpPr>
      <xdr:spPr>
        <a:xfrm>
          <a:off x="1993900" y="2806700"/>
          <a:ext cx="5969000" cy="2933700"/>
        </a:xfrm>
        <a:prstGeom prst="roundRect">
          <a:avLst/>
        </a:prstGeom>
        <a:solidFill>
          <a:srgbClr val="17172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495300</xdr:colOff>
      <xdr:row>14</xdr:row>
      <xdr:rowOff>63500</xdr:rowOff>
    </xdr:from>
    <xdr:to>
      <xdr:col>5</xdr:col>
      <xdr:colOff>292100</xdr:colOff>
      <xdr:row>17</xdr:row>
      <xdr:rowOff>101600</xdr:rowOff>
    </xdr:to>
    <xdr:sp macro="" textlink="">
      <xdr:nvSpPr>
        <xdr:cNvPr id="56" name="TextBox 55">
          <a:extLst>
            <a:ext uri="{FF2B5EF4-FFF2-40B4-BE49-F238E27FC236}">
              <a16:creationId xmlns:a16="http://schemas.microsoft.com/office/drawing/2014/main" id="{9DEB0D99-B85F-3B4E-B41B-AC1DBD0DFB64}"/>
            </a:ext>
          </a:extLst>
        </xdr:cNvPr>
        <xdr:cNvSpPr txBox="1"/>
      </xdr:nvSpPr>
      <xdr:spPr>
        <a:xfrm>
          <a:off x="1320800" y="2908300"/>
          <a:ext cx="309880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0">
              <a:solidFill>
                <a:schemeClr val="bg2">
                  <a:lumMod val="50000"/>
                </a:schemeClr>
              </a:solidFill>
              <a:latin typeface="Arial" panose="020B0604020202020204" pitchFamily="34" charset="0"/>
              <a:cs typeface="Arial" panose="020B0604020202020204" pitchFamily="34" charset="0"/>
            </a:rPr>
            <a:t>Artist</a:t>
          </a:r>
        </a:p>
      </xdr:txBody>
    </xdr:sp>
    <xdr:clientData/>
  </xdr:twoCellAnchor>
  <xdr:twoCellAnchor>
    <xdr:from>
      <xdr:col>3</xdr:col>
      <xdr:colOff>787400</xdr:colOff>
      <xdr:row>14</xdr:row>
      <xdr:rowOff>63500</xdr:rowOff>
    </xdr:from>
    <xdr:to>
      <xdr:col>7</xdr:col>
      <xdr:colOff>584200</xdr:colOff>
      <xdr:row>17</xdr:row>
      <xdr:rowOff>101600</xdr:rowOff>
    </xdr:to>
    <xdr:sp macro="" textlink="">
      <xdr:nvSpPr>
        <xdr:cNvPr id="57" name="TextBox 56">
          <a:extLst>
            <a:ext uri="{FF2B5EF4-FFF2-40B4-BE49-F238E27FC236}">
              <a16:creationId xmlns:a16="http://schemas.microsoft.com/office/drawing/2014/main" id="{1E5745B4-E445-1E4E-A2FB-19704C3C9E0B}"/>
            </a:ext>
          </a:extLst>
        </xdr:cNvPr>
        <xdr:cNvSpPr txBox="1"/>
      </xdr:nvSpPr>
      <xdr:spPr>
        <a:xfrm>
          <a:off x="3263900" y="2908300"/>
          <a:ext cx="309880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0">
              <a:solidFill>
                <a:schemeClr val="bg2">
                  <a:lumMod val="50000"/>
                </a:schemeClr>
              </a:solidFill>
              <a:latin typeface="Arial" panose="020B0604020202020204" pitchFamily="34" charset="0"/>
              <a:cs typeface="Arial" panose="020B0604020202020204" pitchFamily="34" charset="0"/>
            </a:rPr>
            <a:t>Naționalitate</a:t>
          </a:r>
        </a:p>
      </xdr:txBody>
    </xdr:sp>
    <xdr:clientData/>
  </xdr:twoCellAnchor>
  <xdr:twoCellAnchor editAs="oneCell">
    <xdr:from>
      <xdr:col>2</xdr:col>
      <xdr:colOff>488315</xdr:colOff>
      <xdr:row>17</xdr:row>
      <xdr:rowOff>50800</xdr:rowOff>
    </xdr:from>
    <xdr:to>
      <xdr:col>4</xdr:col>
      <xdr:colOff>566616</xdr:colOff>
      <xdr:row>27</xdr:row>
      <xdr:rowOff>38100</xdr:rowOff>
    </xdr:to>
    <mc:AlternateContent xmlns:mc="http://schemas.openxmlformats.org/markup-compatibility/2006" xmlns:a14="http://schemas.microsoft.com/office/drawing/2010/main">
      <mc:Choice Requires="a14">
        <xdr:graphicFrame macro="">
          <xdr:nvGraphicFramePr>
            <xdr:cNvPr id="58" name="Artist">
              <a:extLst>
                <a:ext uri="{FF2B5EF4-FFF2-40B4-BE49-F238E27FC236}">
                  <a16:creationId xmlns:a16="http://schemas.microsoft.com/office/drawing/2014/main" id="{985B21A2-78AF-5541-BA46-CC8C8F0C6717}"/>
                </a:ext>
              </a:extLst>
            </xdr:cNvPr>
            <xdr:cNvGraphicFramePr/>
          </xdr:nvGraphicFramePr>
          <xdr:xfrm>
            <a:off x="0" y="0"/>
            <a:ext cx="0" cy="0"/>
          </xdr:xfrm>
          <a:graphic>
            <a:graphicData uri="http://schemas.microsoft.com/office/drawing/2010/slicer">
              <sle:slicer xmlns:sle="http://schemas.microsoft.com/office/drawing/2010/slicer" name="Artist"/>
            </a:graphicData>
          </a:graphic>
        </xdr:graphicFrame>
      </mc:Choice>
      <mc:Fallback xmlns="">
        <xdr:sp macro="" textlink="">
          <xdr:nvSpPr>
            <xdr:cNvPr id="0" name=""/>
            <xdr:cNvSpPr>
              <a:spLocks noTextEdit="1"/>
            </xdr:cNvSpPr>
          </xdr:nvSpPr>
          <xdr:spPr>
            <a:xfrm>
              <a:off x="2145665" y="3451225"/>
              <a:ext cx="1581150" cy="1987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12700</xdr:colOff>
      <xdr:row>16</xdr:row>
      <xdr:rowOff>114300</xdr:rowOff>
    </xdr:from>
    <xdr:to>
      <xdr:col>9</xdr:col>
      <xdr:colOff>279400</xdr:colOff>
      <xdr:row>18</xdr:row>
      <xdr:rowOff>88900</xdr:rowOff>
    </xdr:to>
    <xdr:sp macro="" textlink="Pivotables!$D$17">
      <xdr:nvSpPr>
        <xdr:cNvPr id="42" name="TextBox 41">
          <a:extLst>
            <a:ext uri="{FF2B5EF4-FFF2-40B4-BE49-F238E27FC236}">
              <a16:creationId xmlns:a16="http://schemas.microsoft.com/office/drawing/2014/main" id="{41D46E04-BA5F-4040-BA9D-24AFBE8725C5}"/>
            </a:ext>
          </a:extLst>
        </xdr:cNvPr>
        <xdr:cNvSpPr txBox="1"/>
      </xdr:nvSpPr>
      <xdr:spPr>
        <a:xfrm>
          <a:off x="5791200" y="3365500"/>
          <a:ext cx="19177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25B05AE-B5BF-C147-A49B-0055903E3957}" type="TxLink">
            <a:rPr lang="en-US" sz="1200" b="0" i="0" u="none" strike="noStrike">
              <a:solidFill>
                <a:schemeClr val="bg1"/>
              </a:solidFill>
              <a:latin typeface="Calibri"/>
              <a:cs typeface="Calibri"/>
            </a:rPr>
            <a:pPr algn="ctr"/>
            <a:t>21.513.718</a:t>
          </a:fld>
          <a:endParaRPr lang="en-GB" sz="4400" b="1">
            <a:solidFill>
              <a:schemeClr val="bg1"/>
            </a:solidFill>
            <a:latin typeface="Tw Cen MT" panose="020B0602020104020603" pitchFamily="34" charset="77"/>
            <a:cs typeface="Arial" panose="020B0604020202020204" pitchFamily="34" charset="0"/>
          </a:endParaRPr>
        </a:p>
      </xdr:txBody>
    </xdr:sp>
    <xdr:clientData/>
  </xdr:twoCellAnchor>
  <xdr:twoCellAnchor>
    <xdr:from>
      <xdr:col>6</xdr:col>
      <xdr:colOff>203200</xdr:colOff>
      <xdr:row>14</xdr:row>
      <xdr:rowOff>63500</xdr:rowOff>
    </xdr:from>
    <xdr:to>
      <xdr:col>10</xdr:col>
      <xdr:colOff>0</xdr:colOff>
      <xdr:row>17</xdr:row>
      <xdr:rowOff>101600</xdr:rowOff>
    </xdr:to>
    <xdr:sp macro="" textlink="">
      <xdr:nvSpPr>
        <xdr:cNvPr id="43" name="TextBox 42">
          <a:extLst>
            <a:ext uri="{FF2B5EF4-FFF2-40B4-BE49-F238E27FC236}">
              <a16:creationId xmlns:a16="http://schemas.microsoft.com/office/drawing/2014/main" id="{717D7DDA-3895-0544-B5A1-7E8E063B551F}"/>
            </a:ext>
          </a:extLst>
        </xdr:cNvPr>
        <xdr:cNvSpPr txBox="1"/>
      </xdr:nvSpPr>
      <xdr:spPr>
        <a:xfrm>
          <a:off x="5156200" y="2908300"/>
          <a:ext cx="309880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0">
              <a:solidFill>
                <a:schemeClr val="bg2">
                  <a:lumMod val="50000"/>
                </a:schemeClr>
              </a:solidFill>
              <a:latin typeface="Arial" panose="020B0604020202020204" pitchFamily="34" charset="0"/>
              <a:cs typeface="Arial" panose="020B0604020202020204" pitchFamily="34" charset="0"/>
            </a:rPr>
            <a:t>Streamuri</a:t>
          </a:r>
        </a:p>
      </xdr:txBody>
    </xdr:sp>
    <xdr:clientData/>
  </xdr:twoCellAnchor>
  <xdr:twoCellAnchor>
    <xdr:from>
      <xdr:col>4</xdr:col>
      <xdr:colOff>596900</xdr:colOff>
      <xdr:row>16</xdr:row>
      <xdr:rowOff>114300</xdr:rowOff>
    </xdr:from>
    <xdr:to>
      <xdr:col>7</xdr:col>
      <xdr:colOff>38100</xdr:colOff>
      <xdr:row>18</xdr:row>
      <xdr:rowOff>88900</xdr:rowOff>
    </xdr:to>
    <xdr:sp macro="" textlink="Pivotables!$B$15">
      <xdr:nvSpPr>
        <xdr:cNvPr id="44" name="TextBox 43">
          <a:extLst>
            <a:ext uri="{FF2B5EF4-FFF2-40B4-BE49-F238E27FC236}">
              <a16:creationId xmlns:a16="http://schemas.microsoft.com/office/drawing/2014/main" id="{4128F2E9-9F23-E441-8B1D-A3D92416DD14}"/>
            </a:ext>
          </a:extLst>
        </xdr:cNvPr>
        <xdr:cNvSpPr txBox="1"/>
      </xdr:nvSpPr>
      <xdr:spPr>
        <a:xfrm>
          <a:off x="3898900" y="3365500"/>
          <a:ext cx="19177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C96A16-09F5-0943-AEAC-C31D2F5EA89B}" type="TxLink">
            <a:rPr lang="en-US" sz="1600" b="0" i="0" u="none" strike="noStrike">
              <a:solidFill>
                <a:schemeClr val="bg1"/>
              </a:solidFill>
              <a:latin typeface="Calibri"/>
              <a:cs typeface="Calibri"/>
            </a:rPr>
            <a:pPr algn="ctr"/>
            <a:t>SUA</a:t>
          </a:fld>
          <a:endParaRPr lang="en-GB" sz="8000" b="1">
            <a:solidFill>
              <a:schemeClr val="bg1"/>
            </a:solidFill>
            <a:latin typeface="Tw Cen MT" panose="020B0602020104020603" pitchFamily="34" charset="77"/>
            <a:cs typeface="Arial" panose="020B0604020202020204" pitchFamily="34" charset="0"/>
          </a:endParaRPr>
        </a:p>
      </xdr:txBody>
    </xdr:sp>
    <xdr:clientData/>
  </xdr:twoCellAnchor>
  <xdr:twoCellAnchor>
    <xdr:from>
      <xdr:col>4</xdr:col>
      <xdr:colOff>533400</xdr:colOff>
      <xdr:row>19</xdr:row>
      <xdr:rowOff>101600</xdr:rowOff>
    </xdr:from>
    <xdr:to>
      <xdr:col>8</xdr:col>
      <xdr:colOff>114300</xdr:colOff>
      <xdr:row>22</xdr:row>
      <xdr:rowOff>139700</xdr:rowOff>
    </xdr:to>
    <xdr:sp macro="" textlink="">
      <xdr:nvSpPr>
        <xdr:cNvPr id="45" name="TextBox 44">
          <a:extLst>
            <a:ext uri="{FF2B5EF4-FFF2-40B4-BE49-F238E27FC236}">
              <a16:creationId xmlns:a16="http://schemas.microsoft.com/office/drawing/2014/main" id="{7870743F-DF7C-CA4E-B289-D66628FC629F}"/>
            </a:ext>
          </a:extLst>
        </xdr:cNvPr>
        <xdr:cNvSpPr txBox="1"/>
      </xdr:nvSpPr>
      <xdr:spPr>
        <a:xfrm>
          <a:off x="3835400" y="3962400"/>
          <a:ext cx="288290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800" b="0">
              <a:solidFill>
                <a:schemeClr val="bg2">
                  <a:lumMod val="50000"/>
                </a:schemeClr>
              </a:solidFill>
              <a:latin typeface="Arial" panose="020B0604020202020204" pitchFamily="34" charset="0"/>
              <a:cs typeface="Arial" panose="020B0604020202020204" pitchFamily="34" charset="0"/>
            </a:rPr>
            <a:t>Cea mai populară</a:t>
          </a:r>
          <a:r>
            <a:rPr lang="en-GB" sz="1800" b="0" baseline="0">
              <a:solidFill>
                <a:schemeClr val="bg2">
                  <a:lumMod val="50000"/>
                </a:schemeClr>
              </a:solidFill>
              <a:latin typeface="Arial" panose="020B0604020202020204" pitchFamily="34" charset="0"/>
              <a:cs typeface="Arial" panose="020B0604020202020204" pitchFamily="34" charset="0"/>
            </a:rPr>
            <a:t> melodie</a:t>
          </a:r>
          <a:endParaRPr lang="en-GB" sz="1800" b="0">
            <a:solidFill>
              <a:schemeClr val="bg2">
                <a:lumMod val="50000"/>
              </a:schemeClr>
            </a:solidFill>
            <a:latin typeface="Arial" panose="020B0604020202020204" pitchFamily="34" charset="0"/>
            <a:cs typeface="Arial" panose="020B0604020202020204" pitchFamily="34" charset="0"/>
          </a:endParaRPr>
        </a:p>
      </xdr:txBody>
    </xdr:sp>
    <xdr:clientData/>
  </xdr:twoCellAnchor>
  <xdr:twoCellAnchor>
    <xdr:from>
      <xdr:col>4</xdr:col>
      <xdr:colOff>508000</xdr:colOff>
      <xdr:row>21</xdr:row>
      <xdr:rowOff>127000</xdr:rowOff>
    </xdr:from>
    <xdr:to>
      <xdr:col>9</xdr:col>
      <xdr:colOff>457200</xdr:colOff>
      <xdr:row>23</xdr:row>
      <xdr:rowOff>101600</xdr:rowOff>
    </xdr:to>
    <xdr:sp macro="" textlink="Pivotables!$A$18">
      <xdr:nvSpPr>
        <xdr:cNvPr id="46" name="TextBox 45">
          <a:extLst>
            <a:ext uri="{FF2B5EF4-FFF2-40B4-BE49-F238E27FC236}">
              <a16:creationId xmlns:a16="http://schemas.microsoft.com/office/drawing/2014/main" id="{D23DD59D-3F58-184C-A429-990ED236146B}"/>
            </a:ext>
          </a:extLst>
        </xdr:cNvPr>
        <xdr:cNvSpPr txBox="1"/>
      </xdr:nvSpPr>
      <xdr:spPr>
        <a:xfrm>
          <a:off x="3810000" y="4394200"/>
          <a:ext cx="40767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5493AD0-3282-2543-B7D7-86A2C3181F42}" type="TxLink">
            <a:rPr lang="en-US" sz="1200" b="0" i="0" u="none" strike="noStrike">
              <a:solidFill>
                <a:schemeClr val="bg1"/>
              </a:solidFill>
              <a:latin typeface="Calibri"/>
              <a:cs typeface="Calibri"/>
            </a:rPr>
            <a:pPr algn="l"/>
            <a:t>Jocelyn Flores</a:t>
          </a:fld>
          <a:endParaRPr lang="en-GB" sz="4800" b="1">
            <a:solidFill>
              <a:schemeClr val="bg1"/>
            </a:solidFill>
            <a:latin typeface="Tw Cen MT" panose="020B0602020104020603" pitchFamily="34" charset="77"/>
            <a:cs typeface="Arial" panose="020B0604020202020204" pitchFamily="34" charset="0"/>
          </a:endParaRPr>
        </a:p>
      </xdr:txBody>
    </xdr:sp>
    <xdr:clientData/>
  </xdr:twoCellAnchor>
  <xdr:twoCellAnchor>
    <xdr:from>
      <xdr:col>4</xdr:col>
      <xdr:colOff>508000</xdr:colOff>
      <xdr:row>22</xdr:row>
      <xdr:rowOff>59593</xdr:rowOff>
    </xdr:from>
    <xdr:to>
      <xdr:col>7</xdr:col>
      <xdr:colOff>590062</xdr:colOff>
      <xdr:row>25</xdr:row>
      <xdr:rowOff>97693</xdr:rowOff>
    </xdr:to>
    <xdr:sp macro="" textlink="">
      <xdr:nvSpPr>
        <xdr:cNvPr id="47" name="TextBox 46">
          <a:extLst>
            <a:ext uri="{FF2B5EF4-FFF2-40B4-BE49-F238E27FC236}">
              <a16:creationId xmlns:a16="http://schemas.microsoft.com/office/drawing/2014/main" id="{D81F2E49-4D83-9845-903A-BA881CB9D7C0}"/>
            </a:ext>
          </a:extLst>
        </xdr:cNvPr>
        <xdr:cNvSpPr txBox="1"/>
      </xdr:nvSpPr>
      <xdr:spPr>
        <a:xfrm>
          <a:off x="3810000" y="4529993"/>
          <a:ext cx="2558562"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800" b="0" baseline="0">
              <a:solidFill>
                <a:schemeClr val="bg2">
                  <a:lumMod val="50000"/>
                </a:schemeClr>
              </a:solidFill>
              <a:latin typeface="Arial" panose="020B0604020202020204" pitchFamily="34" charset="0"/>
              <a:cs typeface="Arial" panose="020B0604020202020204" pitchFamily="34" charset="0"/>
            </a:rPr>
            <a:t>Apariții in Trending</a:t>
          </a:r>
        </a:p>
      </xdr:txBody>
    </xdr:sp>
    <xdr:clientData/>
  </xdr:twoCellAnchor>
  <xdr:twoCellAnchor>
    <xdr:from>
      <xdr:col>4</xdr:col>
      <xdr:colOff>508000</xdr:colOff>
      <xdr:row>24</xdr:row>
      <xdr:rowOff>76200</xdr:rowOff>
    </xdr:from>
    <xdr:to>
      <xdr:col>6</xdr:col>
      <xdr:colOff>774700</xdr:colOff>
      <xdr:row>26</xdr:row>
      <xdr:rowOff>50800</xdr:rowOff>
    </xdr:to>
    <xdr:sp macro="" textlink="Pivotables!$E$17">
      <xdr:nvSpPr>
        <xdr:cNvPr id="48" name="TextBox 47">
          <a:extLst>
            <a:ext uri="{FF2B5EF4-FFF2-40B4-BE49-F238E27FC236}">
              <a16:creationId xmlns:a16="http://schemas.microsoft.com/office/drawing/2014/main" id="{C944CF1C-C7D9-D14D-BC84-D9FD91CDCF3F}"/>
            </a:ext>
          </a:extLst>
        </xdr:cNvPr>
        <xdr:cNvSpPr txBox="1"/>
      </xdr:nvSpPr>
      <xdr:spPr>
        <a:xfrm>
          <a:off x="3810000" y="4953000"/>
          <a:ext cx="19177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9A3F607-CC28-4040-ACE7-FE56488587E8}" type="TxLink">
            <a:rPr lang="en-US" sz="1800" b="1" i="0" u="none" strike="noStrike">
              <a:solidFill>
                <a:schemeClr val="bg1"/>
              </a:solidFill>
              <a:latin typeface="Calibri"/>
              <a:cs typeface="Calibri"/>
            </a:rPr>
            <a:pPr algn="l"/>
            <a:t>4</a:t>
          </a:fld>
          <a:endParaRPr lang="en-GB" sz="13800" b="1">
            <a:solidFill>
              <a:schemeClr val="bg1"/>
            </a:solidFill>
            <a:latin typeface="Tw Cen MT" panose="020B0602020104020603" pitchFamily="34" charset="77"/>
            <a:cs typeface="Arial" panose="020B0604020202020204" pitchFamily="34" charset="0"/>
          </a:endParaRPr>
        </a:p>
      </xdr:txBody>
    </xdr:sp>
    <xdr:clientData/>
  </xdr:twoCellAnchor>
  <xdr:twoCellAnchor>
    <xdr:from>
      <xdr:col>9</xdr:col>
      <xdr:colOff>52268</xdr:colOff>
      <xdr:row>17</xdr:row>
      <xdr:rowOff>83528</xdr:rowOff>
    </xdr:from>
    <xdr:to>
      <xdr:col>9</xdr:col>
      <xdr:colOff>705829</xdr:colOff>
      <xdr:row>32</xdr:row>
      <xdr:rowOff>124558</xdr:rowOff>
    </xdr:to>
    <xdr:sp macro="" textlink="">
      <xdr:nvSpPr>
        <xdr:cNvPr id="50" name="TextBox 49">
          <a:extLst>
            <a:ext uri="{FF2B5EF4-FFF2-40B4-BE49-F238E27FC236}">
              <a16:creationId xmlns:a16="http://schemas.microsoft.com/office/drawing/2014/main" id="{A7AAD038-395F-B144-AB5D-A7955AE87BF0}"/>
            </a:ext>
          </a:extLst>
        </xdr:cNvPr>
        <xdr:cNvSpPr txBox="1"/>
      </xdr:nvSpPr>
      <xdr:spPr>
        <a:xfrm rot="16200000">
          <a:off x="6293342" y="4803531"/>
          <a:ext cx="3118338" cy="653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0">
              <a:solidFill>
                <a:schemeClr val="bg2">
                  <a:lumMod val="50000"/>
                </a:schemeClr>
              </a:solidFill>
              <a:latin typeface="Arial" panose="020B0604020202020204" pitchFamily="34" charset="0"/>
              <a:cs typeface="Arial" panose="020B0604020202020204" pitchFamily="34" charset="0"/>
            </a:rPr>
            <a:t>Artifst info.</a:t>
          </a:r>
          <a:endParaRPr lang="en-GB" sz="1800" b="0">
            <a:solidFill>
              <a:schemeClr val="bg2">
                <a:lumMod val="50000"/>
              </a:schemeClr>
            </a:solidFill>
            <a:latin typeface="Arial" panose="020B0604020202020204" pitchFamily="34" charset="0"/>
            <a:cs typeface="Arial" panose="020B0604020202020204" pitchFamily="34" charset="0"/>
          </a:endParaRPr>
        </a:p>
      </xdr:txBody>
    </xdr:sp>
    <xdr:clientData/>
  </xdr:twoCellAnchor>
  <xdr:twoCellAnchor>
    <xdr:from>
      <xdr:col>10</xdr:col>
      <xdr:colOff>107462</xdr:colOff>
      <xdr:row>14</xdr:row>
      <xdr:rowOff>9769</xdr:rowOff>
    </xdr:from>
    <xdr:to>
      <xdr:col>15</xdr:col>
      <xdr:colOff>576385</xdr:colOff>
      <xdr:row>26</xdr:row>
      <xdr:rowOff>146538</xdr:rowOff>
    </xdr:to>
    <xdr:grpSp>
      <xdr:nvGrpSpPr>
        <xdr:cNvPr id="36" name="Group 35">
          <a:extLst>
            <a:ext uri="{FF2B5EF4-FFF2-40B4-BE49-F238E27FC236}">
              <a16:creationId xmlns:a16="http://schemas.microsoft.com/office/drawing/2014/main" id="{553AA76B-92C8-5C41-988D-841B2977213B}"/>
            </a:ext>
          </a:extLst>
        </xdr:cNvPr>
        <xdr:cNvGrpSpPr/>
      </xdr:nvGrpSpPr>
      <xdr:grpSpPr>
        <a:xfrm>
          <a:off x="8362462" y="2899019"/>
          <a:ext cx="4596423" cy="2613269"/>
          <a:chOff x="8098692" y="3126154"/>
          <a:chExt cx="4708770" cy="2598615"/>
        </a:xfrm>
      </xdr:grpSpPr>
      <xdr:sp macro="" textlink="">
        <xdr:nvSpPr>
          <xdr:cNvPr id="17" name="Rounded Rectangle 16">
            <a:extLst>
              <a:ext uri="{FF2B5EF4-FFF2-40B4-BE49-F238E27FC236}">
                <a16:creationId xmlns:a16="http://schemas.microsoft.com/office/drawing/2014/main" id="{3DFB0740-20BD-9844-BE47-071B1FEC39F7}"/>
              </a:ext>
            </a:extLst>
          </xdr:cNvPr>
          <xdr:cNvSpPr/>
        </xdr:nvSpPr>
        <xdr:spPr>
          <a:xfrm>
            <a:off x="8538308" y="5119076"/>
            <a:ext cx="3800230" cy="605693"/>
          </a:xfrm>
          <a:prstGeom prst="round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effectLst>
                <a:outerShdw blurRad="165100" dist="38100" dir="5400000" sx="102000" sy="102000" algn="t" rotWithShape="0">
                  <a:prstClr val="black">
                    <a:alpha val="40000"/>
                  </a:prstClr>
                </a:outerShdw>
              </a:effectLst>
            </a:endParaRPr>
          </a:p>
        </xdr:txBody>
      </xdr:sp>
      <xdr:sp macro="" textlink="">
        <xdr:nvSpPr>
          <xdr:cNvPr id="51" name="Rounded Rectangle 50">
            <a:extLst>
              <a:ext uri="{FF2B5EF4-FFF2-40B4-BE49-F238E27FC236}">
                <a16:creationId xmlns:a16="http://schemas.microsoft.com/office/drawing/2014/main" id="{662E6178-E4D0-5144-A671-3AC7C654F938}"/>
              </a:ext>
            </a:extLst>
          </xdr:cNvPr>
          <xdr:cNvSpPr/>
        </xdr:nvSpPr>
        <xdr:spPr>
          <a:xfrm>
            <a:off x="8235461" y="4177322"/>
            <a:ext cx="4405923" cy="1225296"/>
          </a:xfrm>
          <a:prstGeom prst="roundRect">
            <a:avLst/>
          </a:prstGeom>
          <a:solidFill>
            <a:srgbClr val="100F1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effectLst>
                <a:outerShdw dist="38100" dir="5400000" algn="t" rotWithShape="0">
                  <a:prstClr val="black">
                    <a:alpha val="40000"/>
                  </a:prstClr>
                </a:outerShdw>
              </a:effectLst>
            </a:endParaRPr>
          </a:p>
        </xdr:txBody>
      </xdr:sp>
      <xdr:sp macro="" textlink="">
        <xdr:nvSpPr>
          <xdr:cNvPr id="52" name="Rounded Rectangle 51">
            <a:extLst>
              <a:ext uri="{FF2B5EF4-FFF2-40B4-BE49-F238E27FC236}">
                <a16:creationId xmlns:a16="http://schemas.microsoft.com/office/drawing/2014/main" id="{8B2C147E-7E07-3342-A905-6D4C6658714B}"/>
              </a:ext>
            </a:extLst>
          </xdr:cNvPr>
          <xdr:cNvSpPr/>
        </xdr:nvSpPr>
        <xdr:spPr>
          <a:xfrm>
            <a:off x="8098692" y="3126154"/>
            <a:ext cx="4708770" cy="1940169"/>
          </a:xfrm>
          <a:prstGeom prst="roundRect">
            <a:avLst/>
          </a:prstGeom>
          <a:solidFill>
            <a:srgbClr val="17172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effectLst>
                <a:outerShdw blurRad="50800" dist="38100" dir="5400000" algn="t" rotWithShape="0">
                  <a:prstClr val="black">
                    <a:alpha val="74000"/>
                  </a:prstClr>
                </a:outerShdw>
              </a:effectLst>
            </a:endParaRPr>
          </a:p>
        </xdr:txBody>
      </xdr:sp>
    </xdr:grpSp>
    <xdr:clientData/>
  </xdr:twoCellAnchor>
  <xdr:twoCellAnchor editAs="oneCell">
    <xdr:from>
      <xdr:col>8</xdr:col>
      <xdr:colOff>566615</xdr:colOff>
      <xdr:row>25</xdr:row>
      <xdr:rowOff>84015</xdr:rowOff>
    </xdr:from>
    <xdr:to>
      <xdr:col>9</xdr:col>
      <xdr:colOff>224691</xdr:colOff>
      <xdr:row>27</xdr:row>
      <xdr:rowOff>162168</xdr:rowOff>
    </xdr:to>
    <xdr:pic>
      <xdr:nvPicPr>
        <xdr:cNvPr id="39" name="Picture 38">
          <a:extLst>
            <a:ext uri="{FF2B5EF4-FFF2-40B4-BE49-F238E27FC236}">
              <a16:creationId xmlns:a16="http://schemas.microsoft.com/office/drawing/2014/main" id="{2BCF2161-6BB2-BE4F-8015-FCC2B25B1C0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209692" y="5212861"/>
          <a:ext cx="488461" cy="488461"/>
        </a:xfrm>
        <a:prstGeom prst="rect">
          <a:avLst/>
        </a:prstGeom>
      </xdr:spPr>
    </xdr:pic>
    <xdr:clientData/>
  </xdr:twoCellAnchor>
  <xdr:twoCellAnchor>
    <xdr:from>
      <xdr:col>10</xdr:col>
      <xdr:colOff>410308</xdr:colOff>
      <xdr:row>15</xdr:row>
      <xdr:rowOff>87921</xdr:rowOff>
    </xdr:from>
    <xdr:to>
      <xdr:col>15</xdr:col>
      <xdr:colOff>293078</xdr:colOff>
      <xdr:row>22</xdr:row>
      <xdr:rowOff>175845</xdr:rowOff>
    </xdr:to>
    <xdr:graphicFrame macro="">
      <xdr:nvGraphicFramePr>
        <xdr:cNvPr id="60" name="Chart 59">
          <a:extLst>
            <a:ext uri="{FF2B5EF4-FFF2-40B4-BE49-F238E27FC236}">
              <a16:creationId xmlns:a16="http://schemas.microsoft.com/office/drawing/2014/main" id="{778467D6-FDC2-FE47-AF6E-7168EE941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683847</xdr:colOff>
      <xdr:row>13</xdr:row>
      <xdr:rowOff>123093</xdr:rowOff>
    </xdr:from>
    <xdr:to>
      <xdr:col>15</xdr:col>
      <xdr:colOff>68386</xdr:colOff>
      <xdr:row>16</xdr:row>
      <xdr:rowOff>161192</xdr:rowOff>
    </xdr:to>
    <xdr:sp macro="" textlink="">
      <xdr:nvSpPr>
        <xdr:cNvPr id="61" name="TextBox 60">
          <a:extLst>
            <a:ext uri="{FF2B5EF4-FFF2-40B4-BE49-F238E27FC236}">
              <a16:creationId xmlns:a16="http://schemas.microsoft.com/office/drawing/2014/main" id="{268A30B2-A562-2C4B-871C-A48B420AA338}"/>
            </a:ext>
          </a:extLst>
        </xdr:cNvPr>
        <xdr:cNvSpPr txBox="1"/>
      </xdr:nvSpPr>
      <xdr:spPr>
        <a:xfrm>
          <a:off x="8987693" y="2790093"/>
          <a:ext cx="3536462" cy="653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0">
              <a:solidFill>
                <a:schemeClr val="bg1"/>
              </a:solidFill>
              <a:latin typeface="Arial" panose="020B0604020202020204" pitchFamily="34" charset="0"/>
              <a:cs typeface="Arial" panose="020B0604020202020204" pitchFamily="34" charset="0"/>
            </a:rPr>
            <a:t>Venituri</a:t>
          </a:r>
          <a:r>
            <a:rPr lang="en-GB" sz="1800" b="0" baseline="0">
              <a:solidFill>
                <a:schemeClr val="bg1"/>
              </a:solidFill>
              <a:latin typeface="Arial" panose="020B0604020202020204" pitchFamily="34" charset="0"/>
              <a:cs typeface="Arial" panose="020B0604020202020204" pitchFamily="34" charset="0"/>
            </a:rPr>
            <a:t> individuale </a:t>
          </a:r>
          <a:endParaRPr lang="en-GB" sz="1800" b="0">
            <a:solidFill>
              <a:schemeClr val="bg1"/>
            </a:solidFill>
            <a:latin typeface="Arial" panose="020B0604020202020204" pitchFamily="34" charset="0"/>
            <a:cs typeface="Arial" panose="020B0604020202020204" pitchFamily="34" charset="0"/>
          </a:endParaRPr>
        </a:p>
      </xdr:txBody>
    </xdr:sp>
    <xdr:clientData/>
  </xdr:twoCellAnchor>
  <xdr:twoCellAnchor>
    <xdr:from>
      <xdr:col>16</xdr:col>
      <xdr:colOff>85617</xdr:colOff>
      <xdr:row>29</xdr:row>
      <xdr:rowOff>54016</xdr:rowOff>
    </xdr:from>
    <xdr:to>
      <xdr:col>20</xdr:col>
      <xdr:colOff>670399</xdr:colOff>
      <xdr:row>40</xdr:row>
      <xdr:rowOff>169920</xdr:rowOff>
    </xdr:to>
    <xdr:sp macro="" textlink="">
      <xdr:nvSpPr>
        <xdr:cNvPr id="62" name="Rounded Rectangle 61">
          <a:extLst>
            <a:ext uri="{FF2B5EF4-FFF2-40B4-BE49-F238E27FC236}">
              <a16:creationId xmlns:a16="http://schemas.microsoft.com/office/drawing/2014/main" id="{243F2D7C-ED90-F042-ACBD-52F22D7D3300}"/>
            </a:ext>
          </a:extLst>
        </xdr:cNvPr>
        <xdr:cNvSpPr/>
      </xdr:nvSpPr>
      <xdr:spPr>
        <a:xfrm>
          <a:off x="13327864" y="5847499"/>
          <a:ext cx="3895344" cy="2313432"/>
        </a:xfrm>
        <a:prstGeom prst="roundRect">
          <a:avLst/>
        </a:prstGeom>
        <a:solidFill>
          <a:srgbClr val="17172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effectLst>
              <a:outerShdw blurRad="50800" dist="38100" dir="5400000" algn="t" rotWithShape="0">
                <a:prstClr val="black">
                  <a:alpha val="74000"/>
                </a:prstClr>
              </a:outerShdw>
            </a:effectLst>
          </a:endParaRPr>
        </a:p>
      </xdr:txBody>
    </xdr:sp>
    <xdr:clientData/>
  </xdr:twoCellAnchor>
  <xdr:twoCellAnchor>
    <xdr:from>
      <xdr:col>16</xdr:col>
      <xdr:colOff>711290</xdr:colOff>
      <xdr:row>30</xdr:row>
      <xdr:rowOff>178744</xdr:rowOff>
    </xdr:from>
    <xdr:to>
      <xdr:col>20</xdr:col>
      <xdr:colOff>299664</xdr:colOff>
      <xdr:row>36</xdr:row>
      <xdr:rowOff>171235</xdr:rowOff>
    </xdr:to>
    <xdr:sp macro="" textlink="">
      <xdr:nvSpPr>
        <xdr:cNvPr id="63" name="TextBox 62">
          <a:extLst>
            <a:ext uri="{FF2B5EF4-FFF2-40B4-BE49-F238E27FC236}">
              <a16:creationId xmlns:a16="http://schemas.microsoft.com/office/drawing/2014/main" id="{982F8FFE-35A2-B74E-8513-13CC997B0125}"/>
            </a:ext>
          </a:extLst>
        </xdr:cNvPr>
        <xdr:cNvSpPr txBox="1"/>
      </xdr:nvSpPr>
      <xdr:spPr>
        <a:xfrm>
          <a:off x="13953537" y="6172002"/>
          <a:ext cx="2898936" cy="1191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700" b="0">
              <a:solidFill>
                <a:schemeClr val="bg1"/>
              </a:solidFill>
              <a:latin typeface="Arial" panose="020B0604020202020204" pitchFamily="34" charset="0"/>
              <a:cs typeface="Arial" panose="020B0604020202020204" pitchFamily="34" charset="0"/>
            </a:rPr>
            <a:t>În</a:t>
          </a:r>
          <a:r>
            <a:rPr lang="en-GB" sz="1700" b="0" baseline="0">
              <a:solidFill>
                <a:schemeClr val="bg1"/>
              </a:solidFill>
              <a:latin typeface="Arial" panose="020B0604020202020204" pitchFamily="34" charset="0"/>
              <a:cs typeface="Arial" panose="020B0604020202020204" pitchFamily="34" charset="0"/>
            </a:rPr>
            <a:t> medie, o melodie care nu e în colaborare cu alt artist are venituri mai mari cu </a:t>
          </a:r>
          <a:r>
            <a:rPr lang="en-GB" sz="1700" b="0" baseline="0">
              <a:solidFill>
                <a:schemeClr val="accent6">
                  <a:lumMod val="60000"/>
                  <a:lumOff val="40000"/>
                </a:schemeClr>
              </a:solidFill>
              <a:latin typeface="Arial" panose="020B0604020202020204" pitchFamily="34" charset="0"/>
              <a:cs typeface="Arial" panose="020B0604020202020204" pitchFamily="34" charset="0"/>
            </a:rPr>
            <a:t>28%</a:t>
          </a:r>
          <a:r>
            <a:rPr lang="en-GB" sz="1700" b="0" baseline="0">
              <a:solidFill>
                <a:schemeClr val="bg1"/>
              </a:solidFill>
              <a:latin typeface="Arial" panose="020B0604020202020204" pitchFamily="34" charset="0"/>
              <a:cs typeface="Arial" panose="020B0604020202020204" pitchFamily="34" charset="0"/>
            </a:rPr>
            <a:t> </a:t>
          </a:r>
          <a:endParaRPr lang="en-GB" sz="1700" b="0">
            <a:solidFill>
              <a:schemeClr val="bg1"/>
            </a:solidFill>
            <a:latin typeface="Arial" panose="020B0604020202020204" pitchFamily="34" charset="0"/>
            <a:cs typeface="Arial" panose="020B0604020202020204" pitchFamily="34" charset="0"/>
          </a:endParaRPr>
        </a:p>
      </xdr:txBody>
    </xdr:sp>
    <xdr:clientData/>
  </xdr:twoCellAnchor>
  <xdr:twoCellAnchor>
    <xdr:from>
      <xdr:col>19</xdr:col>
      <xdr:colOff>227601</xdr:colOff>
      <xdr:row>37</xdr:row>
      <xdr:rowOff>82620</xdr:rowOff>
    </xdr:from>
    <xdr:to>
      <xdr:col>21</xdr:col>
      <xdr:colOff>341902</xdr:colOff>
      <xdr:row>40</xdr:row>
      <xdr:rowOff>120720</xdr:rowOff>
    </xdr:to>
    <xdr:sp macro="" textlink="Pivotables!$J$7">
      <xdr:nvSpPr>
        <xdr:cNvPr id="64" name="TextBox 63">
          <a:extLst>
            <a:ext uri="{FF2B5EF4-FFF2-40B4-BE49-F238E27FC236}">
              <a16:creationId xmlns:a16="http://schemas.microsoft.com/office/drawing/2014/main" id="{331DB117-1B1E-EE4D-BDF6-018BD6818488}"/>
            </a:ext>
          </a:extLst>
        </xdr:cNvPr>
        <xdr:cNvSpPr txBox="1"/>
      </xdr:nvSpPr>
      <xdr:spPr>
        <a:xfrm>
          <a:off x="15952770" y="7474305"/>
          <a:ext cx="1769581" cy="637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5EF1530-5ED1-6E4B-9487-80F31A7C494E}" type="TxLink">
            <a:rPr lang="en-US" sz="1200" b="0" i="0" u="none" strike="noStrike">
              <a:solidFill>
                <a:schemeClr val="bg1"/>
              </a:solidFill>
              <a:latin typeface="Tw Cen MT" panose="020B0602020104020603" pitchFamily="34" charset="77"/>
              <a:cs typeface="Calibri"/>
            </a:rPr>
            <a:pPr/>
            <a:t> $47.686 </a:t>
          </a:fld>
          <a:endParaRPr lang="en-GB" sz="2400" b="1">
            <a:solidFill>
              <a:schemeClr val="bg1"/>
            </a:solidFill>
            <a:latin typeface="Tw Cen MT" panose="020B0602020104020603" pitchFamily="34" charset="77"/>
            <a:cs typeface="Arial" panose="020B0604020202020204" pitchFamily="34" charset="0"/>
          </a:endParaRPr>
        </a:p>
      </xdr:txBody>
    </xdr:sp>
    <xdr:clientData/>
  </xdr:twoCellAnchor>
  <xdr:twoCellAnchor>
    <xdr:from>
      <xdr:col>17</xdr:col>
      <xdr:colOff>51798</xdr:colOff>
      <xdr:row>37</xdr:row>
      <xdr:rowOff>82620</xdr:rowOff>
    </xdr:from>
    <xdr:to>
      <xdr:col>19</xdr:col>
      <xdr:colOff>166098</xdr:colOff>
      <xdr:row>40</xdr:row>
      <xdr:rowOff>120720</xdr:rowOff>
    </xdr:to>
    <xdr:sp macro="" textlink="Pivotables!$J$6">
      <xdr:nvSpPr>
        <xdr:cNvPr id="65" name="TextBox 64">
          <a:extLst>
            <a:ext uri="{FF2B5EF4-FFF2-40B4-BE49-F238E27FC236}">
              <a16:creationId xmlns:a16="http://schemas.microsoft.com/office/drawing/2014/main" id="{69368F7D-DDBE-204E-8683-F200B3309A7E}"/>
            </a:ext>
          </a:extLst>
        </xdr:cNvPr>
        <xdr:cNvSpPr txBox="1"/>
      </xdr:nvSpPr>
      <xdr:spPr>
        <a:xfrm>
          <a:off x="14121686" y="7474305"/>
          <a:ext cx="1769581" cy="637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F6F48F-A50C-C347-ABDC-3376FFC43EF6}" type="TxLink">
            <a:rPr lang="en-US" sz="1200" b="0" i="0" u="none" strike="noStrike">
              <a:solidFill>
                <a:schemeClr val="bg1"/>
              </a:solidFill>
              <a:latin typeface="Tw Cen MT" panose="020B0602020104020603" pitchFamily="34" charset="77"/>
              <a:cs typeface="Calibri"/>
            </a:rPr>
            <a:pPr/>
            <a:t> $66.271 </a:t>
          </a:fld>
          <a:endParaRPr lang="en-GB" sz="2400" b="1">
            <a:solidFill>
              <a:schemeClr val="bg1"/>
            </a:solidFill>
            <a:latin typeface="Tw Cen MT" panose="020B0602020104020603" pitchFamily="34" charset="77"/>
            <a:cs typeface="Arial" panose="020B0604020202020204" pitchFamily="34" charset="0"/>
          </a:endParaRPr>
        </a:p>
      </xdr:txBody>
    </xdr:sp>
    <xdr:clientData/>
  </xdr:twoCellAnchor>
  <xdr:twoCellAnchor>
    <xdr:from>
      <xdr:col>17</xdr:col>
      <xdr:colOff>458374</xdr:colOff>
      <xdr:row>37</xdr:row>
      <xdr:rowOff>82620</xdr:rowOff>
    </xdr:from>
    <xdr:to>
      <xdr:col>19</xdr:col>
      <xdr:colOff>572674</xdr:colOff>
      <xdr:row>40</xdr:row>
      <xdr:rowOff>120720</xdr:rowOff>
    </xdr:to>
    <xdr:sp macro="" textlink="">
      <xdr:nvSpPr>
        <xdr:cNvPr id="66" name="TextBox 65">
          <a:extLst>
            <a:ext uri="{FF2B5EF4-FFF2-40B4-BE49-F238E27FC236}">
              <a16:creationId xmlns:a16="http://schemas.microsoft.com/office/drawing/2014/main" id="{4172FDD3-1663-374E-9680-B8F77C0B8889}"/>
            </a:ext>
          </a:extLst>
        </xdr:cNvPr>
        <xdr:cNvSpPr txBox="1"/>
      </xdr:nvSpPr>
      <xdr:spPr>
        <a:xfrm>
          <a:off x="14528262" y="7474305"/>
          <a:ext cx="1769581" cy="637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bg2"/>
              </a:solidFill>
              <a:latin typeface="Tw Cen MT" panose="020B0602020104020603" pitchFamily="34" charset="77"/>
              <a:cs typeface="Calibri"/>
            </a:rPr>
            <a:t>Da/Nu</a:t>
          </a:r>
        </a:p>
        <a:p>
          <a:endParaRPr lang="en-US" sz="1200" b="1" i="0" u="none" strike="noStrike">
            <a:solidFill>
              <a:schemeClr val="bg2"/>
            </a:solidFill>
            <a:latin typeface="Tw Cen MT" panose="020B0602020104020603" pitchFamily="34" charset="77"/>
            <a:cs typeface="Calibri"/>
          </a:endParaRPr>
        </a:p>
      </xdr:txBody>
    </xdr:sp>
    <xdr:clientData/>
  </xdr:twoCellAnchor>
  <xdr:twoCellAnchor>
    <xdr:from>
      <xdr:col>16</xdr:col>
      <xdr:colOff>666821</xdr:colOff>
      <xdr:row>35</xdr:row>
      <xdr:rowOff>54368</xdr:rowOff>
    </xdr:from>
    <xdr:to>
      <xdr:col>20</xdr:col>
      <xdr:colOff>463621</xdr:colOff>
      <xdr:row>38</xdr:row>
      <xdr:rowOff>92468</xdr:rowOff>
    </xdr:to>
    <xdr:sp macro="" textlink="">
      <xdr:nvSpPr>
        <xdr:cNvPr id="68" name="TextBox 67">
          <a:extLst>
            <a:ext uri="{FF2B5EF4-FFF2-40B4-BE49-F238E27FC236}">
              <a16:creationId xmlns:a16="http://schemas.microsoft.com/office/drawing/2014/main" id="{E86156FD-11A6-3748-9639-BBD2A0E3B590}"/>
            </a:ext>
          </a:extLst>
        </xdr:cNvPr>
        <xdr:cNvSpPr txBox="1"/>
      </xdr:nvSpPr>
      <xdr:spPr>
        <a:xfrm>
          <a:off x="13909068" y="7046503"/>
          <a:ext cx="3107362" cy="637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0">
              <a:solidFill>
                <a:schemeClr val="bg2">
                  <a:lumMod val="50000"/>
                </a:schemeClr>
              </a:solidFill>
              <a:latin typeface="Arial" panose="020B0604020202020204" pitchFamily="34" charset="0"/>
              <a:cs typeface="Arial" panose="020B0604020202020204" pitchFamily="34" charset="0"/>
            </a:rPr>
            <a:t>Venituri</a:t>
          </a:r>
          <a:r>
            <a:rPr lang="en-GB" sz="1400" b="0" baseline="0">
              <a:solidFill>
                <a:schemeClr val="bg2">
                  <a:lumMod val="50000"/>
                </a:schemeClr>
              </a:solidFill>
              <a:latin typeface="Arial" panose="020B0604020202020204" pitchFamily="34" charset="0"/>
              <a:cs typeface="Arial" panose="020B0604020202020204" pitchFamily="34" charset="0"/>
            </a:rPr>
            <a:t> medii colaborare</a:t>
          </a:r>
          <a:endParaRPr lang="en-GB" sz="1400" b="0">
            <a:solidFill>
              <a:schemeClr val="bg2">
                <a:lumMod val="50000"/>
              </a:schemeClr>
            </a:solidFill>
            <a:latin typeface="Arial" panose="020B0604020202020204" pitchFamily="34" charset="0"/>
            <a:cs typeface="Arial" panose="020B0604020202020204" pitchFamily="34" charset="0"/>
          </a:endParaRPr>
        </a:p>
      </xdr:txBody>
    </xdr:sp>
    <xdr:clientData/>
  </xdr:twoCellAnchor>
  <xdr:twoCellAnchor>
    <xdr:from>
      <xdr:col>3</xdr:col>
      <xdr:colOff>652794</xdr:colOff>
      <xdr:row>29</xdr:row>
      <xdr:rowOff>54016</xdr:rowOff>
    </xdr:from>
    <xdr:to>
      <xdr:col>8</xdr:col>
      <xdr:colOff>409289</xdr:colOff>
      <xdr:row>40</xdr:row>
      <xdr:rowOff>166669</xdr:rowOff>
    </xdr:to>
    <xdr:sp macro="" textlink="">
      <xdr:nvSpPr>
        <xdr:cNvPr id="70" name="Rounded Rectangle 69">
          <a:extLst>
            <a:ext uri="{FF2B5EF4-FFF2-40B4-BE49-F238E27FC236}">
              <a16:creationId xmlns:a16="http://schemas.microsoft.com/office/drawing/2014/main" id="{8EAB7A79-16DA-AE4A-910A-F940762CF037}"/>
            </a:ext>
          </a:extLst>
        </xdr:cNvPr>
        <xdr:cNvSpPr/>
      </xdr:nvSpPr>
      <xdr:spPr>
        <a:xfrm>
          <a:off x="3135715" y="5847499"/>
          <a:ext cx="3894698" cy="2310181"/>
        </a:xfrm>
        <a:prstGeom prst="roundRect">
          <a:avLst/>
        </a:prstGeom>
        <a:solidFill>
          <a:srgbClr val="17172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824031</xdr:colOff>
      <xdr:row>31</xdr:row>
      <xdr:rowOff>1503</xdr:rowOff>
    </xdr:from>
    <xdr:to>
      <xdr:col>8</xdr:col>
      <xdr:colOff>171236</xdr:colOff>
      <xdr:row>39</xdr:row>
      <xdr:rowOff>128427</xdr:rowOff>
    </xdr:to>
    <xdr:graphicFrame macro="">
      <xdr:nvGraphicFramePr>
        <xdr:cNvPr id="72" name="Chart 71">
          <a:extLst>
            <a:ext uri="{FF2B5EF4-FFF2-40B4-BE49-F238E27FC236}">
              <a16:creationId xmlns:a16="http://schemas.microsoft.com/office/drawing/2014/main" id="{E49847A7-0171-2D47-A52E-002142D1A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662497</xdr:colOff>
      <xdr:row>29</xdr:row>
      <xdr:rowOff>54016</xdr:rowOff>
    </xdr:from>
    <xdr:to>
      <xdr:col>14</xdr:col>
      <xdr:colOff>418993</xdr:colOff>
      <xdr:row>40</xdr:row>
      <xdr:rowOff>166669</xdr:rowOff>
    </xdr:to>
    <xdr:sp macro="" textlink="">
      <xdr:nvSpPr>
        <xdr:cNvPr id="73" name="Rounded Rectangle 72">
          <a:extLst>
            <a:ext uri="{FF2B5EF4-FFF2-40B4-BE49-F238E27FC236}">
              <a16:creationId xmlns:a16="http://schemas.microsoft.com/office/drawing/2014/main" id="{6B7B21B8-3025-8845-A882-6930C6A41F4F}"/>
            </a:ext>
          </a:extLst>
        </xdr:cNvPr>
        <xdr:cNvSpPr/>
      </xdr:nvSpPr>
      <xdr:spPr>
        <a:xfrm>
          <a:off x="8111261" y="5847499"/>
          <a:ext cx="3894698" cy="2310181"/>
        </a:xfrm>
        <a:prstGeom prst="roundRect">
          <a:avLst/>
        </a:prstGeom>
        <a:solidFill>
          <a:srgbClr val="17172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256681</xdr:colOff>
      <xdr:row>32</xdr:row>
      <xdr:rowOff>195793</xdr:rowOff>
    </xdr:from>
    <xdr:to>
      <xdr:col>14</xdr:col>
      <xdr:colOff>179917</xdr:colOff>
      <xdr:row>39</xdr:row>
      <xdr:rowOff>137951</xdr:rowOff>
    </xdr:to>
    <xdr:sp macro="" textlink="Pivotables!J31">
      <xdr:nvSpPr>
        <xdr:cNvPr id="75" name="TextBox 74">
          <a:extLst>
            <a:ext uri="{FF2B5EF4-FFF2-40B4-BE49-F238E27FC236}">
              <a16:creationId xmlns:a16="http://schemas.microsoft.com/office/drawing/2014/main" id="{378A9A4F-8A95-3740-A385-CA7D7829722B}"/>
            </a:ext>
          </a:extLst>
        </xdr:cNvPr>
        <xdr:cNvSpPr txBox="1"/>
      </xdr:nvSpPr>
      <xdr:spPr>
        <a:xfrm>
          <a:off x="8511681" y="6799793"/>
          <a:ext cx="3225236" cy="1386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AD76E8-48D9-E448-A385-1929B9E37D74}" type="TxLink">
            <a:rPr lang="en-US" sz="2800" b="0" i="0" u="none" strike="noStrike">
              <a:solidFill>
                <a:schemeClr val="bg1"/>
              </a:solidFill>
              <a:latin typeface="Calibri"/>
              <a:cs typeface="Calibri"/>
            </a:rPr>
            <a:pPr algn="ctr"/>
            <a:t>212%</a:t>
          </a:fld>
          <a:endParaRPr lang="en-GB" sz="7200" b="0">
            <a:solidFill>
              <a:schemeClr val="bg1"/>
            </a:solidFill>
            <a:latin typeface="Arial" panose="020B0604020202020204" pitchFamily="34" charset="0"/>
            <a:cs typeface="Arial" panose="020B0604020202020204" pitchFamily="34" charset="0"/>
          </a:endParaRPr>
        </a:p>
      </xdr:txBody>
    </xdr:sp>
    <xdr:clientData/>
  </xdr:twoCellAnchor>
  <xdr:twoCellAnchor>
    <xdr:from>
      <xdr:col>10</xdr:col>
      <xdr:colOff>242922</xdr:colOff>
      <xdr:row>29</xdr:row>
      <xdr:rowOff>101600</xdr:rowOff>
    </xdr:from>
    <xdr:to>
      <xdr:col>14</xdr:col>
      <xdr:colOff>200025</xdr:colOff>
      <xdr:row>35</xdr:row>
      <xdr:rowOff>128425</xdr:rowOff>
    </xdr:to>
    <xdr:sp macro="" textlink="Pivotables!J28">
      <xdr:nvSpPr>
        <xdr:cNvPr id="69" name="TextBox 68">
          <a:extLst>
            <a:ext uri="{FF2B5EF4-FFF2-40B4-BE49-F238E27FC236}">
              <a16:creationId xmlns:a16="http://schemas.microsoft.com/office/drawing/2014/main" id="{C387A910-8C89-E449-8BD1-3CE0A1E9131B}"/>
            </a:ext>
          </a:extLst>
        </xdr:cNvPr>
        <xdr:cNvSpPr txBox="1"/>
      </xdr:nvSpPr>
      <xdr:spPr>
        <a:xfrm>
          <a:off x="8497922" y="6086475"/>
          <a:ext cx="3259103" cy="1265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AC563A-BF43-5D41-8601-2458416911E6}" type="TxLink">
            <a:rPr lang="en-US" sz="1800" b="0" i="0" u="none" strike="noStrike">
              <a:solidFill>
                <a:schemeClr val="bg2">
                  <a:lumMod val="50000"/>
                </a:schemeClr>
              </a:solidFill>
              <a:latin typeface="Calibri"/>
              <a:cs typeface="Calibri"/>
            </a:rPr>
            <a:pPr algn="ctr"/>
            <a:t>Artistul a depășit media veniturilor artiștilor de top din ultimele 5 săptămâni cu </a:t>
          </a:fld>
          <a:endParaRPr lang="en-GB" sz="4000" b="0">
            <a:solidFill>
              <a:schemeClr val="bg2">
                <a:lumMod val="50000"/>
              </a:schemeClr>
            </a:solidFill>
            <a:latin typeface="Arial" panose="020B0604020202020204" pitchFamily="34" charset="0"/>
            <a:cs typeface="Arial" panose="020B0604020202020204" pitchFamily="34" charset="0"/>
          </a:endParaRPr>
        </a:p>
      </xdr:txBody>
    </xdr:sp>
    <xdr:clientData/>
  </xdr:twoCellAnchor>
  <xdr:twoCellAnchor>
    <xdr:from>
      <xdr:col>10</xdr:col>
      <xdr:colOff>596900</xdr:colOff>
      <xdr:row>38</xdr:row>
      <xdr:rowOff>57150</xdr:rowOff>
    </xdr:from>
    <xdr:to>
      <xdr:col>11</xdr:col>
      <xdr:colOff>152400</xdr:colOff>
      <xdr:row>39</xdr:row>
      <xdr:rowOff>200025</xdr:rowOff>
    </xdr:to>
    <xdr:sp macro="" textlink="">
      <xdr:nvSpPr>
        <xdr:cNvPr id="74" name="Oval 73">
          <a:extLst>
            <a:ext uri="{FF2B5EF4-FFF2-40B4-BE49-F238E27FC236}">
              <a16:creationId xmlns:a16="http://schemas.microsoft.com/office/drawing/2014/main" id="{A595B802-381B-2447-AA2C-04AE1F88E257}"/>
            </a:ext>
          </a:extLst>
        </xdr:cNvPr>
        <xdr:cNvSpPr/>
      </xdr:nvSpPr>
      <xdr:spPr>
        <a:xfrm>
          <a:off x="8851900" y="7899400"/>
          <a:ext cx="381000" cy="349250"/>
        </a:xfrm>
        <a:prstGeom prst="ellipse">
          <a:avLst/>
        </a:prstGeom>
        <a:solidFill>
          <a:schemeClr val="bg2">
            <a:lumMod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479425</xdr:colOff>
      <xdr:row>36</xdr:row>
      <xdr:rowOff>130175</xdr:rowOff>
    </xdr:from>
    <xdr:to>
      <xdr:col>14</xdr:col>
      <xdr:colOff>34925</xdr:colOff>
      <xdr:row>38</xdr:row>
      <xdr:rowOff>66675</xdr:rowOff>
    </xdr:to>
    <xdr:sp macro="" textlink="">
      <xdr:nvSpPr>
        <xdr:cNvPr id="76" name="Oval 75">
          <a:extLst>
            <a:ext uri="{FF2B5EF4-FFF2-40B4-BE49-F238E27FC236}">
              <a16:creationId xmlns:a16="http://schemas.microsoft.com/office/drawing/2014/main" id="{5B3937EB-3307-8140-BB6D-614F433F66C6}"/>
            </a:ext>
          </a:extLst>
        </xdr:cNvPr>
        <xdr:cNvSpPr/>
      </xdr:nvSpPr>
      <xdr:spPr>
        <a:xfrm>
          <a:off x="11210925" y="7559675"/>
          <a:ext cx="381000" cy="34925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361950</xdr:colOff>
      <xdr:row>38</xdr:row>
      <xdr:rowOff>155575</xdr:rowOff>
    </xdr:from>
    <xdr:to>
      <xdr:col>12</xdr:col>
      <xdr:colOff>742950</xdr:colOff>
      <xdr:row>40</xdr:row>
      <xdr:rowOff>92075</xdr:rowOff>
    </xdr:to>
    <xdr:sp macro="" textlink="">
      <xdr:nvSpPr>
        <xdr:cNvPr id="77" name="Oval 76">
          <a:extLst>
            <a:ext uri="{FF2B5EF4-FFF2-40B4-BE49-F238E27FC236}">
              <a16:creationId xmlns:a16="http://schemas.microsoft.com/office/drawing/2014/main" id="{5F4274BD-54EB-F646-8B54-44050745C52D}"/>
            </a:ext>
          </a:extLst>
        </xdr:cNvPr>
        <xdr:cNvSpPr/>
      </xdr:nvSpPr>
      <xdr:spPr>
        <a:xfrm>
          <a:off x="10267950" y="7997825"/>
          <a:ext cx="381000" cy="349250"/>
        </a:xfrm>
        <a:prstGeom prst="ellipse">
          <a:avLst/>
        </a:prstGeom>
        <a:noFill/>
        <a:ln w="41275">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79375</xdr:colOff>
      <xdr:row>34</xdr:row>
      <xdr:rowOff>63500</xdr:rowOff>
    </xdr:from>
    <xdr:to>
      <xdr:col>10</xdr:col>
      <xdr:colOff>539750</xdr:colOff>
      <xdr:row>36</xdr:row>
      <xdr:rowOff>174625</xdr:rowOff>
    </xdr:to>
    <xdr:sp macro="" textlink="">
      <xdr:nvSpPr>
        <xdr:cNvPr id="67" name="Rounded Rectangle 66">
          <a:extLst>
            <a:ext uri="{FF2B5EF4-FFF2-40B4-BE49-F238E27FC236}">
              <a16:creationId xmlns:a16="http://schemas.microsoft.com/office/drawing/2014/main" id="{344A43C5-8FF5-8443-9D82-3F8B87100C35}"/>
            </a:ext>
          </a:extLst>
        </xdr:cNvPr>
        <xdr:cNvSpPr/>
      </xdr:nvSpPr>
      <xdr:spPr>
        <a:xfrm rot="3126215">
          <a:off x="8302625" y="7112000"/>
          <a:ext cx="523875" cy="460375"/>
        </a:xfrm>
        <a:prstGeom prst="roundRect">
          <a:avLst/>
        </a:prstGeom>
        <a:noFill/>
        <a:ln w="38100">
          <a:solidFill>
            <a:srgbClr val="4E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4503.892347337962" createdVersion="7" refreshedVersion="7" minRefreshableVersion="3" recordCount="1000" xr:uid="{4B0AE17A-F6AE-B54E-924A-E5D5AADB2E1B}">
  <cacheSource type="worksheet">
    <worksheetSource ref="A1:J1001" sheet="Dataset"/>
  </cacheSource>
  <cacheFields count="12">
    <cacheField name="Numele Melodiei" numFmtId="0">
      <sharedItems containsMixedTypes="1" containsNumber="1" containsInteger="1" minValue="24" maxValue="2055" count="285">
        <s v="STAY (with Justin Bieber)"/>
        <s v="INDUSTRY BABY (with Jack Harlow)"/>
        <s v="Bad Habits"/>
        <s v="Beggin'"/>
        <s v="Hurricane"/>
        <s v="Pepas"/>
        <s v="good 4 u"/>
        <s v="Need To Know"/>
        <s v="Woman"/>
        <s v="Jail"/>
        <s v="Happier Than Ever"/>
        <s v="Off The Grid"/>
        <s v="MONTERO (Call Me By Your Name)"/>
        <s v="Kiss Me More (with SZA)"/>
        <s v="Todo De Ti"/>
        <s v="Praise God"/>
        <s v="Heat Waves"/>
        <s v="Volví"/>
        <s v="Moon"/>
        <s v="Yonaguni"/>
        <s v="I WANNA BE YOUR SLAVE"/>
        <s v="Take My Breath"/>
        <s v="Qué Más Pues?"/>
        <s v="Levitating (with DaBaby)"/>
        <s v="traitor"/>
        <s v="Believe What I Say"/>
        <s v="Peaches (with Daniel Caesar &amp; Giveon)"/>
        <s v="Jonah"/>
        <s v="God Breathed"/>
        <s v="Ok Ok"/>
        <s v="Butter"/>
        <s v="Save Your Tears (with Ariana Grande) (Remix)"/>
        <s v="Butter (with Megan Thee Stallion)"/>
        <s v="Heaven and Hell"/>
        <s v="Blinding Lights"/>
        <s v="family ties (with Kendrick Lamar)"/>
        <s v="No Child Left Behind"/>
        <s v="Paris"/>
        <s v="deja vu"/>
        <s v="Permission to Dance"/>
        <s v="Junya"/>
        <s v="AM Remix"/>
        <n v="24"/>
        <s v="In Da Getto"/>
        <s v="Remote Control"/>
        <s v="drivers license"/>
        <s v="Volando - Remix"/>
        <n v="2055"/>
        <s v="Cúrame"/>
        <s v="Pure Souls"/>
        <s v="Get Into It (Yuh)"/>
        <s v="Donda"/>
        <s v="Leave The Door Open"/>
        <s v="Sobrio"/>
        <s v="Entre Nosotros"/>
        <s v="Keep My Spirit Alive"/>
        <s v="Jesus Lord"/>
        <s v="happier"/>
        <s v="Love Tonight - Edit"/>
        <s v="Watermelon Sugar"/>
        <s v="Ain't Shit"/>
        <s v="911 - Remix"/>
        <s v="Don't Go Yet"/>
        <s v="Miénteme"/>
        <s v="Dákiti"/>
        <s v="Friday (with Mufasa &amp; Hypeman) - Dopamine Re-Edit"/>
        <s v="Summer of Love (Shawn Mendes &amp; Tainy)"/>
        <s v="New Again"/>
        <s v="Cold Heart - PNAU Remix"/>
        <s v="Tiroteo - Remix"/>
        <s v="jealousy, jealousy"/>
        <s v="Dynamite"/>
        <s v="Astronaut In The Ocean"/>
        <s v="Pareja Del AÃ±o"/>
        <s v="Mood (with iann dior)"/>
        <s v="Jail pt 2"/>
        <s v="Freaks"/>
        <s v="Lord I Need You"/>
        <s v="Don't Be Shy"/>
        <s v="I GUESS I'M IN LOVE"/>
        <s v="Like I Can"/>
        <s v="favorite crime"/>
        <s v="Donda Chant"/>
        <s v="Come to Life"/>
        <s v="Rumors (with Cardi B)"/>
        <s v="Sweater Weather"/>
        <s v="Leave Before You Love Me (with Jonas Brothers)"/>
        <s v="Dark Red"/>
        <s v="The Business"/>
        <s v="I am not a woman, I'm a god"/>
        <s v="Someone You Loved"/>
        <s v="Don't Start Now"/>
        <s v="Love Again"/>
        <s v="Poblado - Remix"/>
        <s v="Run"/>
        <s v="Visiting Hours"/>
        <s v="Raataan Lambiyan (From &quot;Shershaah&quot;)"/>
        <s v="double take"/>
        <s v="Save Your Tears"/>
        <s v="Loco"/>
        <s v="Tell The Vision"/>
        <s v="Chega E Senta - Ao Vivo"/>
        <s v="RAPSTAR"/>
        <s v="Donâ€™t Go (with Justin Bieber &amp; Don Toliver)"/>
        <s v="Chosen (with Ty Dolla $ign)"/>
        <s v="Heartbreak Anthem (with David Guetta &amp; Little Mix)"/>
        <s v="Heartbreak Anniversary"/>
        <s v="Ok Ok pt 2"/>
        <s v="Meu PedaÃ§o de Pecado"/>
        <s v="Ranjha (From &quot;Shershaah&quot;)"/>
        <s v="Motley Crew"/>
        <s v="Believer"/>
        <s v="You Right"/>
        <s v="Circles"/>
        <s v="brutal"/>
        <s v="Dance Monkey"/>
        <s v="positions"/>
        <s v="Beautiful Mistakes (with Megan Thee Stallion)"/>
        <s v="Arcade"/>
        <s v="lovely (with Khalid)"/>
        <s v="Sharing Locations (with Lil Baby &amp; Lil Durk)"/>
        <s v="Before You Go"/>
        <s v="telepatÃ­a"/>
        <s v="Levitating"/>
        <s v="WITHOUT YOU"/>
        <s v="Fiel - Remix"/>
        <s v="Junya pt 2"/>
        <s v="A-O-K"/>
        <s v="Perfect"/>
        <s v="2/Catorce"/>
        <s v="Sunflower - Spider-Man: Into the Spider-Verse"/>
        <s v="Shape of You"/>
        <s v="Smells Like Teen Spirit"/>
        <s v="EL MAKINON"/>
        <s v="Head &amp; Heart (with MNEK)"/>
        <s v="OUT OUT (with Charli XCX &amp; Saweetie)"/>
        <s v="Thot Shit"/>
        <s v="edamame (with Rich Brian)"/>
        <s v="RolÃª"/>
        <s v="Botella Tras Botella"/>
        <s v="ALMAS GEMELAS"/>
        <s v="Build a Bitch"/>
        <s v="Your Love (9PM)"/>
        <s v="Here's Your Perfect"/>
        <s v="Rasputin"/>
        <s v="Quer Voar"/>
        <s v="Heather"/>
        <s v="Wow Wow (with Becky G)"/>
        <s v="Lemonade (with Gunna, Don Toliver &amp; NAV)"/>
        <s v="Talking to the Moon"/>
        <s v="SeÃ±orita"/>
        <s v="Goosebumps - Remix"/>
        <s v="VocÃª Beberia Ou NÃ£o Beberia?"/>
        <s v="you broke me first"/>
        <s v="Daddy Issues"/>
        <s v="Wants and Needs (with Lil Baby)"/>
        <s v="Jesus Lord pt 2"/>
        <s v="MORENA"/>
        <s v="Belly, The Weeknd - Die For It (ft. Nas)"/>
        <s v="ArranhÃ£o - Ao Vivo"/>
        <s v="Bilmem Mi?"/>
        <s v="Another Love"/>
        <s v="Bohemian Rhapsody - Remastered 2011"/>
        <s v="The Nights"/>
        <s v="Riptide"/>
        <s v="Roses - Imanbek Remix"/>
        <s v="Loverboy"/>
        <s v="Thunderous"/>
        <s v="Memories"/>
        <s v="goosebumps"/>
        <s v="Fiel"/>
        <s v="Ficha Limpa"/>
        <s v="Hold On"/>
        <s v="Take Me To Church"/>
        <s v="Shallow"/>
        <s v="Counting Stars"/>
        <s v="Pain"/>
        <s v="7 rings"/>
        <s v="Yellow"/>
        <s v="999 (with Camilo)"/>
        <s v="Iko Iko (My Bestie)"/>
        <n v="512"/>
        <s v="Remember (and David Guetta)"/>
        <s v="REPEAT IT (with Gunna)"/>
        <s v="Say You Won't Let Go"/>
        <s v="Every Breath You Take"/>
        <s v="HawÃ¡i"/>
        <s v="Dreams - 2004 Remaster"/>
        <s v="Dandelions"/>
        <s v="Streets"/>
        <s v="Gangsta's Paradise"/>
        <s v="Fulanito"/>
        <s v="Just for me"/>
        <s v="Never Going Home"/>
        <s v="Jocelyn Flores"/>
        <s v="Wake Me Up"/>
        <s v="LA NOCHE DE ANOCHE"/>
        <s v="ROCKSTAR (with Roddy Ricch)"/>
        <s v="Miss The Rage (with Playboi Carti)"/>
        <s v="bad guy"/>
        <s v="THATS WHAT I WANT"/>
        <s v="Shivers"/>
        <s v="Way 2 Sexy (with Future &amp; Young Thug)"/>
        <s v="Fair Trade (with Travis Scott)"/>
        <s v="Life Goes On"/>
        <s v="Girls Want Girls (with Lil Baby)"/>
        <s v="Knife Talk (with 21 Savage ft. Project Pat)"/>
        <s v="LALISA"/>
        <s v="Wildest Dreams (Taylor's Version)"/>
        <s v="love nwantiti (ah ah ah)"/>
        <s v="Meet Me At Our Spot"/>
        <s v="SCOOP (with Doja Cat)"/>
        <s v="Ley Seca"/>
        <s v="PariÌs"/>
        <s v="DOLLA SIGN SLIME (with Megan Thee Stallion)"/>
        <s v="Where Are You Now"/>
        <s v="DEAD RIGHT NOW"/>
        <s v="love nwantiti (with Dj Yo! &amp; AX'EL) - Remix"/>
        <s v="Champagne Poetry"/>
        <s v="SUN GOES DOWN"/>
        <s v="Una Nota"/>
        <s v="TALES OF DOMINICA"/>
        <s v="ONE OF ME (with Elton John)"/>
        <s v="LOST IN THE CITADEL"/>
        <s v="love nwantiti (with ElGrande Toto) - North African Remix"/>
        <s v="NostÃ¡lgico"/>
        <s v="AM I DREAMING (with Miley Cyrus)"/>
        <s v="Have Mercy"/>
        <s v="MONEY"/>
        <s v="DONT WANT IT"/>
        <s v="No Friends In The Industry"/>
        <s v="Happier Than Ever - Edit"/>
        <s v="Bala Love"/>
        <s v="VOID"/>
        <s v="September"/>
        <s v="Jugaste y SufrÃ­"/>
        <s v="Mon Amour - Remix"/>
        <s v="Obsessed With You"/>
        <s v="The Real Slim Shady"/>
        <s v="Ela e Ela"/>
        <s v="...And to Those I Love, Thanks for Sticking Around"/>
        <s v="TSU"/>
        <s v="A La AntigÃ¼ita"/>
        <s v="Wildest Dreams"/>
        <s v="LIFE AFTER SALEM"/>
        <s v="Mr. Brightside"/>
        <s v="She Knows (with Amber Coffman &amp; Cults)"/>
        <s v="No Role Modelz"/>
        <s v="All of Me"/>
        <s v="INFERNO"/>
        <s v="Papiâ€™s Home"/>
        <s v="In The Bible (with Lil Durk &amp; Giveon)"/>
        <s v="Love All (with JAY-Z)"/>
        <s v="N 2 Deep"/>
        <s v="range brothers (with Kendrick Lamar)"/>
        <s v="Pipe Down"/>
        <s v="2CB"/>
        <s v="Fountains (with Tems)"/>
        <s v="IMY2 (with Kid Cudi)"/>
        <s v="7am On Bridle Path"/>
        <s v="Race My Mind"/>
        <s v="Fancy Like"/>
        <s v="Yebbaâ€™s Heartbreak"/>
        <s v="You Only Live Twice (with Lil Wayne &amp; Rick Ross)"/>
        <s v="Get Along Better"/>
        <s v="F*****g Fans"/>
        <s v="The Remorse"/>
        <s v="Don't Shut Me Down"/>
        <s v="I Still Have Faith In You"/>
        <s v="HOT DEMON B!TCHES NEAR U ! ! !"/>
        <s v="Wrecked"/>
        <s v="One Dance"/>
        <s v="Baby Me Atende"/>
        <s v="My Universe"/>
        <s v="Bored"/>
        <s v="Your Heart"/>
        <s v="SEJODIOTO"/>
        <s v="Too Easy"/>
        <s v="Adore You"/>
        <s v="Sexo Virtual"/>
        <s v="Lucid Dreams"/>
        <s v="Blank Space"/>
        <s v="Nota de RepÃºdio - Ao Vivo"/>
        <s v="Without Me"/>
        <s v="Wonderwall - Remastered"/>
      </sharedItems>
    </cacheField>
    <cacheField name="Artist" numFmtId="0">
      <sharedItems count="156">
        <s v="The Kid LAROI"/>
        <s v="Lil Nas X"/>
        <s v="Ed Sheeran"/>
        <s v="Måneskin"/>
        <s v="Kanye West"/>
        <s v="Farruko"/>
        <s v="Olivia Rodrigo"/>
        <s v="Doja Cat"/>
        <s v="Billie Eilish"/>
        <s v="Rauw Alejandro"/>
        <s v="Glass Animals"/>
        <s v="Aventura"/>
        <s v="Bad Bunny"/>
        <s v="The Weeknd"/>
        <s v="J Balvin"/>
        <s v="Dua Lipa"/>
        <s v="Justin Bieber"/>
        <s v="BTS"/>
        <s v="Baby Keem"/>
        <s v="Ingratax"/>
        <s v="Nio Garcia"/>
        <s v="Mora"/>
        <s v="Sleepy Hallow"/>
        <s v="Bruno Mars"/>
        <s v="Maluma"/>
        <s v="Tiago PZK"/>
        <s v="Shouse"/>
        <s v="Harry Styles"/>
        <s v="Sech"/>
        <s v="Camila Cabello"/>
        <s v="TINI"/>
        <s v="Riton"/>
        <s v="Shawn Mendes"/>
        <s v="Elton John"/>
        <s v="Marc Segui"/>
        <s v="Masked Wolf"/>
        <s v="Sebastian Yatra"/>
        <s v="24kGoldn"/>
        <s v="Surf Curse"/>
        <s v="Tiësto"/>
        <s v="Clinton Kane"/>
        <s v="Sam Smith"/>
        <s v="Lizzo"/>
        <s v="The Neighbourhood"/>
        <s v="Marshmello"/>
        <s v="Steve Lacy"/>
        <s v="Halsey"/>
        <s v="Lewis Capaldi"/>
        <s v="OneRepublic"/>
        <s v="Tanishk Bagchi"/>
        <s v="dhruv"/>
        <s v="Justin Quiles"/>
        <s v="John Amplificado"/>
        <s v="Polo G"/>
        <s v="Skrillex"/>
        <s v="Blxst"/>
        <s v="Galantis"/>
        <s v="Giveon"/>
        <s v="João Gomes"/>
        <s v="Jasleen Royal"/>
        <s v="Post Malone"/>
        <s v="Imagine Dragons"/>
        <s v="Tones And I"/>
        <s v="Ariana Grande"/>
        <s v="Maroon 5"/>
        <s v="Duncan Laurence"/>
        <s v="Meek Mill"/>
        <s v="Kali Uchis"/>
        <s v="Wisin"/>
        <s v="Tai Verdes"/>
        <s v="Nirvana"/>
        <s v="KAROL G"/>
        <s v="Joel Corry"/>
        <s v="Megan Thee Stallion"/>
        <s v="bbno$"/>
        <s v="TarcÃ­sio do Acordeon"/>
        <s v="Gera MX"/>
        <s v="Myke Towers"/>
        <s v="Bella Poarch"/>
        <s v="ATB"/>
        <s v="Jamie Miller"/>
        <s v="Majestic"/>
        <s v="Matue"/>
        <s v="Conan Gray"/>
        <s v="Maria Becerra"/>
        <s v="Internet Money"/>
        <s v="Travis Scott"/>
        <s v="ZÃ© Neto &amp; Cristiano"/>
        <s v="Tate McRae"/>
        <s v="Drake"/>
        <s v="Luan Santana"/>
        <s v="Belly"/>
        <s v="Henrique &amp; Juliano"/>
        <s v="Sefo"/>
        <s v="Tom Odell"/>
        <s v="Queen"/>
        <s v="Avicii"/>
        <s v="Vance Joy"/>
        <s v="SAINt JHN"/>
        <s v="A-Wall"/>
        <s v="Stray Kids"/>
        <s v="Los Legendarios"/>
        <s v="Gusttavo Lima"/>
        <s v="Hozier"/>
        <s v="Lady Gaga"/>
        <s v="PinkPantheress"/>
        <s v="Coldplay"/>
        <s v="Selena Gomez"/>
        <s v="Justin Wellington"/>
        <s v="Becky Hill"/>
        <s v="Lil Tecca"/>
        <s v="James Arthur"/>
        <s v="The Police"/>
        <s v="Fleetwood Mac"/>
        <s v="Ruth B."/>
        <s v="Coolio"/>
        <s v="Becky G"/>
        <s v="Kungs"/>
        <s v="XXXTENTACION"/>
        <s v="DaBaby"/>
        <s v="Trippie Redd"/>
        <s v="Oliver Tree"/>
        <s v="LISA"/>
        <s v="Taylor Swift"/>
        <s v="CKay"/>
        <s v="THE ANXIETY"/>
        <s v="TiÃ«sto"/>
        <s v="Jhay Cortez"/>
        <s v="Lost Frequencies"/>
        <s v="Marc SeguÃ­"/>
        <s v="Rvssian"/>
        <s v="ChlÃ¶e"/>
        <s v="Mc Anjim"/>
        <s v="JoÃ£o Gomes"/>
        <s v="MatuÃª"/>
        <s v="Earth, Wind &amp; Fire"/>
        <s v="Eslabon Armado"/>
        <s v="zzoilo"/>
        <s v="Central Cee"/>
        <s v="Eminem"/>
        <s v="$uicideboy$"/>
        <s v="Calibre 50"/>
        <s v="The Killers"/>
        <s v="J. Cole"/>
        <s v="John Legend"/>
        <s v="Sub Urban"/>
        <s v="RAF Camora"/>
        <s v="Walker Hayes"/>
        <s v="ABBA"/>
        <s v="CORPSE"/>
        <s v="Matheus Fernandes"/>
        <s v="Joyner Lucas"/>
        <s v="ITZY"/>
        <s v="Gunna"/>
        <s v="Juice WRLD"/>
        <s v="Oasis"/>
      </sharedItems>
    </cacheField>
    <cacheField name="Numar vizualizari" numFmtId="0">
      <sharedItems containsSemiMixedTypes="0" containsString="0" containsNumber="1" containsInteger="1" minValue="5024228" maxValue="68764542"/>
    </cacheField>
    <cacheField name="Venituri (nr vizulizari/1000*5)" numFmtId="0">
      <sharedItems containsSemiMixedTypes="0" containsString="0" containsNumber="1" minValue="25121.14" maxValue="343822.71"/>
    </cacheField>
    <cacheField name="Data Lansarii" numFmtId="14">
      <sharedItems containsSemiMixedTypes="0" containsNonDate="0" containsDate="1" containsString="0" minDate="2000-03-18T00:00:00" maxDate="2021-12-09T00:00:00" count="145">
        <d v="2021-07-09T00:00:00"/>
        <d v="2021-07-23T00:00:00"/>
        <d v="2021-06-11T00:00:00"/>
        <d v="2017-12-08T00:00:00"/>
        <d v="2021-08-08T00:00:00"/>
        <d v="2021-12-08T00:00:00"/>
        <d v="2021-05-21T00:00:00"/>
        <d v="2021-06-24T00:00:00"/>
        <d v="2021-06-27T00:00:00"/>
        <d v="2021-08-29T00:00:00"/>
        <d v="2021-07-30T00:00:00"/>
        <d v="2021-09-17T00:00:00"/>
        <d v="2021-04-09T00:00:00"/>
        <d v="2021-05-22T00:00:00"/>
        <d v="2020-08-07T00:00:00"/>
        <d v="2021-08-03T00:00:00"/>
        <d v="2021-06-04T00:00:00"/>
        <d v="2021-03-19T00:00:00"/>
        <d v="2021-08-06T00:00:00"/>
        <d v="2021-05-28T00:00:00"/>
        <d v="2020-03-27T00:00:00"/>
        <d v="2020-03-20T00:00:00"/>
        <d v="2021-08-27T00:00:00"/>
        <d v="2019-11-29T00:00:00"/>
        <d v="2021-08-09T00:00:00"/>
        <d v="2021-07-02T00:00:00"/>
        <d v="2021-01-08T00:00:00"/>
        <d v="2021-07-08T00:00:00"/>
        <d v="2021-04-14T00:00:00"/>
        <d v="2021-06-25T00:00:00"/>
        <d v="2021-03-05T00:00:00"/>
        <d v="2017-12-14T00:00:00"/>
        <d v="2019-12-13T00:00:00"/>
        <d v="2021-05-01T00:00:00"/>
        <d v="2020-10-30T00:00:00"/>
        <d v="2021-01-15T00:00:00"/>
        <d v="2021-08-20T00:00:00"/>
        <d v="2021-08-13T00:00:00"/>
        <d v="2021-04-01T00:00:00"/>
        <d v="2021-09-20T00:00:00"/>
        <d v="2021-08-30T00:00:00"/>
        <d v="2021-02-11T00:00:00"/>
        <d v="2021-05-20T00:00:00"/>
        <d v="2021-01-01T00:00:00"/>
        <d v="2021-02-02T00:00:00"/>
        <d v="2021-03-03T00:00:00"/>
        <d v="2021-05-04T00:00:00"/>
        <d v="2021-06-05T00:00:00"/>
        <d v="2021-03-21T00:00:00"/>
        <d v="2021-05-30T00:00:00"/>
        <d v="2021-08-31T00:00:00"/>
        <d v="2021-09-12T00:00:00"/>
        <d v="2021-08-01T00:00:00"/>
        <d v="2021-02-03T00:00:00"/>
        <d v="2021-09-27T00:00:00"/>
        <d v="2021-04-20T00:00:00"/>
        <d v="2021-09-21T00:00:00"/>
        <d v="2021-06-30T00:00:00"/>
        <d v="2021-02-21T00:00:00"/>
        <d v="2021-03-04T00:00:00"/>
        <d v="2021-04-30T00:00:00"/>
        <d v="2021-03-27T00:00:00"/>
        <d v="2021-02-27T00:00:00"/>
        <d v="2021-04-22T00:00:00"/>
        <d v="2021-07-29T00:00:00"/>
        <d v="2021-01-13T00:00:00"/>
        <d v="2021-04-23T00:00:00"/>
        <d v="2021-03-01T00:00:00"/>
        <d v="2021-04-21T00:00:00"/>
        <d v="2021-02-18T00:00:00"/>
        <d v="2021-08-19T00:00:00"/>
        <d v="2021-07-12T00:00:00"/>
        <d v="2021-05-24T00:00:00"/>
        <d v="2021-09-07T00:00:00"/>
        <d v="2021-06-10T00:00:00"/>
        <d v="2021-09-13T00:00:00"/>
        <d v="2021-06-13T00:00:00"/>
        <d v="2021-01-12T00:00:00"/>
        <d v="2021-06-23T00:00:00"/>
        <d v="2021-03-07T00:00:00"/>
        <d v="2021-05-31T00:00:00"/>
        <d v="2021-07-31T00:00:00"/>
        <d v="2021-05-25T00:00:00"/>
        <d v="2021-04-17T00:00:00"/>
        <d v="2021-01-30T00:00:00"/>
        <d v="2021-01-31T00:00:00"/>
        <d v="2021-04-29T00:00:00"/>
        <d v="2021-02-16T00:00:00"/>
        <d v="2021-04-18T00:00:00"/>
        <d v="2021-03-20T00:00:00"/>
        <d v="2021-08-04T00:00:00"/>
        <d v="2021-02-13T00:00:00"/>
        <d v="2021-09-15T00:00:00"/>
        <d v="2021-09-25T00:00:00"/>
        <d v="2021-05-13T00:00:00"/>
        <d v="2021-07-14T00:00:00"/>
        <d v="2020-02-21T00:00:00"/>
        <d v="2020-04-24T00:00:00"/>
        <d v="2017-06-23T00:00:00"/>
        <d v="2021-05-23T00:00:00"/>
        <d v="2021-01-18T00:00:00"/>
        <d v="2021-03-31T00:00:00"/>
        <d v="2021-05-05T00:00:00"/>
        <d v="2021-07-06T00:00:00"/>
        <d v="2021-08-05T00:00:00"/>
        <d v="2021-07-04T00:00:00"/>
        <d v="2021-09-02T00:00:00"/>
        <d v="2021-05-03T00:00:00"/>
        <d v="2021-02-17T00:00:00"/>
        <d v="2021-03-30T00:00:00"/>
        <d v="2021-06-15T00:00:00"/>
        <d v="2021-06-03T00:00:00"/>
        <d v="2021-02-15T00:00:00"/>
        <d v="2021-03-22T00:00:00"/>
        <d v="2021-03-02T00:00:00"/>
        <d v="2021-10-07T00:00:00"/>
        <d v="2021-05-12T00:00:00"/>
        <d v="2021-06-19T00:00:00"/>
        <d v="2021-09-06T00:00:00"/>
        <d v="2021-10-09T00:00:00"/>
        <d v="2021-04-12T00:00:00"/>
        <d v="2021-07-20T00:00:00"/>
        <d v="2000-03-18T00:00:00"/>
        <d v="2021-04-11T00:00:00"/>
        <d v="2021-09-01T00:00:00"/>
        <d v="2021-02-19T00:00:00"/>
        <d v="2021-01-03T00:00:00"/>
        <d v="2019-02-02T00:00:00"/>
        <d v="2021-06-28T00:00:00"/>
        <d v="2021-04-19T00:00:00"/>
        <d v="2021-04-04T00:00:00"/>
        <d v="2019-09-06T00:00:00"/>
        <d v="2021-05-16T00:00:00"/>
        <d v="2021-07-21T00:00:00"/>
        <d v="2021-07-27T00:00:00"/>
        <d v="2021-07-07T00:00:00"/>
        <d v="2021-05-02T00:00:00"/>
        <d v="2021-08-07T00:00:00"/>
        <d v="2019-07-14T00:00:00"/>
        <d v="2021-04-27T00:00:00"/>
        <d v="2021-06-12T00:00:00"/>
        <d v="2021-05-15T00:00:00"/>
        <d v="2021-02-04T00:00:00"/>
        <d v="2021-09-30T00:00:00"/>
        <d v="2021-03-25T00:00:00"/>
      </sharedItems>
      <fieldGroup par="11" base="4">
        <rangePr groupBy="months" startDate="2000-03-18T00:00:00" endDate="2021-12-09T00:00:00"/>
        <groupItems count="14">
          <s v="&lt;18.03.2000"/>
          <s v="Jan"/>
          <s v="Feb"/>
          <s v="Mar"/>
          <s v="Apr"/>
          <s v="May"/>
          <s v="Jun"/>
          <s v="Jul"/>
          <s v="Aug"/>
          <s v="Sep"/>
          <s v="Oct"/>
          <s v="Nov"/>
          <s v="Dec"/>
          <s v="&gt;09.12.2021"/>
        </groupItems>
      </fieldGroup>
    </cacheField>
    <cacheField name="Aparitii in top 200" numFmtId="14">
      <sharedItems containsSemiMixedTypes="0" containsNonDate="0" containsDate="1" containsString="0" minDate="2021-09-02T00:00:00" maxDate="2021-10-01T00:00:00" count="5">
        <d v="2021-09-02T00:00:00"/>
        <d v="2021-09-09T00:00:00"/>
        <d v="2021-09-16T00:00:00"/>
        <d v="2021-09-23T00:00:00"/>
        <d v="2021-09-30T00:00:00"/>
      </sharedItems>
    </cacheField>
    <cacheField name="Durata Melodiei" numFmtId="0">
      <sharedItems containsSemiMixedTypes="0" containsNonDate="0" containsDate="1" containsString="0" minDate="1899-12-30T01:20:00" maxDate="1899-12-30T08:58:00"/>
    </cacheField>
    <cacheField name="Genul de Muzica" numFmtId="0">
      <sharedItems count="12">
        <s v="POP"/>
        <s v="HIP-HOP/RAP"/>
        <s v="ROCK"/>
        <s v="LATIN URBAN"/>
        <s v="ALTERNATIVE"/>
        <s v="R&amp;B/SOUL"/>
        <s v="K-POP"/>
        <s v="LATIN"/>
        <s v="RHYTHM &amp; BLUES"/>
        <s v="ELECTRONIC"/>
        <s v="DANCE"/>
        <s v="AFROBEATS"/>
      </sharedItems>
    </cacheField>
    <cacheField name="Nationalitatea Artistului" numFmtId="0">
      <sharedItems count="32">
        <s v="Australia"/>
        <s v="SUA"/>
        <s v="Marea Britanie"/>
        <s v="Italia"/>
        <s v="Puerto Rico"/>
        <s v="Republica Dominicană"/>
        <s v="Canada"/>
        <s v="Columbia"/>
        <s v="Korea de Sud"/>
        <s v="Mexic"/>
        <s v="Jamaica"/>
        <s v="Argentina"/>
        <s v="Panama"/>
        <s v="Cuba"/>
        <s v="Olanda"/>
        <s v="Norvegia"/>
        <s v="Scoția"/>
        <s v="India"/>
        <s v="Brazilia"/>
        <s v="Suedia"/>
        <s v="Filipine"/>
        <s v="Germania"/>
        <s v="Țara Galilor"/>
        <s v="Turcia"/>
        <s v="Irlanda"/>
        <s v="Papua"/>
        <s v="Franța"/>
        <s v="Tailanda"/>
        <s v="Africa"/>
        <s v="Belgia"/>
        <s v="USA"/>
        <s v="s"/>
      </sharedItems>
    </cacheField>
    <cacheField name="Colaborare" numFmtId="0">
      <sharedItems/>
    </cacheField>
    <cacheField name="Quarters" numFmtId="0" databaseField="0">
      <fieldGroup base="4">
        <rangePr groupBy="quarters" startDate="2000-03-18T00:00:00" endDate="2021-12-09T00:00:00"/>
        <groupItems count="6">
          <s v="&lt;18.03.2000"/>
          <s v="Qtr1"/>
          <s v="Qtr2"/>
          <s v="Qtr3"/>
          <s v="Qtr4"/>
          <s v="&gt;09.12.2021"/>
        </groupItems>
      </fieldGroup>
    </cacheField>
    <cacheField name="Years" numFmtId="0" databaseField="0">
      <fieldGroup base="4">
        <rangePr groupBy="years" startDate="2000-03-18T00:00:00" endDate="2021-12-09T00:00:00"/>
        <groupItems count="24">
          <s v="&lt;18.03.2000"/>
          <s v="2000"/>
          <s v="2001"/>
          <s v="2002"/>
          <s v="2003"/>
          <s v="2004"/>
          <s v="2005"/>
          <s v="2006"/>
          <s v="2007"/>
          <s v="2008"/>
          <s v="2009"/>
          <s v="2010"/>
          <s v="2011"/>
          <s v="2012"/>
          <s v="2013"/>
          <s v="2014"/>
          <s v="2015"/>
          <s v="2016"/>
          <s v="2017"/>
          <s v="2018"/>
          <s v="2019"/>
          <s v="2020"/>
          <s v="2021"/>
          <s v="&gt;09.12.2021"/>
        </groupItems>
      </fieldGroup>
    </cacheField>
  </cacheFields>
  <extLst>
    <ext xmlns:x14="http://schemas.microsoft.com/office/spreadsheetml/2009/9/main" uri="{725AE2AE-9491-48be-B2B4-4EB974FC3084}">
      <x14:pivotCacheDefinition pivotCacheId="2883328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68764542"/>
    <n v="343822.71"/>
    <x v="0"/>
    <x v="0"/>
    <d v="1899-12-30T02:21:00"/>
    <x v="0"/>
    <x v="0"/>
    <s v="Da"/>
  </r>
  <r>
    <x v="1"/>
    <x v="1"/>
    <n v="43663527"/>
    <n v="218317.63500000001"/>
    <x v="1"/>
    <x v="0"/>
    <d v="1899-12-30T03:32:00"/>
    <x v="1"/>
    <x v="1"/>
    <s v="Da"/>
  </r>
  <r>
    <x v="2"/>
    <x v="2"/>
    <n v="34182580"/>
    <n v="170912.90000000002"/>
    <x v="2"/>
    <x v="0"/>
    <d v="1899-12-30T03:32:00"/>
    <x v="0"/>
    <x v="2"/>
    <s v="Nu"/>
  </r>
  <r>
    <x v="3"/>
    <x v="3"/>
    <n v="32620597"/>
    <n v="163102.98500000002"/>
    <x v="3"/>
    <x v="0"/>
    <d v="1899-12-30T03:31:00"/>
    <x v="2"/>
    <x v="3"/>
    <s v="Nu"/>
  </r>
  <r>
    <x v="4"/>
    <x v="4"/>
    <n v="30609671"/>
    <n v="153048.35499999998"/>
    <x v="4"/>
    <x v="0"/>
    <d v="1899-12-30T04:03:00"/>
    <x v="1"/>
    <x v="1"/>
    <s v="Nu"/>
  </r>
  <r>
    <x v="5"/>
    <x v="5"/>
    <n v="29398007"/>
    <n v="146990.035"/>
    <x v="5"/>
    <x v="0"/>
    <d v="1899-12-30T04:47:00"/>
    <x v="3"/>
    <x v="4"/>
    <s v="Nu"/>
  </r>
  <r>
    <x v="6"/>
    <x v="6"/>
    <n v="29366737"/>
    <n v="146833.685"/>
    <x v="6"/>
    <x v="0"/>
    <d v="1899-12-30T02:58:00"/>
    <x v="0"/>
    <x v="1"/>
    <s v="Nu"/>
  </r>
  <r>
    <x v="7"/>
    <x v="7"/>
    <n v="28000403"/>
    <n v="140002.01499999998"/>
    <x v="7"/>
    <x v="0"/>
    <d v="1899-12-30T03:30:00"/>
    <x v="0"/>
    <x v="1"/>
    <s v="Nu"/>
  </r>
  <r>
    <x v="8"/>
    <x v="7"/>
    <n v="26632882"/>
    <n v="133164.41"/>
    <x v="8"/>
    <x v="0"/>
    <d v="1899-12-30T02:25:00"/>
    <x v="0"/>
    <x v="1"/>
    <s v="Nu"/>
  </r>
  <r>
    <x v="9"/>
    <x v="4"/>
    <n v="24792859"/>
    <n v="123964.295"/>
    <x v="9"/>
    <x v="0"/>
    <d v="1899-12-30T04:57:00"/>
    <x v="1"/>
    <x v="1"/>
    <s v="Nu"/>
  </r>
  <r>
    <x v="10"/>
    <x v="8"/>
    <n v="24448545"/>
    <n v="122242.72499999999"/>
    <x v="10"/>
    <x v="0"/>
    <d v="1899-12-30T04:58:00"/>
    <x v="4"/>
    <x v="1"/>
    <s v="Nu"/>
  </r>
  <r>
    <x v="11"/>
    <x v="4"/>
    <n v="24302344"/>
    <n v="121511.72"/>
    <x v="9"/>
    <x v="0"/>
    <d v="1899-12-30T05:39:00"/>
    <x v="1"/>
    <x v="1"/>
    <s v="Nu"/>
  </r>
  <r>
    <x v="12"/>
    <x v="1"/>
    <n v="23040130"/>
    <n v="115200.65000000001"/>
    <x v="11"/>
    <x v="0"/>
    <d v="1899-12-30T02:17:00"/>
    <x v="0"/>
    <x v="1"/>
    <s v="Nu"/>
  </r>
  <r>
    <x v="13"/>
    <x v="7"/>
    <n v="22451916"/>
    <n v="112259.58"/>
    <x v="12"/>
    <x v="0"/>
    <d v="1899-12-30T03:28:00"/>
    <x v="0"/>
    <x v="1"/>
    <s v="Da"/>
  </r>
  <r>
    <x v="14"/>
    <x v="9"/>
    <n v="20724487"/>
    <n v="103622.435"/>
    <x v="13"/>
    <x v="0"/>
    <d v="1899-12-30T03:19:00"/>
    <x v="3"/>
    <x v="4"/>
    <s v="Nu"/>
  </r>
  <r>
    <x v="15"/>
    <x v="4"/>
    <n v="19702684"/>
    <n v="98513.420000000013"/>
    <x v="9"/>
    <x v="0"/>
    <d v="1899-12-30T03:46:00"/>
    <x v="1"/>
    <x v="1"/>
    <s v="Nu"/>
  </r>
  <r>
    <x v="16"/>
    <x v="10"/>
    <n v="19628570"/>
    <n v="98142.85"/>
    <x v="14"/>
    <x v="0"/>
    <d v="1899-12-30T03:58:00"/>
    <x v="0"/>
    <x v="2"/>
    <s v="Nu"/>
  </r>
  <r>
    <x v="17"/>
    <x v="11"/>
    <n v="18925587"/>
    <n v="94627.934999999998"/>
    <x v="15"/>
    <x v="0"/>
    <d v="1899-12-30T03:50:00"/>
    <x v="3"/>
    <x v="5"/>
    <s v="Nu"/>
  </r>
  <r>
    <x v="18"/>
    <x v="4"/>
    <n v="18904930"/>
    <n v="94524.65"/>
    <x v="9"/>
    <x v="0"/>
    <d v="1899-12-30T02:36:00"/>
    <x v="1"/>
    <x v="1"/>
    <s v="Nu"/>
  </r>
  <r>
    <x v="19"/>
    <x v="12"/>
    <n v="18618312"/>
    <n v="93091.560000000012"/>
    <x v="16"/>
    <x v="0"/>
    <d v="1899-12-30T03:26:00"/>
    <x v="3"/>
    <x v="4"/>
    <s v="Nu"/>
  </r>
  <r>
    <x v="20"/>
    <x v="3"/>
    <n v="17808726"/>
    <n v="89043.62999999999"/>
    <x v="17"/>
    <x v="0"/>
    <d v="1899-12-30T02:53:00"/>
    <x v="2"/>
    <x v="3"/>
    <s v="Nu"/>
  </r>
  <r>
    <x v="21"/>
    <x v="13"/>
    <n v="17722841"/>
    <n v="88614.205000000002"/>
    <x v="18"/>
    <x v="0"/>
    <d v="1899-12-30T03:40:00"/>
    <x v="5"/>
    <x v="6"/>
    <s v="Nu"/>
  </r>
  <r>
    <x v="22"/>
    <x v="14"/>
    <n v="17110678"/>
    <n v="85553.39"/>
    <x v="19"/>
    <x v="0"/>
    <d v="1899-12-30T03:37:00"/>
    <x v="3"/>
    <x v="7"/>
    <s v="Nu"/>
  </r>
  <r>
    <x v="23"/>
    <x v="15"/>
    <n v="17032677"/>
    <n v="85163.384999999995"/>
    <x v="20"/>
    <x v="0"/>
    <d v="1899-12-30T03:23:00"/>
    <x v="0"/>
    <x v="2"/>
    <s v="Da"/>
  </r>
  <r>
    <x v="24"/>
    <x v="6"/>
    <n v="16858476"/>
    <n v="84292.37999999999"/>
    <x v="6"/>
    <x v="0"/>
    <d v="1899-12-30T03:49:00"/>
    <x v="0"/>
    <x v="1"/>
    <s v="Nu"/>
  </r>
  <r>
    <x v="25"/>
    <x v="4"/>
    <n v="16052001"/>
    <n v="80260.005000000005"/>
    <x v="9"/>
    <x v="0"/>
    <d v="1899-12-30T04:02:00"/>
    <x v="1"/>
    <x v="1"/>
    <s v="Nu"/>
  </r>
  <r>
    <x v="26"/>
    <x v="16"/>
    <n v="15563753"/>
    <n v="77818.764999999999"/>
    <x v="17"/>
    <x v="0"/>
    <d v="1899-12-30T03:18:00"/>
    <x v="0"/>
    <x v="6"/>
    <s v="Da"/>
  </r>
  <r>
    <x v="27"/>
    <x v="4"/>
    <n v="15535805"/>
    <n v="77679.024999999994"/>
    <x v="9"/>
    <x v="0"/>
    <d v="1899-12-30T03:15:00"/>
    <x v="1"/>
    <x v="1"/>
    <s v="Nu"/>
  </r>
  <r>
    <x v="28"/>
    <x v="4"/>
    <n v="15309684"/>
    <n v="76548.42"/>
    <x v="9"/>
    <x v="0"/>
    <d v="1899-12-30T05:33:00"/>
    <x v="1"/>
    <x v="1"/>
    <s v="Nu"/>
  </r>
  <r>
    <x v="29"/>
    <x v="4"/>
    <n v="14811311"/>
    <n v="74056.554999999993"/>
    <x v="9"/>
    <x v="0"/>
    <d v="1899-12-30T03:23:00"/>
    <x v="1"/>
    <x v="1"/>
    <s v="Nu"/>
  </r>
  <r>
    <x v="30"/>
    <x v="17"/>
    <n v="14565825"/>
    <n v="72829.125"/>
    <x v="6"/>
    <x v="0"/>
    <d v="1899-12-30T02:44:00"/>
    <x v="6"/>
    <x v="8"/>
    <s v="Nu"/>
  </r>
  <r>
    <x v="31"/>
    <x v="13"/>
    <n v="14237777"/>
    <n v="71188.884999999995"/>
    <x v="21"/>
    <x v="0"/>
    <d v="1899-12-30T03:35:00"/>
    <x v="5"/>
    <x v="6"/>
    <s v="Da"/>
  </r>
  <r>
    <x v="32"/>
    <x v="17"/>
    <n v="13960331"/>
    <n v="69801.654999999999"/>
    <x v="22"/>
    <x v="0"/>
    <d v="1899-12-30T02:44:00"/>
    <x v="6"/>
    <x v="8"/>
    <s v="Da"/>
  </r>
  <r>
    <x v="33"/>
    <x v="4"/>
    <n v="13876358"/>
    <n v="69381.790000000008"/>
    <x v="9"/>
    <x v="0"/>
    <d v="1899-12-30T02:25:00"/>
    <x v="1"/>
    <x v="1"/>
    <s v="Nu"/>
  </r>
  <r>
    <x v="34"/>
    <x v="13"/>
    <n v="13820934"/>
    <n v="69104.67"/>
    <x v="23"/>
    <x v="0"/>
    <d v="1899-12-30T03:21:00"/>
    <x v="5"/>
    <x v="6"/>
    <s v="Nu"/>
  </r>
  <r>
    <x v="35"/>
    <x v="18"/>
    <n v="13819716"/>
    <n v="69098.58"/>
    <x v="22"/>
    <x v="0"/>
    <d v="1899-12-30T04:12:00"/>
    <x v="1"/>
    <x v="1"/>
    <s v="Da"/>
  </r>
  <r>
    <x v="36"/>
    <x v="4"/>
    <n v="13621927"/>
    <n v="68109.634999999995"/>
    <x v="9"/>
    <x v="0"/>
    <d v="1899-12-30T02:58:00"/>
    <x v="1"/>
    <x v="1"/>
    <s v="Nu"/>
  </r>
  <r>
    <x v="37"/>
    <x v="19"/>
    <n v="13505979"/>
    <n v="67529.89499999999"/>
    <x v="0"/>
    <x v="0"/>
    <d v="1899-12-30T02:35:00"/>
    <x v="7"/>
    <x v="9"/>
    <s v="Nu"/>
  </r>
  <r>
    <x v="38"/>
    <x v="6"/>
    <n v="13397107"/>
    <n v="66985.535000000003"/>
    <x v="6"/>
    <x v="0"/>
    <d v="1899-12-30T03:35:00"/>
    <x v="0"/>
    <x v="1"/>
    <s v="Nu"/>
  </r>
  <r>
    <x v="39"/>
    <x v="17"/>
    <n v="13372442"/>
    <n v="66862.209999999992"/>
    <x v="0"/>
    <x v="0"/>
    <d v="1899-12-30T03:07:00"/>
    <x v="6"/>
    <x v="8"/>
    <s v="Nu"/>
  </r>
  <r>
    <x v="40"/>
    <x v="4"/>
    <n v="13342949"/>
    <n v="66714.744999999995"/>
    <x v="24"/>
    <x v="0"/>
    <d v="1899-12-30T02:27:00"/>
    <x v="1"/>
    <x v="1"/>
    <s v="Nu"/>
  </r>
  <r>
    <x v="41"/>
    <x v="20"/>
    <n v="13082669"/>
    <n v="65413.345000000001"/>
    <x v="7"/>
    <x v="0"/>
    <d v="1899-12-30T04:21:00"/>
    <x v="3"/>
    <x v="4"/>
    <s v="Nu"/>
  </r>
  <r>
    <x v="42"/>
    <x v="4"/>
    <n v="12955187"/>
    <n v="64775.934999999998"/>
    <x v="9"/>
    <x v="0"/>
    <d v="1899-12-30T03:17:00"/>
    <x v="1"/>
    <x v="1"/>
    <s v="Nu"/>
  </r>
  <r>
    <x v="43"/>
    <x v="14"/>
    <n v="12933235"/>
    <n v="64666.175000000003"/>
    <x v="25"/>
    <x v="0"/>
    <d v="1899-12-30T02:10:00"/>
    <x v="3"/>
    <x v="7"/>
    <s v="Nu"/>
  </r>
  <r>
    <x v="44"/>
    <x v="4"/>
    <n v="12913533"/>
    <n v="64567.664999999994"/>
    <x v="9"/>
    <x v="0"/>
    <d v="1899-12-30T03:18:00"/>
    <x v="1"/>
    <x v="1"/>
    <s v="Nu"/>
  </r>
  <r>
    <x v="45"/>
    <x v="6"/>
    <n v="12878186"/>
    <n v="64390.93"/>
    <x v="26"/>
    <x v="0"/>
    <d v="1899-12-30T04:02:00"/>
    <x v="0"/>
    <x v="1"/>
    <s v="Nu"/>
  </r>
  <r>
    <x v="46"/>
    <x v="21"/>
    <n v="12598210"/>
    <n v="62991.049999999996"/>
    <x v="27"/>
    <x v="0"/>
    <d v="1899-12-30T04:33:00"/>
    <x v="7"/>
    <x v="4"/>
    <s v="Nu"/>
  </r>
  <r>
    <x v="47"/>
    <x v="22"/>
    <n v="12034127"/>
    <n v="60170.635000000002"/>
    <x v="28"/>
    <x v="0"/>
    <d v="1899-12-30T02:03:00"/>
    <x v="1"/>
    <x v="10"/>
    <s v="Nu"/>
  </r>
  <r>
    <x v="48"/>
    <x v="9"/>
    <n v="11797153"/>
    <n v="58985.764999999999"/>
    <x v="29"/>
    <x v="0"/>
    <d v="1899-12-30T02:44:00"/>
    <x v="3"/>
    <x v="4"/>
    <s v="Nu"/>
  </r>
  <r>
    <x v="49"/>
    <x v="4"/>
    <n v="11585806"/>
    <n v="57929.03"/>
    <x v="9"/>
    <x v="0"/>
    <d v="1899-12-30T05:58:00"/>
    <x v="1"/>
    <x v="1"/>
    <s v="Nu"/>
  </r>
  <r>
    <x v="50"/>
    <x v="7"/>
    <n v="11294620"/>
    <n v="56473.100000000006"/>
    <x v="29"/>
    <x v="0"/>
    <d v="1899-12-30T02:18:00"/>
    <x v="0"/>
    <x v="1"/>
    <s v="Nu"/>
  </r>
  <r>
    <x v="51"/>
    <x v="4"/>
    <n v="11098736"/>
    <n v="55493.680000000008"/>
    <x v="9"/>
    <x v="0"/>
    <d v="1899-12-30T02:08:00"/>
    <x v="1"/>
    <x v="1"/>
    <s v="Nu"/>
  </r>
  <r>
    <x v="52"/>
    <x v="23"/>
    <n v="11085219"/>
    <n v="55426.094999999994"/>
    <x v="30"/>
    <x v="0"/>
    <d v="1899-12-30T04:02:00"/>
    <x v="5"/>
    <x v="4"/>
    <s v="Nu"/>
  </r>
  <r>
    <x v="53"/>
    <x v="24"/>
    <n v="11037322"/>
    <n v="55186.61"/>
    <x v="27"/>
    <x v="0"/>
    <d v="1899-12-30T03:21:00"/>
    <x v="3"/>
    <x v="7"/>
    <s v="Nu"/>
  </r>
  <r>
    <x v="54"/>
    <x v="25"/>
    <n v="10951000"/>
    <n v="54755"/>
    <x v="0"/>
    <x v="0"/>
    <d v="1899-12-30T03:12:00"/>
    <x v="8"/>
    <x v="11"/>
    <s v="Nu"/>
  </r>
  <r>
    <x v="55"/>
    <x v="4"/>
    <n v="10913129"/>
    <n v="54565.645000000004"/>
    <x v="9"/>
    <x v="0"/>
    <d v="1899-12-30T03:41:00"/>
    <x v="1"/>
    <x v="1"/>
    <s v="Nu"/>
  </r>
  <r>
    <x v="56"/>
    <x v="4"/>
    <n v="10900265"/>
    <n v="54501.324999999997"/>
    <x v="9"/>
    <x v="0"/>
    <d v="1899-12-30T08:58:00"/>
    <x v="1"/>
    <x v="1"/>
    <s v="Nu"/>
  </r>
  <r>
    <x v="57"/>
    <x v="6"/>
    <n v="10837112"/>
    <n v="54185.56"/>
    <x v="6"/>
    <x v="0"/>
    <d v="1899-12-30T02:55:00"/>
    <x v="0"/>
    <x v="1"/>
    <s v="Nu"/>
  </r>
  <r>
    <x v="58"/>
    <x v="26"/>
    <n v="10655348"/>
    <n v="53276.74"/>
    <x v="31"/>
    <x v="0"/>
    <d v="1899-12-30T04:01:00"/>
    <x v="9"/>
    <x v="0"/>
    <s v="Nu"/>
  </r>
  <r>
    <x v="59"/>
    <x v="27"/>
    <n v="10454615"/>
    <n v="52273.074999999997"/>
    <x v="32"/>
    <x v="0"/>
    <d v="1899-12-30T02:53:00"/>
    <x v="0"/>
    <x v="2"/>
    <s v="Nu"/>
  </r>
  <r>
    <x v="60"/>
    <x v="7"/>
    <n v="10218950"/>
    <n v="51094.75"/>
    <x v="29"/>
    <x v="0"/>
    <d v="1899-12-30T02:54:00"/>
    <x v="0"/>
    <x v="1"/>
    <s v="Nu"/>
  </r>
  <r>
    <x v="61"/>
    <x v="28"/>
    <n v="10170485"/>
    <n v="50852.425000000003"/>
    <x v="0"/>
    <x v="0"/>
    <d v="1899-12-30T03:28:00"/>
    <x v="3"/>
    <x v="12"/>
    <s v="Nu"/>
  </r>
  <r>
    <x v="62"/>
    <x v="29"/>
    <n v="10168472"/>
    <n v="50842.36"/>
    <x v="1"/>
    <x v="0"/>
    <d v="1899-12-30T02:44:00"/>
    <x v="0"/>
    <x v="13"/>
    <s v="Nu"/>
  </r>
  <r>
    <x v="63"/>
    <x v="30"/>
    <n v="10119289"/>
    <n v="50596.445000000007"/>
    <x v="33"/>
    <x v="0"/>
    <d v="1899-12-30T02:45:00"/>
    <x v="3"/>
    <x v="11"/>
    <s v="Nu"/>
  </r>
  <r>
    <x v="64"/>
    <x v="12"/>
    <n v="10109481"/>
    <n v="50547.404999999999"/>
    <x v="34"/>
    <x v="0"/>
    <d v="1899-12-30T03:25:00"/>
    <x v="7"/>
    <x v="4"/>
    <s v="Nu"/>
  </r>
  <r>
    <x v="65"/>
    <x v="31"/>
    <n v="10104000"/>
    <n v="50520"/>
    <x v="35"/>
    <x v="0"/>
    <d v="1899-12-30T02:49:00"/>
    <x v="10"/>
    <x v="2"/>
    <s v="Da"/>
  </r>
  <r>
    <x v="66"/>
    <x v="32"/>
    <n v="10086800"/>
    <n v="50434"/>
    <x v="36"/>
    <x v="0"/>
    <d v="1899-12-30T03:04:00"/>
    <x v="0"/>
    <x v="6"/>
    <s v="Nu"/>
  </r>
  <r>
    <x v="67"/>
    <x v="4"/>
    <n v="10030218"/>
    <n v="50151.090000000004"/>
    <x v="9"/>
    <x v="0"/>
    <d v="1899-12-30T03:03:00"/>
    <x v="1"/>
    <x v="1"/>
    <s v="Nu"/>
  </r>
  <r>
    <x v="68"/>
    <x v="33"/>
    <n v="9744131"/>
    <n v="48720.654999999999"/>
    <x v="37"/>
    <x v="0"/>
    <d v="1899-12-30T03:22:00"/>
    <x v="0"/>
    <x v="2"/>
    <s v="Nu"/>
  </r>
  <r>
    <x v="69"/>
    <x v="34"/>
    <n v="9541764"/>
    <n v="47708.819999999992"/>
    <x v="38"/>
    <x v="0"/>
    <d v="1899-12-30T05:21:00"/>
    <x v="3"/>
    <x v="4"/>
    <s v="Nu"/>
  </r>
  <r>
    <x v="70"/>
    <x v="6"/>
    <n v="9497239"/>
    <n v="47486.195"/>
    <x v="6"/>
    <x v="0"/>
    <d v="1899-12-30T02:53:00"/>
    <x v="0"/>
    <x v="1"/>
    <s v="Nu"/>
  </r>
  <r>
    <x v="71"/>
    <x v="17"/>
    <n v="9489399"/>
    <n v="47446.994999999995"/>
    <x v="39"/>
    <x v="0"/>
    <d v="1899-12-30T02:21:00"/>
    <x v="6"/>
    <x v="8"/>
    <s v="Nu"/>
  </r>
  <r>
    <x v="72"/>
    <x v="35"/>
    <n v="9374344"/>
    <n v="46871.719999999994"/>
    <x v="40"/>
    <x v="0"/>
    <d v="1899-12-30T04:03:00"/>
    <x v="0"/>
    <x v="0"/>
    <s v="Nu"/>
  </r>
  <r>
    <x v="73"/>
    <x v="36"/>
    <n v="9358037"/>
    <n v="46790.184999999998"/>
    <x v="41"/>
    <x v="0"/>
    <d v="1899-12-30T04:57:00"/>
    <x v="3"/>
    <x v="7"/>
    <s v="Nu"/>
  </r>
  <r>
    <x v="74"/>
    <x v="37"/>
    <n v="9310325"/>
    <n v="46551.625"/>
    <x v="42"/>
    <x v="0"/>
    <d v="1899-12-30T02:17:00"/>
    <x v="1"/>
    <x v="1"/>
    <s v="Da"/>
  </r>
  <r>
    <x v="75"/>
    <x v="4"/>
    <n v="9288349"/>
    <n v="46441.745000000003"/>
    <x v="43"/>
    <x v="0"/>
    <d v="1899-12-30T02:36:00"/>
    <x v="1"/>
    <x v="1"/>
    <s v="Nu"/>
  </r>
  <r>
    <x v="76"/>
    <x v="38"/>
    <n v="9221441"/>
    <n v="46107.205000000002"/>
    <x v="44"/>
    <x v="0"/>
    <d v="1899-12-30T03:23:00"/>
    <x v="0"/>
    <x v="1"/>
    <s v="Nu"/>
  </r>
  <r>
    <x v="77"/>
    <x v="4"/>
    <n v="9221270"/>
    <n v="46106.350000000006"/>
    <x v="45"/>
    <x v="0"/>
    <d v="1899-12-30T03:18:00"/>
    <x v="8"/>
    <x v="1"/>
    <s v="Nu"/>
  </r>
  <r>
    <x v="78"/>
    <x v="39"/>
    <n v="9164205"/>
    <n v="45821.025000000001"/>
    <x v="46"/>
    <x v="0"/>
    <d v="1899-12-30T03:23:00"/>
    <x v="5"/>
    <x v="14"/>
    <s v="Nu"/>
  </r>
  <r>
    <x v="79"/>
    <x v="40"/>
    <n v="8949541"/>
    <n v="44747.704999999994"/>
    <x v="47"/>
    <x v="0"/>
    <d v="1899-12-30T02:44:00"/>
    <x v="1"/>
    <x v="15"/>
    <s v="Nu"/>
  </r>
  <r>
    <x v="80"/>
    <x v="41"/>
    <n v="8898032"/>
    <n v="44490.159999999996"/>
    <x v="48"/>
    <x v="0"/>
    <d v="1899-12-30T04:12:00"/>
    <x v="0"/>
    <x v="2"/>
    <s v="Nu"/>
  </r>
  <r>
    <x v="81"/>
    <x v="6"/>
    <n v="8849812"/>
    <n v="44249.06"/>
    <x v="49"/>
    <x v="0"/>
    <d v="1899-12-30T03:35:00"/>
    <x v="4"/>
    <x v="1"/>
    <s v="Nu"/>
  </r>
  <r>
    <x v="82"/>
    <x v="4"/>
    <n v="8821108"/>
    <n v="44105.54"/>
    <x v="50"/>
    <x v="0"/>
    <d v="1899-12-30T02:27:00"/>
    <x v="3"/>
    <x v="1"/>
    <s v="Nu"/>
  </r>
  <r>
    <x v="83"/>
    <x v="4"/>
    <n v="8799808"/>
    <n v="43999.040000000008"/>
    <x v="51"/>
    <x v="0"/>
    <d v="1899-12-30T02:10:00"/>
    <x v="7"/>
    <x v="1"/>
    <s v="Nu"/>
  </r>
  <r>
    <x v="84"/>
    <x v="42"/>
    <n v="8664176"/>
    <n v="43320.88"/>
    <x v="52"/>
    <x v="0"/>
    <d v="1899-12-30T02:03:00"/>
    <x v="2"/>
    <x v="1"/>
    <s v="Da"/>
  </r>
  <r>
    <x v="85"/>
    <x v="43"/>
    <n v="8653162"/>
    <n v="43265.81"/>
    <x v="53"/>
    <x v="0"/>
    <d v="1899-12-30T02:18:00"/>
    <x v="5"/>
    <x v="1"/>
    <s v="Nu"/>
  </r>
  <r>
    <x v="86"/>
    <x v="44"/>
    <n v="8647549"/>
    <n v="43237.745000000003"/>
    <x v="54"/>
    <x v="0"/>
    <d v="1899-12-30T04:02:00"/>
    <x v="2"/>
    <x v="1"/>
    <s v="Da"/>
  </r>
  <r>
    <x v="87"/>
    <x v="45"/>
    <n v="8613553"/>
    <n v="43067.764999999999"/>
    <x v="55"/>
    <x v="0"/>
    <d v="1899-12-30T03:41:00"/>
    <x v="10"/>
    <x v="1"/>
    <s v="Nu"/>
  </r>
  <r>
    <x v="88"/>
    <x v="39"/>
    <n v="8470336"/>
    <n v="42351.679999999993"/>
    <x v="42"/>
    <x v="0"/>
    <d v="1899-12-30T02:55:00"/>
    <x v="10"/>
    <x v="14"/>
    <s v="Nu"/>
  </r>
  <r>
    <x v="89"/>
    <x v="46"/>
    <n v="8420550"/>
    <n v="42102.75"/>
    <x v="56"/>
    <x v="0"/>
    <d v="1899-12-30T02:53:00"/>
    <x v="10"/>
    <x v="1"/>
    <s v="Nu"/>
  </r>
  <r>
    <x v="90"/>
    <x v="47"/>
    <n v="8373451"/>
    <n v="41867.254999999997"/>
    <x v="57"/>
    <x v="0"/>
    <d v="1899-12-30T03:28:00"/>
    <x v="1"/>
    <x v="16"/>
    <s v="Nu"/>
  </r>
  <r>
    <x v="91"/>
    <x v="15"/>
    <n v="8309988"/>
    <n v="41549.939999999995"/>
    <x v="58"/>
    <x v="0"/>
    <d v="1899-12-30T02:49:00"/>
    <x v="6"/>
    <x v="2"/>
    <s v="Nu"/>
  </r>
  <r>
    <x v="92"/>
    <x v="15"/>
    <n v="8216633"/>
    <n v="41083.165000000001"/>
    <x v="59"/>
    <x v="0"/>
    <d v="1899-12-30T03:22:00"/>
    <x v="9"/>
    <x v="2"/>
    <s v="Nu"/>
  </r>
  <r>
    <x v="93"/>
    <x v="14"/>
    <n v="8164992"/>
    <n v="40824.959999999999"/>
    <x v="60"/>
    <x v="0"/>
    <d v="1899-12-30T02:53:00"/>
    <x v="9"/>
    <x v="7"/>
    <s v="Nu"/>
  </r>
  <r>
    <x v="94"/>
    <x v="48"/>
    <n v="8138053"/>
    <n v="40690.264999999999"/>
    <x v="61"/>
    <x v="0"/>
    <d v="1899-12-30T02:21:00"/>
    <x v="5"/>
    <x v="1"/>
    <s v="Nu"/>
  </r>
  <r>
    <x v="95"/>
    <x v="2"/>
    <n v="8102174"/>
    <n v="40510.870000000003"/>
    <x v="62"/>
    <x v="0"/>
    <d v="1899-12-30T03:32:00"/>
    <x v="0"/>
    <x v="2"/>
    <s v="Nu"/>
  </r>
  <r>
    <x v="96"/>
    <x v="49"/>
    <n v="8066320"/>
    <n v="40331.599999999999"/>
    <x v="63"/>
    <x v="0"/>
    <d v="1899-12-30T03:32:00"/>
    <x v="1"/>
    <x v="17"/>
    <s v="Nu"/>
  </r>
  <r>
    <x v="97"/>
    <x v="50"/>
    <n v="7991231"/>
    <n v="39956.154999999999"/>
    <x v="64"/>
    <x v="0"/>
    <d v="1899-12-30T03:31:00"/>
    <x v="7"/>
    <x v="17"/>
    <s v="Nu"/>
  </r>
  <r>
    <x v="98"/>
    <x v="13"/>
    <n v="7943160"/>
    <n v="39715.800000000003"/>
    <x v="65"/>
    <x v="0"/>
    <d v="1899-12-30T04:03:00"/>
    <x v="9"/>
    <x v="6"/>
    <s v="Nu"/>
  </r>
  <r>
    <x v="99"/>
    <x v="51"/>
    <n v="7942778"/>
    <n v="39713.89"/>
    <x v="66"/>
    <x v="0"/>
    <d v="1899-12-30T04:47:00"/>
    <x v="6"/>
    <x v="1"/>
    <s v="Nu"/>
  </r>
  <r>
    <x v="100"/>
    <x v="4"/>
    <n v="7880253"/>
    <n v="39401.264999999999"/>
    <x v="67"/>
    <x v="0"/>
    <d v="1899-12-30T02:58:00"/>
    <x v="2"/>
    <x v="1"/>
    <s v="Nu"/>
  </r>
  <r>
    <x v="101"/>
    <x v="52"/>
    <n v="7666991"/>
    <n v="38334.955000000002"/>
    <x v="68"/>
    <x v="0"/>
    <d v="1899-12-30T03:30:00"/>
    <x v="5"/>
    <x v="18"/>
    <s v="Nu"/>
  </r>
  <r>
    <x v="102"/>
    <x v="53"/>
    <n v="7655152"/>
    <n v="38275.760000000002"/>
    <x v="69"/>
    <x v="0"/>
    <d v="1899-12-30T02:25:00"/>
    <x v="8"/>
    <x v="1"/>
    <s v="Nu"/>
  </r>
  <r>
    <x v="103"/>
    <x v="54"/>
    <n v="7641025"/>
    <n v="38205.125"/>
    <x v="70"/>
    <x v="0"/>
    <d v="1899-12-30T04:57:00"/>
    <x v="4"/>
    <x v="1"/>
    <s v="Da"/>
  </r>
  <r>
    <x v="104"/>
    <x v="55"/>
    <n v="7601207"/>
    <n v="38006.035000000003"/>
    <x v="71"/>
    <x v="0"/>
    <d v="1899-12-30T04:58:00"/>
    <x v="4"/>
    <x v="1"/>
    <s v="Da"/>
  </r>
  <r>
    <x v="105"/>
    <x v="56"/>
    <n v="7551849"/>
    <n v="37759.245000000003"/>
    <x v="72"/>
    <x v="0"/>
    <d v="1899-12-30T05:39:00"/>
    <x v="3"/>
    <x v="19"/>
    <s v="Da"/>
  </r>
  <r>
    <x v="106"/>
    <x v="57"/>
    <n v="7454420"/>
    <n v="37272.1"/>
    <x v="73"/>
    <x v="0"/>
    <d v="1899-12-30T02:17:00"/>
    <x v="4"/>
    <x v="1"/>
    <s v="Nu"/>
  </r>
  <r>
    <x v="107"/>
    <x v="4"/>
    <n v="7405936"/>
    <n v="37029.68"/>
    <x v="74"/>
    <x v="0"/>
    <d v="1899-12-30T03:28:00"/>
    <x v="0"/>
    <x v="1"/>
    <s v="Nu"/>
  </r>
  <r>
    <x v="108"/>
    <x v="58"/>
    <n v="7403450"/>
    <n v="37017.25"/>
    <x v="75"/>
    <x v="0"/>
    <d v="1899-12-30T03:19:00"/>
    <x v="1"/>
    <x v="18"/>
    <s v="Nu"/>
  </r>
  <r>
    <x v="109"/>
    <x v="59"/>
    <n v="7346918"/>
    <n v="36734.589999999997"/>
    <x v="76"/>
    <x v="0"/>
    <d v="1899-12-30T03:46:00"/>
    <x v="0"/>
    <x v="17"/>
    <s v="Nu"/>
  </r>
  <r>
    <x v="110"/>
    <x v="60"/>
    <n v="7311942"/>
    <n v="36559.71"/>
    <x v="77"/>
    <x v="0"/>
    <d v="1899-12-30T03:58:00"/>
    <x v="2"/>
    <x v="1"/>
    <s v="Nu"/>
  </r>
  <r>
    <x v="111"/>
    <x v="61"/>
    <n v="7163894"/>
    <n v="35819.47"/>
    <x v="78"/>
    <x v="0"/>
    <d v="1899-12-30T03:50:00"/>
    <x v="1"/>
    <x v="1"/>
    <s v="Nu"/>
  </r>
  <r>
    <x v="112"/>
    <x v="7"/>
    <n v="7105986"/>
    <n v="35529.93"/>
    <x v="79"/>
    <x v="0"/>
    <d v="1899-12-30T02:36:00"/>
    <x v="3"/>
    <x v="1"/>
    <s v="Nu"/>
  </r>
  <r>
    <x v="113"/>
    <x v="60"/>
    <n v="7085474"/>
    <n v="35427.370000000003"/>
    <x v="69"/>
    <x v="0"/>
    <d v="1899-12-30T03:26:00"/>
    <x v="0"/>
    <x v="1"/>
    <s v="Nu"/>
  </r>
  <r>
    <x v="114"/>
    <x v="6"/>
    <n v="7045689"/>
    <n v="35228.445"/>
    <x v="80"/>
    <x v="0"/>
    <d v="1899-12-30T02:53:00"/>
    <x v="1"/>
    <x v="1"/>
    <s v="Nu"/>
  </r>
  <r>
    <x v="115"/>
    <x v="62"/>
    <n v="7034700"/>
    <n v="35173.5"/>
    <x v="81"/>
    <x v="0"/>
    <d v="1899-12-30T03:40:00"/>
    <x v="1"/>
    <x v="0"/>
    <s v="Nu"/>
  </r>
  <r>
    <x v="116"/>
    <x v="63"/>
    <n v="6995145"/>
    <n v="34975.725000000006"/>
    <x v="68"/>
    <x v="0"/>
    <d v="1899-12-30T03:37:00"/>
    <x v="0"/>
    <x v="1"/>
    <s v="Nu"/>
  </r>
  <r>
    <x v="117"/>
    <x v="64"/>
    <n v="6982261"/>
    <n v="34911.305"/>
    <x v="82"/>
    <x v="0"/>
    <d v="1899-12-30T03:23:00"/>
    <x v="1"/>
    <x v="1"/>
    <s v="Da"/>
  </r>
  <r>
    <x v="118"/>
    <x v="65"/>
    <n v="6934161"/>
    <n v="34670.805"/>
    <x v="83"/>
    <x v="0"/>
    <d v="1899-12-30T03:49:00"/>
    <x v="1"/>
    <x v="14"/>
    <s v="Nu"/>
  </r>
  <r>
    <x v="119"/>
    <x v="8"/>
    <n v="6914663"/>
    <n v="34573.314999999995"/>
    <x v="27"/>
    <x v="0"/>
    <d v="1899-12-30T04:02:00"/>
    <x v="3"/>
    <x v="1"/>
    <s v="Da"/>
  </r>
  <r>
    <x v="120"/>
    <x v="66"/>
    <n v="6894638"/>
    <n v="34473.19"/>
    <x v="70"/>
    <x v="0"/>
    <d v="1899-12-30T03:18:00"/>
    <x v="6"/>
    <x v="1"/>
    <s v="Da"/>
  </r>
  <r>
    <x v="121"/>
    <x v="47"/>
    <n v="6886210"/>
    <n v="34431.050000000003"/>
    <x v="84"/>
    <x v="0"/>
    <d v="1899-12-30T03:15:00"/>
    <x v="1"/>
    <x v="16"/>
    <s v="Nu"/>
  </r>
  <r>
    <x v="122"/>
    <x v="67"/>
    <n v="6845694"/>
    <n v="34228.47"/>
    <x v="85"/>
    <x v="0"/>
    <d v="1899-12-30T05:33:00"/>
    <x v="1"/>
    <x v="1"/>
    <s v="Nu"/>
  </r>
  <r>
    <x v="123"/>
    <x v="15"/>
    <n v="6790759"/>
    <n v="33953.794999999998"/>
    <x v="86"/>
    <x v="0"/>
    <d v="1899-12-30T03:23:00"/>
    <x v="3"/>
    <x v="2"/>
    <s v="Nu"/>
  </r>
  <r>
    <x v="124"/>
    <x v="0"/>
    <n v="6753205"/>
    <n v="33766.025000000001"/>
    <x v="87"/>
    <x v="0"/>
    <d v="1899-12-30T02:44:00"/>
    <x v="3"/>
    <x v="0"/>
    <s v="Da"/>
  </r>
  <r>
    <x v="125"/>
    <x v="68"/>
    <n v="6661269"/>
    <n v="33306.345000000001"/>
    <x v="88"/>
    <x v="0"/>
    <d v="1899-12-30T03:35:00"/>
    <x v="1"/>
    <x v="4"/>
    <s v="Nu"/>
  </r>
  <r>
    <x v="126"/>
    <x v="4"/>
    <n v="6621001"/>
    <n v="33105.005000000005"/>
    <x v="89"/>
    <x v="0"/>
    <d v="1899-12-30T02:44:00"/>
    <x v="3"/>
    <x v="1"/>
    <s v="Nu"/>
  </r>
  <r>
    <x v="127"/>
    <x v="69"/>
    <n v="6574515"/>
    <n v="32872.575000000004"/>
    <x v="90"/>
    <x v="0"/>
    <d v="1899-12-30T02:25:00"/>
    <x v="1"/>
    <x v="1"/>
    <s v="Nu"/>
  </r>
  <r>
    <x v="128"/>
    <x v="2"/>
    <n v="6548141"/>
    <n v="32740.704999999998"/>
    <x v="91"/>
    <x v="0"/>
    <d v="1899-12-30T03:21:00"/>
    <x v="0"/>
    <x v="2"/>
    <s v="Nu"/>
  </r>
  <r>
    <x v="129"/>
    <x v="9"/>
    <n v="6547678"/>
    <n v="32738.39"/>
    <x v="92"/>
    <x v="0"/>
    <d v="1899-12-30T04:12:00"/>
    <x v="10"/>
    <x v="4"/>
    <s v="Nu"/>
  </r>
  <r>
    <x v="130"/>
    <x v="60"/>
    <n v="6545416"/>
    <n v="32727.08"/>
    <x v="93"/>
    <x v="0"/>
    <d v="1899-12-30T02:58:00"/>
    <x v="3"/>
    <x v="1"/>
    <s v="Nu"/>
  </r>
  <r>
    <x v="131"/>
    <x v="2"/>
    <n v="6506168"/>
    <n v="32530.839999999997"/>
    <x v="66"/>
    <x v="0"/>
    <d v="1899-12-30T02:35:00"/>
    <x v="3"/>
    <x v="2"/>
    <s v="Nu"/>
  </r>
  <r>
    <x v="132"/>
    <x v="70"/>
    <n v="6496714"/>
    <n v="32483.57"/>
    <x v="94"/>
    <x v="0"/>
    <d v="1899-12-30T03:35:00"/>
    <x v="8"/>
    <x v="1"/>
    <s v="Nu"/>
  </r>
  <r>
    <x v="133"/>
    <x v="71"/>
    <n v="6495643"/>
    <n v="32478.215"/>
    <x v="78"/>
    <x v="0"/>
    <d v="1899-12-30T03:07:00"/>
    <x v="0"/>
    <x v="7"/>
    <s v="Nu"/>
  </r>
  <r>
    <x v="134"/>
    <x v="72"/>
    <n v="6469004"/>
    <n v="32345.02"/>
    <x v="95"/>
    <x v="0"/>
    <d v="1899-12-30T02:27:00"/>
    <x v="3"/>
    <x v="2"/>
    <s v="Da"/>
  </r>
  <r>
    <x v="135"/>
    <x v="72"/>
    <n v="6413378"/>
    <n v="32066.89"/>
    <x v="78"/>
    <x v="0"/>
    <d v="1899-12-30T04:21:00"/>
    <x v="2"/>
    <x v="2"/>
    <s v="Da"/>
  </r>
  <r>
    <x v="136"/>
    <x v="73"/>
    <n v="6350650"/>
    <n v="31753.25"/>
    <x v="96"/>
    <x v="0"/>
    <d v="1899-12-30T03:17:00"/>
    <x v="2"/>
    <x v="1"/>
    <s v="Nu"/>
  </r>
  <r>
    <x v="137"/>
    <x v="74"/>
    <n v="6326405"/>
    <n v="31632.024999999998"/>
    <x v="97"/>
    <x v="0"/>
    <d v="1899-12-30T02:10:00"/>
    <x v="5"/>
    <x v="6"/>
    <s v="Da"/>
  </r>
  <r>
    <x v="138"/>
    <x v="75"/>
    <n v="6298038"/>
    <n v="31490.19"/>
    <x v="98"/>
    <x v="0"/>
    <d v="1899-12-30T03:18:00"/>
    <x v="8"/>
    <x v="18"/>
    <s v="Nu"/>
  </r>
  <r>
    <x v="139"/>
    <x v="76"/>
    <n v="6276595"/>
    <n v="31382.975000000002"/>
    <x v="99"/>
    <x v="0"/>
    <d v="1899-12-30T04:02:00"/>
    <x v="1"/>
    <x v="9"/>
    <s v="Nu"/>
  </r>
  <r>
    <x v="140"/>
    <x v="77"/>
    <n v="6233421"/>
    <n v="31167.105000000003"/>
    <x v="46"/>
    <x v="0"/>
    <d v="1899-12-30T04:33:00"/>
    <x v="0"/>
    <x v="4"/>
    <s v="Nu"/>
  </r>
  <r>
    <x v="141"/>
    <x v="78"/>
    <n v="6231650"/>
    <n v="31158.25"/>
    <x v="24"/>
    <x v="0"/>
    <d v="1899-12-30T02:03:00"/>
    <x v="2"/>
    <x v="20"/>
    <s v="Nu"/>
  </r>
  <r>
    <x v="142"/>
    <x v="79"/>
    <n v="6157058"/>
    <n v="30785.29"/>
    <x v="100"/>
    <x v="0"/>
    <d v="1899-12-30T02:44:00"/>
    <x v="1"/>
    <x v="21"/>
    <s v="Nu"/>
  </r>
  <r>
    <x v="143"/>
    <x v="80"/>
    <n v="6153223"/>
    <n v="30766.114999999998"/>
    <x v="99"/>
    <x v="0"/>
    <d v="1899-12-30T05:58:00"/>
    <x v="2"/>
    <x v="22"/>
    <s v="Nu"/>
  </r>
  <r>
    <x v="144"/>
    <x v="81"/>
    <n v="6121532"/>
    <n v="30607.66"/>
    <x v="50"/>
    <x v="0"/>
    <d v="1899-12-30T02:18:00"/>
    <x v="1"/>
    <x v="2"/>
    <s v="Nu"/>
  </r>
  <r>
    <x v="145"/>
    <x v="82"/>
    <n v="6120237"/>
    <n v="30601.185000000001"/>
    <x v="101"/>
    <x v="0"/>
    <d v="1899-12-30T02:08:00"/>
    <x v="1"/>
    <x v="18"/>
    <s v="Nu"/>
  </r>
  <r>
    <x v="146"/>
    <x v="83"/>
    <n v="6114059"/>
    <n v="30570.295000000002"/>
    <x v="102"/>
    <x v="0"/>
    <d v="1899-12-30T04:02:00"/>
    <x v="1"/>
    <x v="1"/>
    <s v="Nu"/>
  </r>
  <r>
    <x v="147"/>
    <x v="84"/>
    <n v="6105892"/>
    <n v="30529.46"/>
    <x v="103"/>
    <x v="0"/>
    <d v="1899-12-30T03:21:00"/>
    <x v="1"/>
    <x v="11"/>
    <s v="Da"/>
  </r>
  <r>
    <x v="148"/>
    <x v="85"/>
    <n v="6082394"/>
    <n v="30411.97"/>
    <x v="66"/>
    <x v="0"/>
    <d v="1899-12-30T03:12:00"/>
    <x v="7"/>
    <x v="1"/>
    <s v="Da"/>
  </r>
  <r>
    <x v="149"/>
    <x v="23"/>
    <n v="6074364"/>
    <n v="30371.82"/>
    <x v="16"/>
    <x v="0"/>
    <d v="1899-12-30T03:41:00"/>
    <x v="0"/>
    <x v="1"/>
    <s v="Nu"/>
  </r>
  <r>
    <x v="150"/>
    <x v="32"/>
    <n v="6005385"/>
    <n v="30026.925000000003"/>
    <x v="12"/>
    <x v="0"/>
    <d v="1899-12-30T08:58:00"/>
    <x v="6"/>
    <x v="6"/>
    <s v="Nu"/>
  </r>
  <r>
    <x v="151"/>
    <x v="86"/>
    <n v="6004042"/>
    <n v="30020.210000000003"/>
    <x v="104"/>
    <x v="0"/>
    <d v="1899-12-30T02:55:00"/>
    <x v="1"/>
    <x v="1"/>
    <s v="Nu"/>
  </r>
  <r>
    <x v="152"/>
    <x v="87"/>
    <n v="6003966"/>
    <n v="30019.83"/>
    <x v="90"/>
    <x v="0"/>
    <d v="1899-12-30T04:01:00"/>
    <x v="0"/>
    <x v="4"/>
    <s v="Nu"/>
  </r>
  <r>
    <x v="153"/>
    <x v="88"/>
    <n v="5998403"/>
    <n v="29992.014999999999"/>
    <x v="104"/>
    <x v="0"/>
    <d v="1899-12-30T02:53:00"/>
    <x v="7"/>
    <x v="6"/>
    <s v="Nu"/>
  </r>
  <r>
    <x v="154"/>
    <x v="43"/>
    <n v="5993917"/>
    <n v="29969.585000000003"/>
    <x v="53"/>
    <x v="0"/>
    <d v="1899-12-30T02:54:00"/>
    <x v="1"/>
    <x v="1"/>
    <s v="Nu"/>
  </r>
  <r>
    <x v="155"/>
    <x v="89"/>
    <n v="5972305"/>
    <n v="29861.525000000001"/>
    <x v="105"/>
    <x v="0"/>
    <d v="1899-12-30T03:28:00"/>
    <x v="1"/>
    <x v="6"/>
    <s v="Da"/>
  </r>
  <r>
    <x v="156"/>
    <x v="4"/>
    <n v="5958383"/>
    <n v="29791.915000000001"/>
    <x v="106"/>
    <x v="0"/>
    <d v="1899-12-30T02:44:00"/>
    <x v="0"/>
    <x v="1"/>
    <s v="Nu"/>
  </r>
  <r>
    <x v="157"/>
    <x v="90"/>
    <n v="5951649"/>
    <n v="29758.245000000003"/>
    <x v="16"/>
    <x v="0"/>
    <d v="1899-12-30T02:45:00"/>
    <x v="1"/>
    <x v="18"/>
    <s v="Nu"/>
  </r>
  <r>
    <x v="158"/>
    <x v="91"/>
    <n v="5924965"/>
    <n v="29624.825000000001"/>
    <x v="107"/>
    <x v="0"/>
    <d v="1899-12-30T03:25:00"/>
    <x v="1"/>
    <x v="1"/>
    <s v="Nu"/>
  </r>
  <r>
    <x v="159"/>
    <x v="92"/>
    <n v="5894508"/>
    <n v="29472.54"/>
    <x v="108"/>
    <x v="0"/>
    <d v="1899-12-30T02:49:00"/>
    <x v="3"/>
    <x v="18"/>
    <s v="Nu"/>
  </r>
  <r>
    <x v="160"/>
    <x v="93"/>
    <n v="5882287"/>
    <n v="29411.435000000001"/>
    <x v="85"/>
    <x v="0"/>
    <d v="1899-12-30T03:04:00"/>
    <x v="6"/>
    <x v="23"/>
    <s v="Nu"/>
  </r>
  <r>
    <x v="161"/>
    <x v="94"/>
    <n v="5878089"/>
    <n v="29390.445"/>
    <x v="109"/>
    <x v="0"/>
    <d v="1899-12-30T03:03:00"/>
    <x v="1"/>
    <x v="2"/>
    <s v="Nu"/>
  </r>
  <r>
    <x v="162"/>
    <x v="95"/>
    <n v="5872293"/>
    <n v="29361.464999999997"/>
    <x v="110"/>
    <x v="0"/>
    <d v="1899-12-30T03:22:00"/>
    <x v="1"/>
    <x v="2"/>
    <s v="Nu"/>
  </r>
  <r>
    <x v="163"/>
    <x v="96"/>
    <n v="5851282"/>
    <n v="29256.41"/>
    <x v="6"/>
    <x v="0"/>
    <d v="1899-12-30T05:21:00"/>
    <x v="3"/>
    <x v="19"/>
    <s v="Nu"/>
  </r>
  <r>
    <x v="164"/>
    <x v="97"/>
    <n v="5838830"/>
    <n v="29194.15"/>
    <x v="108"/>
    <x v="0"/>
    <d v="1899-12-30T02:53:00"/>
    <x v="3"/>
    <x v="0"/>
    <s v="Nu"/>
  </r>
  <r>
    <x v="165"/>
    <x v="98"/>
    <n v="5829947"/>
    <n v="29149.735000000001"/>
    <x v="111"/>
    <x v="0"/>
    <d v="1899-12-30T03:28:00"/>
    <x v="1"/>
    <x v="1"/>
    <s v="Nu"/>
  </r>
  <r>
    <x v="166"/>
    <x v="99"/>
    <n v="5822755"/>
    <n v="29113.775000000001"/>
    <x v="18"/>
    <x v="0"/>
    <d v="1899-12-30T02:53:00"/>
    <x v="3"/>
    <x v="0"/>
    <s v="Nu"/>
  </r>
  <r>
    <x v="167"/>
    <x v="100"/>
    <n v="5812990"/>
    <n v="29064.949999999997"/>
    <x v="91"/>
    <x v="0"/>
    <d v="1899-12-30T03:18:00"/>
    <x v="1"/>
    <x v="8"/>
    <s v="Nu"/>
  </r>
  <r>
    <x v="168"/>
    <x v="64"/>
    <n v="5809131"/>
    <n v="29045.655000000002"/>
    <x v="71"/>
    <x v="0"/>
    <d v="1899-12-30T03:23:00"/>
    <x v="0"/>
    <x v="1"/>
    <s v="Nu"/>
  </r>
  <r>
    <x v="169"/>
    <x v="86"/>
    <n v="5797515"/>
    <n v="28987.575000000001"/>
    <x v="42"/>
    <x v="0"/>
    <d v="1899-12-30T02:21:00"/>
    <x v="10"/>
    <x v="1"/>
    <s v="Nu"/>
  </r>
  <r>
    <x v="170"/>
    <x v="101"/>
    <n v="5764745"/>
    <n v="28823.724999999999"/>
    <x v="41"/>
    <x v="0"/>
    <d v="1899-12-30T03:32:00"/>
    <x v="3"/>
    <x v="4"/>
    <s v="Nu"/>
  </r>
  <r>
    <x v="171"/>
    <x v="102"/>
    <n v="5762698"/>
    <n v="28813.49"/>
    <x v="49"/>
    <x v="0"/>
    <d v="1899-12-30T03:32:00"/>
    <x v="3"/>
    <x v="18"/>
    <s v="Nu"/>
  </r>
  <r>
    <x v="172"/>
    <x v="16"/>
    <n v="5738552"/>
    <n v="28692.76"/>
    <x v="112"/>
    <x v="0"/>
    <d v="1899-12-30T03:31:00"/>
    <x v="8"/>
    <x v="6"/>
    <s v="Nu"/>
  </r>
  <r>
    <x v="173"/>
    <x v="103"/>
    <n v="5721405"/>
    <n v="28607.024999999998"/>
    <x v="10"/>
    <x v="0"/>
    <d v="1899-12-30T04:03:00"/>
    <x v="0"/>
    <x v="24"/>
    <s v="Nu"/>
  </r>
  <r>
    <x v="174"/>
    <x v="104"/>
    <n v="5690198"/>
    <n v="28450.99"/>
    <x v="9"/>
    <x v="0"/>
    <d v="1899-12-30T04:47:00"/>
    <x v="3"/>
    <x v="1"/>
    <s v="Nu"/>
  </r>
  <r>
    <x v="175"/>
    <x v="48"/>
    <n v="5663659"/>
    <n v="28318.294999999998"/>
    <x v="11"/>
    <x v="0"/>
    <d v="1899-12-30T02:58:00"/>
    <x v="2"/>
    <x v="1"/>
    <s v="Nu"/>
  </r>
  <r>
    <x v="176"/>
    <x v="105"/>
    <n v="5643695"/>
    <n v="28218.474999999999"/>
    <x v="12"/>
    <x v="0"/>
    <d v="1899-12-30T03:30:00"/>
    <x v="2"/>
    <x v="2"/>
    <s v="Nu"/>
  </r>
  <r>
    <x v="177"/>
    <x v="63"/>
    <n v="5635533"/>
    <n v="28177.665000000001"/>
    <x v="13"/>
    <x v="0"/>
    <d v="1899-12-30T02:25:00"/>
    <x v="5"/>
    <x v="1"/>
    <s v="Nu"/>
  </r>
  <r>
    <x v="178"/>
    <x v="106"/>
    <n v="5610966"/>
    <n v="28054.83"/>
    <x v="9"/>
    <x v="0"/>
    <d v="1899-12-30T04:57:00"/>
    <x v="8"/>
    <x v="2"/>
    <s v="Nu"/>
  </r>
  <r>
    <x v="179"/>
    <x v="107"/>
    <n v="5599395"/>
    <n v="27996.975000000002"/>
    <x v="14"/>
    <x v="0"/>
    <d v="1899-12-30T04:58:00"/>
    <x v="1"/>
    <x v="1"/>
    <s v="Da"/>
  </r>
  <r>
    <x v="180"/>
    <x v="108"/>
    <n v="5593786"/>
    <n v="27968.93"/>
    <x v="15"/>
    <x v="0"/>
    <d v="1899-12-30T05:39:00"/>
    <x v="0"/>
    <x v="25"/>
    <s v="Nu"/>
  </r>
  <r>
    <x v="181"/>
    <x v="21"/>
    <n v="5574638"/>
    <n v="27873.19"/>
    <x v="9"/>
    <x v="0"/>
    <d v="1899-12-30T02:17:00"/>
    <x v="2"/>
    <x v="4"/>
    <s v="Nu"/>
  </r>
  <r>
    <x v="182"/>
    <x v="109"/>
    <n v="5557982"/>
    <n v="27789.91"/>
    <x v="16"/>
    <x v="0"/>
    <d v="1899-12-30T03:28:00"/>
    <x v="1"/>
    <x v="2"/>
    <s v="Nu"/>
  </r>
  <r>
    <x v="183"/>
    <x v="110"/>
    <n v="5547450"/>
    <n v="27737.25"/>
    <x v="17"/>
    <x v="0"/>
    <d v="1899-12-30T03:19:00"/>
    <x v="2"/>
    <x v="1"/>
    <s v="Da"/>
  </r>
  <r>
    <x v="184"/>
    <x v="111"/>
    <n v="5547420"/>
    <n v="27737.1"/>
    <x v="56"/>
    <x v="0"/>
    <d v="1899-12-30T03:46:00"/>
    <x v="1"/>
    <x v="2"/>
    <s v="Nu"/>
  </r>
  <r>
    <x v="185"/>
    <x v="112"/>
    <n v="5520749"/>
    <n v="27603.744999999999"/>
    <x v="57"/>
    <x v="0"/>
    <d v="1899-12-30T03:58:00"/>
    <x v="1"/>
    <x v="2"/>
    <s v="Nu"/>
  </r>
  <r>
    <x v="186"/>
    <x v="24"/>
    <n v="5502543"/>
    <n v="27512.714999999997"/>
    <x v="58"/>
    <x v="0"/>
    <d v="1899-12-30T03:50:00"/>
    <x v="1"/>
    <x v="7"/>
    <s v="Nu"/>
  </r>
  <r>
    <x v="187"/>
    <x v="113"/>
    <n v="5477944"/>
    <n v="27389.72"/>
    <x v="59"/>
    <x v="0"/>
    <d v="1899-12-30T02:36:00"/>
    <x v="1"/>
    <x v="2"/>
    <s v="Nu"/>
  </r>
  <r>
    <x v="188"/>
    <x v="114"/>
    <n v="5468079"/>
    <n v="27340.394999999997"/>
    <x v="60"/>
    <x v="0"/>
    <d v="1899-12-30T03:26:00"/>
    <x v="7"/>
    <x v="6"/>
    <s v="Nu"/>
  </r>
  <r>
    <x v="189"/>
    <x v="7"/>
    <n v="5460982"/>
    <n v="27304.91"/>
    <x v="61"/>
    <x v="0"/>
    <d v="1899-12-30T02:53:00"/>
    <x v="0"/>
    <x v="1"/>
    <s v="Nu"/>
  </r>
  <r>
    <x v="190"/>
    <x v="115"/>
    <n v="5459053"/>
    <n v="27295.264999999999"/>
    <x v="62"/>
    <x v="0"/>
    <d v="1899-12-30T03:40:00"/>
    <x v="6"/>
    <x v="1"/>
    <s v="Nu"/>
  </r>
  <r>
    <x v="191"/>
    <x v="116"/>
    <n v="5452012"/>
    <n v="27260.059999999998"/>
    <x v="63"/>
    <x v="0"/>
    <d v="1899-12-30T03:37:00"/>
    <x v="1"/>
    <x v="1"/>
    <s v="Nu"/>
  </r>
  <r>
    <x v="192"/>
    <x v="105"/>
    <n v="5430793"/>
    <n v="27153.964999999997"/>
    <x v="64"/>
    <x v="0"/>
    <d v="1899-12-30T03:23:00"/>
    <x v="0"/>
    <x v="2"/>
    <s v="Nu"/>
  </r>
  <r>
    <x v="193"/>
    <x v="117"/>
    <n v="5415878"/>
    <n v="27079.39"/>
    <x v="65"/>
    <x v="0"/>
    <d v="1899-12-30T03:49:00"/>
    <x v="7"/>
    <x v="26"/>
    <s v="Nu"/>
  </r>
  <r>
    <x v="194"/>
    <x v="118"/>
    <n v="5408080"/>
    <n v="27040.400000000001"/>
    <x v="66"/>
    <x v="0"/>
    <d v="1899-12-30T04:02:00"/>
    <x v="1"/>
    <x v="1"/>
    <s v="Nu"/>
  </r>
  <r>
    <x v="195"/>
    <x v="96"/>
    <n v="5406193"/>
    <n v="27030.965"/>
    <x v="67"/>
    <x v="0"/>
    <d v="1899-12-30T03:18:00"/>
    <x v="1"/>
    <x v="19"/>
    <s v="Nu"/>
  </r>
  <r>
    <x v="196"/>
    <x v="12"/>
    <n v="5389195"/>
    <n v="26945.974999999999"/>
    <x v="68"/>
    <x v="0"/>
    <d v="1899-12-30T03:15:00"/>
    <x v="0"/>
    <x v="4"/>
    <s v="Nu"/>
  </r>
  <r>
    <x v="197"/>
    <x v="119"/>
    <n v="5388870"/>
    <n v="26944.35"/>
    <x v="113"/>
    <x v="0"/>
    <d v="1899-12-30T05:33:00"/>
    <x v="1"/>
    <x v="1"/>
    <s v="Da"/>
  </r>
  <r>
    <x v="198"/>
    <x v="120"/>
    <n v="5385078"/>
    <n v="26925.390000000003"/>
    <x v="7"/>
    <x v="0"/>
    <d v="1899-12-30T03:23:00"/>
    <x v="1"/>
    <x v="1"/>
    <s v="Da"/>
  </r>
  <r>
    <x v="199"/>
    <x v="8"/>
    <n v="5363281"/>
    <n v="26816.404999999999"/>
    <x v="69"/>
    <x v="0"/>
    <d v="1899-12-30T02:44:00"/>
    <x v="3"/>
    <x v="1"/>
    <s v="Nu"/>
  </r>
  <r>
    <x v="0"/>
    <x v="0"/>
    <n v="61385396"/>
    <n v="306926.98"/>
    <x v="0"/>
    <x v="1"/>
    <d v="1899-12-30T02:21:00"/>
    <x v="0"/>
    <x v="0"/>
    <s v="Da"/>
  </r>
  <r>
    <x v="1"/>
    <x v="1"/>
    <n v="53085371"/>
    <n v="265426.85499999998"/>
    <x v="1"/>
    <x v="1"/>
    <d v="1899-12-30T03:32:00"/>
    <x v="1"/>
    <x v="1"/>
    <s v="Da"/>
  </r>
  <r>
    <x v="200"/>
    <x v="1"/>
    <n v="32546474"/>
    <n v="162732.37"/>
    <x v="60"/>
    <x v="1"/>
    <d v="1899-12-30T04:21:00"/>
    <x v="0"/>
    <x v="1"/>
    <s v="Nu"/>
  </r>
  <r>
    <x v="16"/>
    <x v="10"/>
    <n v="31103477"/>
    <n v="155517.38500000001"/>
    <x v="14"/>
    <x v="1"/>
    <d v="1899-12-30T03:58:00"/>
    <x v="0"/>
    <x v="2"/>
    <s v="Nu"/>
  </r>
  <r>
    <x v="2"/>
    <x v="2"/>
    <n v="30276896"/>
    <n v="151384.48000000001"/>
    <x v="2"/>
    <x v="1"/>
    <d v="1899-12-30T03:32:00"/>
    <x v="0"/>
    <x v="2"/>
    <s v="Nu"/>
  </r>
  <r>
    <x v="5"/>
    <x v="5"/>
    <n v="30119703"/>
    <n v="150598.51500000001"/>
    <x v="5"/>
    <x v="1"/>
    <d v="1899-12-30T04:47:00"/>
    <x v="3"/>
    <x v="4"/>
    <s v="Nu"/>
  </r>
  <r>
    <x v="8"/>
    <x v="7"/>
    <n v="29648304"/>
    <n v="148241.51999999999"/>
    <x v="8"/>
    <x v="1"/>
    <d v="1899-12-30T02:25:00"/>
    <x v="0"/>
    <x v="1"/>
    <s v="Nu"/>
  </r>
  <r>
    <x v="12"/>
    <x v="1"/>
    <n v="28933084"/>
    <n v="144665.41999999998"/>
    <x v="11"/>
    <x v="1"/>
    <d v="1899-12-30T02:17:00"/>
    <x v="0"/>
    <x v="1"/>
    <s v="Nu"/>
  </r>
  <r>
    <x v="201"/>
    <x v="2"/>
    <n v="27138539"/>
    <n v="135692.69500000001"/>
    <x v="86"/>
    <x v="1"/>
    <d v="1899-12-30T02:32:00"/>
    <x v="0"/>
    <x v="2"/>
    <s v="Nu"/>
  </r>
  <r>
    <x v="3"/>
    <x v="3"/>
    <n v="26309445"/>
    <n v="131547.22500000001"/>
    <x v="3"/>
    <x v="1"/>
    <d v="1899-12-30T03:31:00"/>
    <x v="2"/>
    <x v="3"/>
    <s v="Nu"/>
  </r>
  <r>
    <x v="6"/>
    <x v="6"/>
    <n v="24943366"/>
    <n v="124716.83000000002"/>
    <x v="6"/>
    <x v="1"/>
    <d v="1899-12-30T02:58:00"/>
    <x v="0"/>
    <x v="1"/>
    <s v="Nu"/>
  </r>
  <r>
    <x v="202"/>
    <x v="89"/>
    <n v="23088866"/>
    <n v="115444.33000000002"/>
    <x v="56"/>
    <x v="1"/>
    <d v="1899-12-30T01:20:00"/>
    <x v="1"/>
    <x v="6"/>
    <s v="Da"/>
  </r>
  <r>
    <x v="7"/>
    <x v="7"/>
    <n v="22506534"/>
    <n v="112532.67"/>
    <x v="7"/>
    <x v="1"/>
    <d v="1899-12-30T03:30:00"/>
    <x v="0"/>
    <x v="1"/>
    <s v="Nu"/>
  </r>
  <r>
    <x v="203"/>
    <x v="89"/>
    <n v="20658947"/>
    <n v="103294.735"/>
    <x v="56"/>
    <x v="1"/>
    <d v="1899-12-30T03:23:00"/>
    <x v="1"/>
    <x v="6"/>
    <s v="Da"/>
  </r>
  <r>
    <x v="13"/>
    <x v="7"/>
    <n v="19826752"/>
    <n v="99133.760000000009"/>
    <x v="12"/>
    <x v="1"/>
    <d v="1899-12-30T03:28:00"/>
    <x v="0"/>
    <x v="1"/>
    <s v="Da"/>
  </r>
  <r>
    <x v="10"/>
    <x v="8"/>
    <n v="19263184"/>
    <n v="96315.920000000013"/>
    <x v="10"/>
    <x v="1"/>
    <d v="1899-12-30T04:58:00"/>
    <x v="4"/>
    <x v="1"/>
    <s v="Nu"/>
  </r>
  <r>
    <x v="204"/>
    <x v="121"/>
    <n v="18234742"/>
    <n v="91173.709999999992"/>
    <x v="56"/>
    <x v="1"/>
    <d v="1899-12-30T03:21:00"/>
    <x v="0"/>
    <x v="1"/>
    <s v="Nu"/>
  </r>
  <r>
    <x v="68"/>
    <x v="33"/>
    <n v="17171664"/>
    <n v="85858.32"/>
    <x v="37"/>
    <x v="1"/>
    <d v="1899-12-30T03:22:00"/>
    <x v="0"/>
    <x v="2"/>
    <s v="Nu"/>
  </r>
  <r>
    <x v="19"/>
    <x v="12"/>
    <n v="16613967"/>
    <n v="83069.835000000006"/>
    <x v="16"/>
    <x v="1"/>
    <d v="1899-12-30T03:26:00"/>
    <x v="3"/>
    <x v="4"/>
    <s v="Nu"/>
  </r>
  <r>
    <x v="14"/>
    <x v="9"/>
    <n v="16491457"/>
    <n v="82457.284999999989"/>
    <x v="13"/>
    <x v="1"/>
    <d v="1899-12-30T03:19:00"/>
    <x v="3"/>
    <x v="4"/>
    <s v="Nu"/>
  </r>
  <r>
    <x v="205"/>
    <x v="89"/>
    <n v="15925804"/>
    <n v="79629.02"/>
    <x v="56"/>
    <x v="1"/>
    <d v="1899-12-30T02:03:00"/>
    <x v="1"/>
    <x v="6"/>
    <s v="Da"/>
  </r>
  <r>
    <x v="206"/>
    <x v="89"/>
    <n v="15905936"/>
    <n v="79529.679999999993"/>
    <x v="56"/>
    <x v="1"/>
    <d v="1899-12-30T04:01:00"/>
    <x v="1"/>
    <x v="6"/>
    <s v="Da"/>
  </r>
  <r>
    <x v="17"/>
    <x v="11"/>
    <n v="15694072"/>
    <n v="78470.36"/>
    <x v="15"/>
    <x v="1"/>
    <d v="1899-12-30T03:50:00"/>
    <x v="3"/>
    <x v="5"/>
    <s v="Nu"/>
  </r>
  <r>
    <x v="207"/>
    <x v="122"/>
    <n v="15577524"/>
    <n v="77887.62"/>
    <x v="114"/>
    <x v="1"/>
    <d v="1899-12-30T03:20:00"/>
    <x v="1"/>
    <x v="27"/>
    <s v="Nu"/>
  </r>
  <r>
    <x v="4"/>
    <x v="4"/>
    <n v="15167133"/>
    <n v="75835.664999999994"/>
    <x v="4"/>
    <x v="1"/>
    <d v="1899-12-30T04:03:00"/>
    <x v="1"/>
    <x v="1"/>
    <s v="Nu"/>
  </r>
  <r>
    <x v="24"/>
    <x v="6"/>
    <n v="15165886"/>
    <n v="75829.430000000008"/>
    <x v="6"/>
    <x v="1"/>
    <d v="1899-12-30T03:49:00"/>
    <x v="0"/>
    <x v="1"/>
    <s v="Nu"/>
  </r>
  <r>
    <x v="23"/>
    <x v="15"/>
    <n v="15154174"/>
    <n v="75770.87000000001"/>
    <x v="20"/>
    <x v="1"/>
    <d v="1899-12-30T03:23:00"/>
    <x v="0"/>
    <x v="2"/>
    <s v="Da"/>
  </r>
  <r>
    <x v="43"/>
    <x v="14"/>
    <n v="14735208"/>
    <n v="73676.040000000008"/>
    <x v="25"/>
    <x v="1"/>
    <d v="1899-12-30T02:10:00"/>
    <x v="3"/>
    <x v="7"/>
    <s v="Nu"/>
  </r>
  <r>
    <x v="208"/>
    <x v="123"/>
    <n v="14592123"/>
    <n v="72960.614999999991"/>
    <x v="78"/>
    <x v="1"/>
    <d v="1899-12-30T02:46:00"/>
    <x v="0"/>
    <x v="1"/>
    <s v="Nu"/>
  </r>
  <r>
    <x v="26"/>
    <x v="16"/>
    <n v="14173474"/>
    <n v="70867.37"/>
    <x v="17"/>
    <x v="1"/>
    <d v="1899-12-30T03:18:00"/>
    <x v="0"/>
    <x v="6"/>
    <s v="Da"/>
  </r>
  <r>
    <x v="21"/>
    <x v="13"/>
    <n v="13898588"/>
    <n v="69492.94"/>
    <x v="18"/>
    <x v="1"/>
    <d v="1899-12-30T03:40:00"/>
    <x v="5"/>
    <x v="6"/>
    <s v="Nu"/>
  </r>
  <r>
    <x v="209"/>
    <x v="124"/>
    <n v="13833060"/>
    <n v="69165.3"/>
    <x v="6"/>
    <x v="1"/>
    <d v="1899-12-30T02:26:00"/>
    <x v="11"/>
    <x v="28"/>
    <s v="Nu"/>
  </r>
  <r>
    <x v="22"/>
    <x v="14"/>
    <n v="13614671"/>
    <n v="68073.354999999996"/>
    <x v="19"/>
    <x v="1"/>
    <d v="1899-12-30T03:37:00"/>
    <x v="3"/>
    <x v="7"/>
    <s v="Nu"/>
  </r>
  <r>
    <x v="210"/>
    <x v="125"/>
    <n v="13473188"/>
    <n v="67365.94"/>
    <x v="80"/>
    <x v="1"/>
    <d v="1899-12-30T03:45:00"/>
    <x v="0"/>
    <x v="1"/>
    <s v="Nu"/>
  </r>
  <r>
    <x v="20"/>
    <x v="3"/>
    <n v="13194771"/>
    <n v="65973.85500000001"/>
    <x v="17"/>
    <x v="1"/>
    <d v="1899-12-30T02:53:00"/>
    <x v="2"/>
    <x v="3"/>
    <s v="Nu"/>
  </r>
  <r>
    <x v="34"/>
    <x v="13"/>
    <n v="13014956"/>
    <n v="65074.78"/>
    <x v="23"/>
    <x v="1"/>
    <d v="1899-12-30T03:21:00"/>
    <x v="5"/>
    <x v="6"/>
    <s v="Nu"/>
  </r>
  <r>
    <x v="31"/>
    <x v="13"/>
    <n v="12579776"/>
    <n v="62898.879999999997"/>
    <x v="21"/>
    <x v="1"/>
    <d v="1899-12-30T03:35:00"/>
    <x v="5"/>
    <x v="6"/>
    <s v="Da"/>
  </r>
  <r>
    <x v="211"/>
    <x v="1"/>
    <n v="12520878"/>
    <n v="62604.39"/>
    <x v="115"/>
    <x v="1"/>
    <d v="1899-12-30T05:23:00"/>
    <x v="1"/>
    <x v="1"/>
    <s v="Da"/>
  </r>
  <r>
    <x v="47"/>
    <x v="22"/>
    <n v="12485782"/>
    <n v="62428.909999999996"/>
    <x v="28"/>
    <x v="1"/>
    <d v="1899-12-30T02:03:00"/>
    <x v="1"/>
    <x v="10"/>
    <s v="Nu"/>
  </r>
  <r>
    <x v="45"/>
    <x v="6"/>
    <n v="11952143"/>
    <n v="59760.714999999997"/>
    <x v="26"/>
    <x v="1"/>
    <d v="1899-12-30T04:02:00"/>
    <x v="0"/>
    <x v="1"/>
    <s v="Nu"/>
  </r>
  <r>
    <x v="50"/>
    <x v="7"/>
    <n v="11866242"/>
    <n v="59331.21"/>
    <x v="29"/>
    <x v="1"/>
    <d v="1899-12-30T02:18:00"/>
    <x v="0"/>
    <x v="1"/>
    <s v="Nu"/>
  </r>
  <r>
    <x v="78"/>
    <x v="126"/>
    <n v="11353821"/>
    <n v="56769.104999999996"/>
    <x v="46"/>
    <x v="1"/>
    <d v="1899-12-30T03:23:00"/>
    <x v="5"/>
    <x v="14"/>
    <s v="Nu"/>
  </r>
  <r>
    <x v="48"/>
    <x v="9"/>
    <n v="11285718"/>
    <n v="56428.590000000004"/>
    <x v="29"/>
    <x v="1"/>
    <d v="1899-12-30T02:44:00"/>
    <x v="3"/>
    <x v="4"/>
    <s v="Nu"/>
  </r>
  <r>
    <x v="212"/>
    <x v="127"/>
    <n v="11265184"/>
    <n v="56325.919999999998"/>
    <x v="78"/>
    <x v="1"/>
    <d v="1899-12-30T02:23:00"/>
    <x v="3"/>
    <x v="4"/>
    <s v="Nu"/>
  </r>
  <r>
    <x v="38"/>
    <x v="6"/>
    <n v="11066776"/>
    <n v="55333.88"/>
    <x v="6"/>
    <x v="1"/>
    <d v="1899-12-30T03:35:00"/>
    <x v="0"/>
    <x v="1"/>
    <s v="Nu"/>
  </r>
  <r>
    <x v="213"/>
    <x v="19"/>
    <n v="11002366"/>
    <n v="55011.83"/>
    <x v="22"/>
    <x v="1"/>
    <d v="1899-12-30T03:10:00"/>
    <x v="0"/>
    <x v="9"/>
    <s v="Nu"/>
  </r>
  <r>
    <x v="35"/>
    <x v="18"/>
    <n v="10790268"/>
    <n v="53951.34"/>
    <x v="22"/>
    <x v="1"/>
    <d v="1899-12-30T04:12:00"/>
    <x v="1"/>
    <x v="1"/>
    <s v="Da"/>
  </r>
  <r>
    <x v="41"/>
    <x v="20"/>
    <n v="10781878"/>
    <n v="53909.39"/>
    <x v="7"/>
    <x v="1"/>
    <d v="1899-12-30T04:21:00"/>
    <x v="3"/>
    <x v="4"/>
    <s v="Nu"/>
  </r>
  <r>
    <x v="46"/>
    <x v="21"/>
    <n v="10771882"/>
    <n v="53859.409999999996"/>
    <x v="27"/>
    <x v="1"/>
    <d v="1899-12-30T04:33:00"/>
    <x v="7"/>
    <x v="4"/>
    <s v="Nu"/>
  </r>
  <r>
    <x v="214"/>
    <x v="1"/>
    <n v="10550949"/>
    <n v="52754.745000000003"/>
    <x v="116"/>
    <x v="1"/>
    <d v="1899-12-30T03:23:00"/>
    <x v="1"/>
    <x v="1"/>
    <s v="Da"/>
  </r>
  <r>
    <x v="53"/>
    <x v="24"/>
    <n v="10490056"/>
    <n v="52450.28"/>
    <x v="27"/>
    <x v="1"/>
    <d v="1899-12-30T03:21:00"/>
    <x v="3"/>
    <x v="7"/>
    <s v="Nu"/>
  </r>
  <r>
    <x v="30"/>
    <x v="17"/>
    <n v="10212971"/>
    <n v="51064.854999999996"/>
    <x v="6"/>
    <x v="1"/>
    <d v="1899-12-30T02:44:00"/>
    <x v="6"/>
    <x v="8"/>
    <s v="Nu"/>
  </r>
  <r>
    <x v="215"/>
    <x v="128"/>
    <n v="9999678"/>
    <n v="49998.39"/>
    <x v="117"/>
    <x v="1"/>
    <d v="1899-12-30T05:59:00"/>
    <x v="0"/>
    <x v="29"/>
    <s v="Nu"/>
  </r>
  <r>
    <x v="135"/>
    <x v="72"/>
    <n v="9869162"/>
    <n v="49345.81"/>
    <x v="78"/>
    <x v="1"/>
    <d v="1899-12-30T04:21:00"/>
    <x v="2"/>
    <x v="2"/>
    <s v="Da"/>
  </r>
  <r>
    <x v="80"/>
    <x v="41"/>
    <n v="9813362"/>
    <n v="49066.81"/>
    <x v="48"/>
    <x v="1"/>
    <d v="1899-12-30T04:12:00"/>
    <x v="0"/>
    <x v="2"/>
    <s v="Nu"/>
  </r>
  <r>
    <x v="59"/>
    <x v="27"/>
    <n v="9777591"/>
    <n v="48887.955000000002"/>
    <x v="32"/>
    <x v="1"/>
    <d v="1899-12-30T02:53:00"/>
    <x v="0"/>
    <x v="2"/>
    <s v="Nu"/>
  </r>
  <r>
    <x v="216"/>
    <x v="1"/>
    <n v="9615847"/>
    <n v="48079.235000000001"/>
    <x v="116"/>
    <x v="1"/>
    <d v="1899-12-30T02:43:00"/>
    <x v="1"/>
    <x v="1"/>
    <s v="Nu"/>
  </r>
  <r>
    <x v="62"/>
    <x v="29"/>
    <n v="9402674"/>
    <n v="47013.37"/>
    <x v="1"/>
    <x v="1"/>
    <d v="1899-12-30T02:44:00"/>
    <x v="0"/>
    <x v="13"/>
    <s v="Nu"/>
  </r>
  <r>
    <x v="52"/>
    <x v="23"/>
    <n v="9368376"/>
    <n v="46841.880000000005"/>
    <x v="30"/>
    <x v="1"/>
    <d v="1899-12-30T04:02:00"/>
    <x v="5"/>
    <x v="4"/>
    <s v="Nu"/>
  </r>
  <r>
    <x v="217"/>
    <x v="124"/>
    <n v="9338021"/>
    <n v="46690.105000000003"/>
    <x v="9"/>
    <x v="1"/>
    <d v="1899-12-30T04:21:00"/>
    <x v="11"/>
    <x v="28"/>
    <s v="Da"/>
  </r>
  <r>
    <x v="218"/>
    <x v="89"/>
    <n v="9273584"/>
    <n v="46367.920000000006"/>
    <x v="115"/>
    <x v="1"/>
    <d v="1899-12-30T08:33:00"/>
    <x v="1"/>
    <x v="6"/>
    <s v="Nu"/>
  </r>
  <r>
    <x v="54"/>
    <x v="25"/>
    <n v="9230616"/>
    <n v="46153.08"/>
    <x v="0"/>
    <x v="1"/>
    <d v="1899-12-30T03:12:00"/>
    <x v="8"/>
    <x v="11"/>
    <s v="Nu"/>
  </r>
  <r>
    <x v="85"/>
    <x v="43"/>
    <n v="9201753"/>
    <n v="46008.764999999999"/>
    <x v="53"/>
    <x v="1"/>
    <d v="1899-12-30T02:18:00"/>
    <x v="5"/>
    <x v="1"/>
    <s v="Nu"/>
  </r>
  <r>
    <x v="57"/>
    <x v="6"/>
    <n v="9167057"/>
    <n v="45835.285000000003"/>
    <x v="6"/>
    <x v="1"/>
    <d v="1899-12-30T02:55:00"/>
    <x v="0"/>
    <x v="1"/>
    <s v="Nu"/>
  </r>
  <r>
    <x v="74"/>
    <x v="37"/>
    <n v="9162592"/>
    <n v="45812.960000000006"/>
    <x v="42"/>
    <x v="1"/>
    <d v="1899-12-30T02:17:00"/>
    <x v="1"/>
    <x v="1"/>
    <s v="Da"/>
  </r>
  <r>
    <x v="58"/>
    <x v="26"/>
    <n v="9066520"/>
    <n v="45332.600000000006"/>
    <x v="31"/>
    <x v="1"/>
    <d v="1899-12-30T04:01:00"/>
    <x v="9"/>
    <x v="0"/>
    <s v="Nu"/>
  </r>
  <r>
    <x v="219"/>
    <x v="1"/>
    <n v="9056136"/>
    <n v="45280.68"/>
    <x v="116"/>
    <x v="1"/>
    <d v="1899-12-30T03:23:00"/>
    <x v="1"/>
    <x v="1"/>
    <s v="Nu"/>
  </r>
  <r>
    <x v="64"/>
    <x v="12"/>
    <n v="8997854"/>
    <n v="44989.27"/>
    <x v="34"/>
    <x v="1"/>
    <d v="1899-12-30T03:25:00"/>
    <x v="7"/>
    <x v="4"/>
    <s v="Nu"/>
  </r>
  <r>
    <x v="87"/>
    <x v="45"/>
    <n v="8972367"/>
    <n v="44861.834999999999"/>
    <x v="55"/>
    <x v="1"/>
    <d v="1899-12-30T03:41:00"/>
    <x v="10"/>
    <x v="1"/>
    <s v="Nu"/>
  </r>
  <r>
    <x v="220"/>
    <x v="14"/>
    <n v="8922665"/>
    <n v="44613.325000000004"/>
    <x v="44"/>
    <x v="1"/>
    <d v="1899-12-30T02:32:00"/>
    <x v="3"/>
    <x v="7"/>
    <s v="Nu"/>
  </r>
  <r>
    <x v="221"/>
    <x v="1"/>
    <n v="8726024"/>
    <n v="43630.119999999995"/>
    <x v="116"/>
    <x v="1"/>
    <d v="1899-12-30T04:01:00"/>
    <x v="1"/>
    <x v="1"/>
    <s v="Nu"/>
  </r>
  <r>
    <x v="39"/>
    <x v="17"/>
    <n v="8686128"/>
    <n v="43430.64"/>
    <x v="0"/>
    <x v="1"/>
    <d v="1899-12-30T03:07:00"/>
    <x v="6"/>
    <x v="8"/>
    <s v="Nu"/>
  </r>
  <r>
    <x v="76"/>
    <x v="38"/>
    <n v="8611134"/>
    <n v="43055.67"/>
    <x v="44"/>
    <x v="1"/>
    <d v="1899-12-30T03:23:00"/>
    <x v="0"/>
    <x v="1"/>
    <s v="Nu"/>
  </r>
  <r>
    <x v="73"/>
    <x v="36"/>
    <n v="8459196"/>
    <n v="42295.979999999996"/>
    <x v="41"/>
    <x v="1"/>
    <d v="1899-12-30T04:57:00"/>
    <x v="3"/>
    <x v="7"/>
    <s v="Nu"/>
  </r>
  <r>
    <x v="90"/>
    <x v="47"/>
    <n v="8388161"/>
    <n v="41940.805"/>
    <x v="57"/>
    <x v="1"/>
    <d v="1899-12-30T03:28:00"/>
    <x v="1"/>
    <x v="16"/>
    <s v="Nu"/>
  </r>
  <r>
    <x v="86"/>
    <x v="44"/>
    <n v="8387045"/>
    <n v="41935.224999999999"/>
    <x v="54"/>
    <x v="1"/>
    <d v="1899-12-30T04:02:00"/>
    <x v="2"/>
    <x v="1"/>
    <s v="Da"/>
  </r>
  <r>
    <x v="79"/>
    <x v="40"/>
    <n v="8365898"/>
    <n v="41829.49"/>
    <x v="47"/>
    <x v="1"/>
    <d v="1899-12-30T02:44:00"/>
    <x v="1"/>
    <x v="15"/>
    <s v="Nu"/>
  </r>
  <r>
    <x v="91"/>
    <x v="15"/>
    <n v="8314881"/>
    <n v="41574.404999999999"/>
    <x v="58"/>
    <x v="1"/>
    <d v="1899-12-30T02:49:00"/>
    <x v="6"/>
    <x v="2"/>
    <s v="Nu"/>
  </r>
  <r>
    <x v="71"/>
    <x v="17"/>
    <n v="8302656"/>
    <n v="41513.280000000006"/>
    <x v="39"/>
    <x v="1"/>
    <d v="1899-12-30T02:21:00"/>
    <x v="6"/>
    <x v="8"/>
    <s v="Nu"/>
  </r>
  <r>
    <x v="222"/>
    <x v="1"/>
    <n v="8266667"/>
    <n v="41333.334999999999"/>
    <x v="116"/>
    <x v="1"/>
    <d v="1899-12-30T03:45:00"/>
    <x v="1"/>
    <x v="1"/>
    <s v="Da"/>
  </r>
  <r>
    <x v="65"/>
    <x v="31"/>
    <n v="8262943"/>
    <n v="41314.714999999997"/>
    <x v="35"/>
    <x v="1"/>
    <d v="1899-12-30T02:49:00"/>
    <x v="10"/>
    <x v="2"/>
    <s v="Da"/>
  </r>
  <r>
    <x v="63"/>
    <x v="30"/>
    <n v="8239521"/>
    <n v="41197.605000000003"/>
    <x v="33"/>
    <x v="1"/>
    <d v="1899-12-30T02:45:00"/>
    <x v="3"/>
    <x v="11"/>
    <s v="Nu"/>
  </r>
  <r>
    <x v="18"/>
    <x v="4"/>
    <n v="8228741"/>
    <n v="41143.705000000002"/>
    <x v="9"/>
    <x v="1"/>
    <d v="1899-12-30T02:36:00"/>
    <x v="1"/>
    <x v="1"/>
    <s v="Nu"/>
  </r>
  <r>
    <x v="223"/>
    <x v="1"/>
    <n v="8200216"/>
    <n v="41001.08"/>
    <x v="116"/>
    <x v="1"/>
    <d v="1899-12-30T02:09:00"/>
    <x v="1"/>
    <x v="1"/>
    <s v="Nu"/>
  </r>
  <r>
    <x v="60"/>
    <x v="7"/>
    <n v="8167885"/>
    <n v="40839.425000000003"/>
    <x v="29"/>
    <x v="1"/>
    <d v="1899-12-30T02:54:00"/>
    <x v="0"/>
    <x v="1"/>
    <s v="Nu"/>
  </r>
  <r>
    <x v="72"/>
    <x v="35"/>
    <n v="8097836"/>
    <n v="40489.18"/>
    <x v="40"/>
    <x v="1"/>
    <d v="1899-12-30T04:03:00"/>
    <x v="0"/>
    <x v="0"/>
    <s v="Nu"/>
  </r>
  <r>
    <x v="69"/>
    <x v="129"/>
    <n v="8010126"/>
    <n v="40050.630000000005"/>
    <x v="38"/>
    <x v="1"/>
    <d v="1899-12-30T05:21:00"/>
    <x v="3"/>
    <x v="4"/>
    <s v="Nu"/>
  </r>
  <r>
    <x v="70"/>
    <x v="6"/>
    <n v="7855715"/>
    <n v="39278.574999999997"/>
    <x v="6"/>
    <x v="1"/>
    <d v="1899-12-30T02:53:00"/>
    <x v="0"/>
    <x v="1"/>
    <s v="Nu"/>
  </r>
  <r>
    <x v="88"/>
    <x v="126"/>
    <n v="7738475"/>
    <n v="38692.375"/>
    <x v="42"/>
    <x v="1"/>
    <d v="1899-12-30T02:55:00"/>
    <x v="10"/>
    <x v="14"/>
    <s v="Nu"/>
  </r>
  <r>
    <x v="137"/>
    <x v="74"/>
    <n v="7699384"/>
    <n v="38496.92"/>
    <x v="97"/>
    <x v="1"/>
    <d v="1899-12-30T02:10:00"/>
    <x v="5"/>
    <x v="6"/>
    <s v="Da"/>
  </r>
  <r>
    <x v="224"/>
    <x v="124"/>
    <n v="7698403"/>
    <n v="38492.014999999999"/>
    <x v="69"/>
    <x v="1"/>
    <d v="1899-12-30T04:23:00"/>
    <x v="8"/>
    <x v="28"/>
    <s v="Da"/>
  </r>
  <r>
    <x v="92"/>
    <x v="15"/>
    <n v="7695070"/>
    <n v="38475.35"/>
    <x v="59"/>
    <x v="1"/>
    <d v="1899-12-30T03:22:00"/>
    <x v="9"/>
    <x v="2"/>
    <s v="Nu"/>
  </r>
  <r>
    <x v="225"/>
    <x v="130"/>
    <n v="7686075"/>
    <n v="38430.375"/>
    <x v="99"/>
    <x v="1"/>
    <d v="1899-12-30T03:23:00"/>
    <x v="3"/>
    <x v="4"/>
    <s v="Nu"/>
  </r>
  <r>
    <x v="226"/>
    <x v="1"/>
    <n v="7632690"/>
    <n v="38163.449999999997"/>
    <x v="116"/>
    <x v="1"/>
    <d v="1899-12-30T02:23:00"/>
    <x v="1"/>
    <x v="1"/>
    <s v="Da"/>
  </r>
  <r>
    <x v="81"/>
    <x v="6"/>
    <n v="7620617"/>
    <n v="38103.084999999999"/>
    <x v="49"/>
    <x v="1"/>
    <d v="1899-12-30T03:35:00"/>
    <x v="4"/>
    <x v="1"/>
    <s v="Nu"/>
  </r>
  <r>
    <x v="61"/>
    <x v="28"/>
    <n v="7619310"/>
    <n v="38096.550000000003"/>
    <x v="0"/>
    <x v="1"/>
    <d v="1899-12-30T03:28:00"/>
    <x v="3"/>
    <x v="12"/>
    <s v="Nu"/>
  </r>
  <r>
    <x v="227"/>
    <x v="131"/>
    <n v="7601818"/>
    <n v="38009.090000000004"/>
    <x v="99"/>
    <x v="1"/>
    <d v="1899-12-30T02:45:00"/>
    <x v="0"/>
    <x v="1"/>
    <s v="Nu"/>
  </r>
  <r>
    <x v="11"/>
    <x v="4"/>
    <n v="7499273"/>
    <n v="37496.364999999998"/>
    <x v="9"/>
    <x v="1"/>
    <d v="1899-12-30T05:39:00"/>
    <x v="1"/>
    <x v="1"/>
    <s v="Nu"/>
  </r>
  <r>
    <x v="66"/>
    <x v="32"/>
    <n v="7490488"/>
    <n v="37452.44"/>
    <x v="36"/>
    <x v="1"/>
    <d v="1899-12-30T03:04:00"/>
    <x v="0"/>
    <x v="6"/>
    <s v="Nu"/>
  </r>
  <r>
    <x v="228"/>
    <x v="122"/>
    <n v="7486441"/>
    <n v="37432.205000000002"/>
    <x v="118"/>
    <x v="1"/>
    <d v="1899-12-30T02:22:00"/>
    <x v="0"/>
    <x v="6"/>
    <s v="Nu"/>
  </r>
  <r>
    <x v="98"/>
    <x v="13"/>
    <n v="7408114"/>
    <n v="37040.57"/>
    <x v="65"/>
    <x v="1"/>
    <d v="1899-12-30T04:03:00"/>
    <x v="9"/>
    <x v="6"/>
    <s v="Nu"/>
  </r>
  <r>
    <x v="104"/>
    <x v="55"/>
    <n v="7276769"/>
    <n v="36383.845000000001"/>
    <x v="71"/>
    <x v="1"/>
    <d v="1899-12-30T04:58:00"/>
    <x v="4"/>
    <x v="1"/>
    <s v="Da"/>
  </r>
  <r>
    <x v="159"/>
    <x v="92"/>
    <n v="7252496"/>
    <n v="36262.480000000003"/>
    <x v="108"/>
    <x v="1"/>
    <d v="1899-12-30T02:49:00"/>
    <x v="3"/>
    <x v="18"/>
    <s v="Nu"/>
  </r>
  <r>
    <x v="229"/>
    <x v="1"/>
    <n v="7187013"/>
    <n v="35935.065000000002"/>
    <x v="116"/>
    <x v="1"/>
    <d v="1899-12-30T02:48:00"/>
    <x v="1"/>
    <x v="1"/>
    <s v="Nu"/>
  </r>
  <r>
    <x v="119"/>
    <x v="8"/>
    <n v="7184315"/>
    <n v="35921.574999999997"/>
    <x v="27"/>
    <x v="1"/>
    <d v="1899-12-30T04:02:00"/>
    <x v="3"/>
    <x v="1"/>
    <s v="Da"/>
  </r>
  <r>
    <x v="128"/>
    <x v="2"/>
    <n v="7070755"/>
    <n v="35353.775000000001"/>
    <x v="91"/>
    <x v="1"/>
    <d v="1899-12-30T03:21:00"/>
    <x v="0"/>
    <x v="2"/>
    <s v="Nu"/>
  </r>
  <r>
    <x v="99"/>
    <x v="51"/>
    <n v="7063041"/>
    <n v="35315.205000000002"/>
    <x v="66"/>
    <x v="1"/>
    <d v="1899-12-30T04:47:00"/>
    <x v="6"/>
    <x v="1"/>
    <s v="Nu"/>
  </r>
  <r>
    <x v="102"/>
    <x v="53"/>
    <n v="7040590"/>
    <n v="35202.949999999997"/>
    <x v="69"/>
    <x v="1"/>
    <d v="1899-12-30T02:25:00"/>
    <x v="8"/>
    <x v="1"/>
    <s v="Nu"/>
  </r>
  <r>
    <x v="230"/>
    <x v="89"/>
    <n v="6994162"/>
    <n v="34970.81"/>
    <x v="116"/>
    <x v="1"/>
    <d v="1899-12-30T02:45:00"/>
    <x v="1"/>
    <x v="6"/>
    <s v="Nu"/>
  </r>
  <r>
    <x v="97"/>
    <x v="50"/>
    <n v="6957330"/>
    <n v="34786.65"/>
    <x v="64"/>
    <x v="1"/>
    <d v="1899-12-30T03:31:00"/>
    <x v="7"/>
    <x v="17"/>
    <s v="Nu"/>
  </r>
  <r>
    <x v="111"/>
    <x v="61"/>
    <n v="6942462"/>
    <n v="34712.310000000005"/>
    <x v="78"/>
    <x v="1"/>
    <d v="1899-12-30T03:50:00"/>
    <x v="1"/>
    <x v="1"/>
    <s v="Nu"/>
  </r>
  <r>
    <x v="121"/>
    <x v="47"/>
    <n v="6933137"/>
    <n v="34665.684999999998"/>
    <x v="84"/>
    <x v="1"/>
    <d v="1899-12-30T03:15:00"/>
    <x v="1"/>
    <x v="16"/>
    <s v="Nu"/>
  </r>
  <r>
    <x v="113"/>
    <x v="60"/>
    <n v="6863297"/>
    <n v="34316.485000000001"/>
    <x v="69"/>
    <x v="1"/>
    <d v="1899-12-30T03:26:00"/>
    <x v="0"/>
    <x v="1"/>
    <s v="Nu"/>
  </r>
  <r>
    <x v="116"/>
    <x v="63"/>
    <n v="6848856"/>
    <n v="34244.28"/>
    <x v="68"/>
    <x v="1"/>
    <d v="1899-12-30T03:37:00"/>
    <x v="0"/>
    <x v="1"/>
    <s v="Nu"/>
  </r>
  <r>
    <x v="115"/>
    <x v="62"/>
    <n v="6746723"/>
    <n v="33733.614999999998"/>
    <x v="81"/>
    <x v="1"/>
    <d v="1899-12-30T03:40:00"/>
    <x v="1"/>
    <x v="0"/>
    <s v="Nu"/>
  </r>
  <r>
    <x v="127"/>
    <x v="69"/>
    <n v="6619255"/>
    <n v="33096.275000000001"/>
    <x v="90"/>
    <x v="1"/>
    <d v="1899-12-30T02:25:00"/>
    <x v="1"/>
    <x v="1"/>
    <s v="Nu"/>
  </r>
  <r>
    <x v="118"/>
    <x v="65"/>
    <n v="6616894"/>
    <n v="33084.47"/>
    <x v="83"/>
    <x v="1"/>
    <d v="1899-12-30T03:49:00"/>
    <x v="1"/>
    <x v="14"/>
    <s v="Nu"/>
  </r>
  <r>
    <x v="130"/>
    <x v="60"/>
    <n v="6548663"/>
    <n v="32743.314999999999"/>
    <x v="93"/>
    <x v="1"/>
    <d v="1899-12-30T02:58:00"/>
    <x v="3"/>
    <x v="1"/>
    <s v="Nu"/>
  </r>
  <r>
    <x v="106"/>
    <x v="57"/>
    <n v="6536464"/>
    <n v="32682.32"/>
    <x v="73"/>
    <x v="1"/>
    <d v="1899-12-30T02:17:00"/>
    <x v="4"/>
    <x v="1"/>
    <s v="Nu"/>
  </r>
  <r>
    <x v="231"/>
    <x v="8"/>
    <n v="6521881"/>
    <n v="32609.405000000002"/>
    <x v="6"/>
    <x v="1"/>
    <d v="1899-12-30T03:56:00"/>
    <x v="4"/>
    <x v="1"/>
    <s v="Nu"/>
  </r>
  <r>
    <x v="93"/>
    <x v="14"/>
    <n v="6486425"/>
    <n v="32432.125"/>
    <x v="60"/>
    <x v="1"/>
    <d v="1899-12-30T02:53:00"/>
    <x v="9"/>
    <x v="7"/>
    <s v="Nu"/>
  </r>
  <r>
    <x v="122"/>
    <x v="67"/>
    <n v="6455273"/>
    <n v="32276.365000000002"/>
    <x v="85"/>
    <x v="1"/>
    <d v="1899-12-30T05:33:00"/>
    <x v="1"/>
    <x v="1"/>
    <s v="Nu"/>
  </r>
  <r>
    <x v="232"/>
    <x v="132"/>
    <n v="6452194"/>
    <n v="32260.97"/>
    <x v="95"/>
    <x v="1"/>
    <d v="1899-12-30T03:23:00"/>
    <x v="7"/>
    <x v="7"/>
    <s v="Nu"/>
  </r>
  <r>
    <x v="123"/>
    <x v="15"/>
    <n v="6389281"/>
    <n v="31946.404999999999"/>
    <x v="86"/>
    <x v="1"/>
    <d v="1899-12-30T03:23:00"/>
    <x v="3"/>
    <x v="2"/>
    <s v="Nu"/>
  </r>
  <r>
    <x v="108"/>
    <x v="133"/>
    <n v="6384423"/>
    <n v="31922.114999999998"/>
    <x v="75"/>
    <x v="1"/>
    <d v="1899-12-30T03:19:00"/>
    <x v="1"/>
    <x v="18"/>
    <s v="Nu"/>
  </r>
  <r>
    <x v="131"/>
    <x v="2"/>
    <n v="6363090"/>
    <n v="31815.45"/>
    <x v="66"/>
    <x v="1"/>
    <d v="1899-12-30T02:35:00"/>
    <x v="3"/>
    <x v="2"/>
    <s v="Nu"/>
  </r>
  <r>
    <x v="96"/>
    <x v="49"/>
    <n v="6306282"/>
    <n v="31531.41"/>
    <x v="63"/>
    <x v="1"/>
    <d v="1899-12-30T03:32:00"/>
    <x v="1"/>
    <x v="17"/>
    <s v="Nu"/>
  </r>
  <r>
    <x v="112"/>
    <x v="7"/>
    <n v="6272070"/>
    <n v="31360.35"/>
    <x v="79"/>
    <x v="1"/>
    <d v="1899-12-30T02:36:00"/>
    <x v="3"/>
    <x v="1"/>
    <s v="Nu"/>
  </r>
  <r>
    <x v="132"/>
    <x v="70"/>
    <n v="6254740"/>
    <n v="31273.699999999997"/>
    <x v="94"/>
    <x v="1"/>
    <d v="1899-12-30T03:35:00"/>
    <x v="8"/>
    <x v="1"/>
    <s v="Nu"/>
  </r>
  <r>
    <x v="124"/>
    <x v="0"/>
    <n v="6253444"/>
    <n v="31267.22"/>
    <x v="87"/>
    <x v="1"/>
    <d v="1899-12-30T02:44:00"/>
    <x v="3"/>
    <x v="0"/>
    <s v="Da"/>
  </r>
  <r>
    <x v="146"/>
    <x v="83"/>
    <n v="6234893"/>
    <n v="31174.465"/>
    <x v="102"/>
    <x v="1"/>
    <d v="1899-12-30T04:02:00"/>
    <x v="1"/>
    <x v="1"/>
    <s v="Nu"/>
  </r>
  <r>
    <x v="140"/>
    <x v="77"/>
    <n v="6216701"/>
    <n v="31083.505000000001"/>
    <x v="46"/>
    <x v="1"/>
    <d v="1899-12-30T04:33:00"/>
    <x v="0"/>
    <x v="4"/>
    <s v="Nu"/>
  </r>
  <r>
    <x v="145"/>
    <x v="134"/>
    <n v="6178980"/>
    <n v="30894.899999999998"/>
    <x v="101"/>
    <x v="1"/>
    <d v="1899-12-30T02:08:00"/>
    <x v="1"/>
    <x v="18"/>
    <s v="Nu"/>
  </r>
  <r>
    <x v="233"/>
    <x v="1"/>
    <n v="6151453"/>
    <n v="30757.265000000003"/>
    <x v="116"/>
    <x v="1"/>
    <d v="1899-12-30T02:51:00"/>
    <x v="1"/>
    <x v="1"/>
    <s v="Nu"/>
  </r>
  <r>
    <x v="152"/>
    <x v="87"/>
    <n v="6135526"/>
    <n v="30677.629999999997"/>
    <x v="90"/>
    <x v="1"/>
    <d v="1899-12-30T04:01:00"/>
    <x v="0"/>
    <x v="4"/>
    <s v="Nu"/>
  </r>
  <r>
    <x v="234"/>
    <x v="135"/>
    <n v="6115461"/>
    <n v="30577.305"/>
    <x v="119"/>
    <x v="1"/>
    <d v="1899-12-30T03:56:00"/>
    <x v="0"/>
    <x v="1"/>
    <s v="Nu"/>
  </r>
  <r>
    <x v="162"/>
    <x v="95"/>
    <n v="6093064"/>
    <n v="30465.32"/>
    <x v="110"/>
    <x v="1"/>
    <d v="1899-12-30T03:22:00"/>
    <x v="1"/>
    <x v="2"/>
    <s v="Nu"/>
  </r>
  <r>
    <x v="154"/>
    <x v="43"/>
    <n v="6075319"/>
    <n v="30376.595000000001"/>
    <x v="53"/>
    <x v="1"/>
    <d v="1899-12-30T02:54:00"/>
    <x v="1"/>
    <x v="1"/>
    <s v="Nu"/>
  </r>
  <r>
    <x v="153"/>
    <x v="88"/>
    <n v="6044089"/>
    <n v="30220.445"/>
    <x v="104"/>
    <x v="1"/>
    <d v="1899-12-30T02:53:00"/>
    <x v="7"/>
    <x v="6"/>
    <s v="Nu"/>
  </r>
  <r>
    <x v="235"/>
    <x v="136"/>
    <n v="5958054"/>
    <n v="29790.27"/>
    <x v="120"/>
    <x v="1"/>
    <d v="1899-12-30T01:23:00"/>
    <x v="3"/>
    <x v="4"/>
    <s v="Nu"/>
  </r>
  <r>
    <x v="101"/>
    <x v="52"/>
    <n v="5957231"/>
    <n v="29786.154999999999"/>
    <x v="68"/>
    <x v="1"/>
    <d v="1899-12-30T03:30:00"/>
    <x v="5"/>
    <x v="18"/>
    <s v="Nu"/>
  </r>
  <r>
    <x v="114"/>
    <x v="6"/>
    <n v="5945539"/>
    <n v="29727.695"/>
    <x v="80"/>
    <x v="1"/>
    <d v="1899-12-30T02:53:00"/>
    <x v="1"/>
    <x v="1"/>
    <s v="Nu"/>
  </r>
  <r>
    <x v="150"/>
    <x v="32"/>
    <n v="5921234"/>
    <n v="29606.170000000002"/>
    <x v="12"/>
    <x v="1"/>
    <d v="1899-12-30T08:58:00"/>
    <x v="6"/>
    <x v="6"/>
    <s v="Nu"/>
  </r>
  <r>
    <x v="94"/>
    <x v="48"/>
    <n v="5891029"/>
    <n v="29455.145000000004"/>
    <x v="61"/>
    <x v="1"/>
    <d v="1899-12-30T02:21:00"/>
    <x v="5"/>
    <x v="1"/>
    <s v="Nu"/>
  </r>
  <r>
    <x v="134"/>
    <x v="72"/>
    <n v="5888983"/>
    <n v="29444.915000000001"/>
    <x v="95"/>
    <x v="1"/>
    <d v="1899-12-30T02:27:00"/>
    <x v="3"/>
    <x v="2"/>
    <s v="Da"/>
  </r>
  <r>
    <x v="148"/>
    <x v="85"/>
    <n v="5865185"/>
    <n v="29325.925000000003"/>
    <x v="66"/>
    <x v="1"/>
    <d v="1899-12-30T03:12:00"/>
    <x v="7"/>
    <x v="1"/>
    <s v="Da"/>
  </r>
  <r>
    <x v="32"/>
    <x v="17"/>
    <n v="5864926"/>
    <n v="29324.63"/>
    <x v="22"/>
    <x v="1"/>
    <d v="1899-12-30T02:44:00"/>
    <x v="6"/>
    <x v="8"/>
    <s v="Da"/>
  </r>
  <r>
    <x v="149"/>
    <x v="23"/>
    <n v="5857501"/>
    <n v="29287.505000000001"/>
    <x v="16"/>
    <x v="1"/>
    <d v="1899-12-30T03:41:00"/>
    <x v="0"/>
    <x v="1"/>
    <s v="Nu"/>
  </r>
  <r>
    <x v="163"/>
    <x v="96"/>
    <n v="5850005"/>
    <n v="29250.025000000001"/>
    <x v="6"/>
    <x v="1"/>
    <d v="1899-12-30T05:21:00"/>
    <x v="3"/>
    <x v="19"/>
    <s v="Nu"/>
  </r>
  <r>
    <x v="151"/>
    <x v="86"/>
    <n v="5848651"/>
    <n v="29243.254999999997"/>
    <x v="104"/>
    <x v="1"/>
    <d v="1899-12-30T02:55:00"/>
    <x v="1"/>
    <x v="1"/>
    <s v="Nu"/>
  </r>
  <r>
    <x v="236"/>
    <x v="137"/>
    <n v="5835230"/>
    <n v="29176.149999999998"/>
    <x v="117"/>
    <x v="1"/>
    <d v="1899-12-30T02:50:00"/>
    <x v="0"/>
    <x v="1"/>
    <s v="Nu"/>
  </r>
  <r>
    <x v="105"/>
    <x v="56"/>
    <n v="5834527"/>
    <n v="29172.635000000002"/>
    <x v="72"/>
    <x v="1"/>
    <d v="1899-12-30T05:39:00"/>
    <x v="3"/>
    <x v="19"/>
    <s v="Da"/>
  </r>
  <r>
    <x v="237"/>
    <x v="138"/>
    <n v="5825908"/>
    <n v="29129.54"/>
    <x v="121"/>
    <x v="1"/>
    <d v="1899-12-30T04:56:00"/>
    <x v="0"/>
    <x v="1"/>
    <s v="Da"/>
  </r>
  <r>
    <x v="178"/>
    <x v="106"/>
    <n v="5804106"/>
    <n v="29020.53"/>
    <x v="9"/>
    <x v="1"/>
    <d v="1899-12-30T04:57:00"/>
    <x v="8"/>
    <x v="2"/>
    <s v="Nu"/>
  </r>
  <r>
    <x v="161"/>
    <x v="94"/>
    <n v="5801692"/>
    <n v="29008.46"/>
    <x v="109"/>
    <x v="1"/>
    <d v="1899-12-30T03:03:00"/>
    <x v="1"/>
    <x v="2"/>
    <s v="Nu"/>
  </r>
  <r>
    <x v="238"/>
    <x v="139"/>
    <n v="5784976"/>
    <n v="28924.879999999997"/>
    <x v="122"/>
    <x v="1"/>
    <d v="1899-12-30T04:44:00"/>
    <x v="1"/>
    <x v="1"/>
    <s v="Nu"/>
  </r>
  <r>
    <x v="175"/>
    <x v="48"/>
    <n v="5783797"/>
    <n v="28918.984999999997"/>
    <x v="11"/>
    <x v="1"/>
    <d v="1899-12-30T02:58:00"/>
    <x v="2"/>
    <x v="1"/>
    <s v="Nu"/>
  </r>
  <r>
    <x v="239"/>
    <x v="87"/>
    <n v="5775348"/>
    <n v="28876.739999999998"/>
    <x v="123"/>
    <x v="1"/>
    <d v="1899-12-30T02:32:00"/>
    <x v="3"/>
    <x v="12"/>
    <s v="Nu"/>
  </r>
  <r>
    <x v="240"/>
    <x v="140"/>
    <n v="5770573"/>
    <n v="28852.865000000002"/>
    <x v="124"/>
    <x v="1"/>
    <d v="1899-12-30T03:23:00"/>
    <x v="1"/>
    <x v="1"/>
    <s v="Nu"/>
  </r>
  <r>
    <x v="190"/>
    <x v="115"/>
    <n v="5767379"/>
    <n v="28836.895"/>
    <x v="62"/>
    <x v="1"/>
    <d v="1899-12-30T03:40:00"/>
    <x v="6"/>
    <x v="1"/>
    <s v="Nu"/>
  </r>
  <r>
    <x v="166"/>
    <x v="99"/>
    <n v="5757943"/>
    <n v="28789.715"/>
    <x v="18"/>
    <x v="1"/>
    <d v="1899-12-30T02:53:00"/>
    <x v="3"/>
    <x v="0"/>
    <s v="Nu"/>
  </r>
  <r>
    <x v="188"/>
    <x v="114"/>
    <n v="5745243"/>
    <n v="28726.215000000004"/>
    <x v="60"/>
    <x v="1"/>
    <d v="1899-12-30T03:26:00"/>
    <x v="7"/>
    <x v="6"/>
    <s v="Nu"/>
  </r>
  <r>
    <x v="174"/>
    <x v="104"/>
    <n v="5743636"/>
    <n v="28718.18"/>
    <x v="9"/>
    <x v="1"/>
    <d v="1899-12-30T04:47:00"/>
    <x v="3"/>
    <x v="1"/>
    <s v="Nu"/>
  </r>
  <r>
    <x v="241"/>
    <x v="89"/>
    <n v="5735839"/>
    <n v="28679.195"/>
    <x v="116"/>
    <x v="1"/>
    <d v="1899-12-30T03:23:00"/>
    <x v="1"/>
    <x v="6"/>
    <s v="Nu"/>
  </r>
  <r>
    <x v="173"/>
    <x v="103"/>
    <n v="5722577"/>
    <n v="28612.885000000002"/>
    <x v="10"/>
    <x v="1"/>
    <d v="1899-12-30T04:03:00"/>
    <x v="0"/>
    <x v="24"/>
    <s v="Nu"/>
  </r>
  <r>
    <x v="168"/>
    <x v="64"/>
    <n v="5716811"/>
    <n v="28584.055"/>
    <x v="71"/>
    <x v="1"/>
    <d v="1899-12-30T03:23:00"/>
    <x v="0"/>
    <x v="1"/>
    <s v="Nu"/>
  </r>
  <r>
    <x v="169"/>
    <x v="86"/>
    <n v="5716347"/>
    <n v="28581.735000000001"/>
    <x v="42"/>
    <x v="1"/>
    <d v="1899-12-30T02:21:00"/>
    <x v="10"/>
    <x v="1"/>
    <s v="Nu"/>
  </r>
  <r>
    <x v="242"/>
    <x v="141"/>
    <n v="5713442"/>
    <n v="28567.21"/>
    <x v="125"/>
    <x v="1"/>
    <d v="1899-12-30T02:22:00"/>
    <x v="7"/>
    <x v="7"/>
    <s v="Nu"/>
  </r>
  <r>
    <x v="164"/>
    <x v="97"/>
    <n v="5704490"/>
    <n v="28522.449999999997"/>
    <x v="108"/>
    <x v="1"/>
    <d v="1899-12-30T02:53:00"/>
    <x v="3"/>
    <x v="0"/>
    <s v="Nu"/>
  </r>
  <r>
    <x v="184"/>
    <x v="111"/>
    <n v="5699706"/>
    <n v="28498.53"/>
    <x v="56"/>
    <x v="1"/>
    <d v="1899-12-30T03:46:00"/>
    <x v="1"/>
    <x v="2"/>
    <s v="Nu"/>
  </r>
  <r>
    <x v="243"/>
    <x v="123"/>
    <n v="5699022"/>
    <n v="28495.11"/>
    <x v="1"/>
    <x v="1"/>
    <d v="1899-12-30T03:21:00"/>
    <x v="0"/>
    <x v="1"/>
    <s v="Nu"/>
  </r>
  <r>
    <x v="109"/>
    <x v="59"/>
    <n v="5683967"/>
    <n v="28419.834999999999"/>
    <x v="76"/>
    <x v="1"/>
    <d v="1899-12-30T03:46:00"/>
    <x v="0"/>
    <x v="17"/>
    <s v="Nu"/>
  </r>
  <r>
    <x v="117"/>
    <x v="64"/>
    <n v="5654594"/>
    <n v="28272.97"/>
    <x v="82"/>
    <x v="1"/>
    <d v="1899-12-30T03:23:00"/>
    <x v="1"/>
    <x v="1"/>
    <s v="Da"/>
  </r>
  <r>
    <x v="244"/>
    <x v="1"/>
    <n v="5646641"/>
    <n v="28233.204999999998"/>
    <x v="116"/>
    <x v="1"/>
    <d v="1899-12-30T02:45:00"/>
    <x v="1"/>
    <x v="1"/>
    <s v="Nu"/>
  </r>
  <r>
    <x v="185"/>
    <x v="112"/>
    <n v="5632746"/>
    <n v="28163.73"/>
    <x v="57"/>
    <x v="1"/>
    <d v="1899-12-30T03:58:00"/>
    <x v="1"/>
    <x v="2"/>
    <s v="Nu"/>
  </r>
  <r>
    <x v="143"/>
    <x v="80"/>
    <n v="5621978"/>
    <n v="28109.89"/>
    <x v="99"/>
    <x v="1"/>
    <d v="1899-12-30T05:58:00"/>
    <x v="2"/>
    <x v="22"/>
    <s v="Nu"/>
  </r>
  <r>
    <x v="155"/>
    <x v="89"/>
    <n v="5598555"/>
    <n v="27992.775000000001"/>
    <x v="105"/>
    <x v="1"/>
    <d v="1899-12-30T03:28:00"/>
    <x v="1"/>
    <x v="6"/>
    <s v="Da"/>
  </r>
  <r>
    <x v="139"/>
    <x v="76"/>
    <n v="5579092"/>
    <n v="27895.46"/>
    <x v="99"/>
    <x v="1"/>
    <d v="1899-12-30T04:02:00"/>
    <x v="1"/>
    <x v="9"/>
    <s v="Nu"/>
  </r>
  <r>
    <x v="245"/>
    <x v="142"/>
    <n v="5530728"/>
    <n v="27653.64"/>
    <x v="53"/>
    <x v="1"/>
    <d v="1899-12-30T02:21:00"/>
    <x v="3"/>
    <x v="12"/>
    <s v="Nu"/>
  </r>
  <r>
    <x v="195"/>
    <x v="96"/>
    <n v="5499650"/>
    <n v="27498.25"/>
    <x v="67"/>
    <x v="1"/>
    <d v="1899-12-30T03:18:00"/>
    <x v="1"/>
    <x v="19"/>
    <s v="Nu"/>
  </r>
  <r>
    <x v="129"/>
    <x v="9"/>
    <n v="5492402"/>
    <n v="27462.010000000002"/>
    <x v="92"/>
    <x v="1"/>
    <d v="1899-12-30T04:12:00"/>
    <x v="10"/>
    <x v="4"/>
    <s v="Nu"/>
  </r>
  <r>
    <x v="147"/>
    <x v="84"/>
    <n v="5491736"/>
    <n v="27458.68"/>
    <x v="103"/>
    <x v="1"/>
    <d v="1899-12-30T03:21:00"/>
    <x v="1"/>
    <x v="11"/>
    <s v="Da"/>
  </r>
  <r>
    <x v="177"/>
    <x v="63"/>
    <n v="5484067"/>
    <n v="27420.334999999999"/>
    <x v="13"/>
    <x v="1"/>
    <d v="1899-12-30T02:25:00"/>
    <x v="5"/>
    <x v="1"/>
    <s v="Nu"/>
  </r>
  <r>
    <x v="194"/>
    <x v="118"/>
    <n v="5474919"/>
    <n v="27374.595000000001"/>
    <x v="66"/>
    <x v="1"/>
    <d v="1899-12-30T04:02:00"/>
    <x v="1"/>
    <x v="1"/>
    <s v="Nu"/>
  </r>
  <r>
    <x v="187"/>
    <x v="113"/>
    <n v="5435438"/>
    <n v="27177.190000000002"/>
    <x v="59"/>
    <x v="1"/>
    <d v="1899-12-30T02:36:00"/>
    <x v="1"/>
    <x v="2"/>
    <s v="Nu"/>
  </r>
  <r>
    <x v="165"/>
    <x v="98"/>
    <n v="5431486"/>
    <n v="27157.43"/>
    <x v="111"/>
    <x v="1"/>
    <d v="1899-12-30T03:28:00"/>
    <x v="1"/>
    <x v="1"/>
    <s v="Nu"/>
  </r>
  <r>
    <x v="246"/>
    <x v="143"/>
    <n v="5425131"/>
    <n v="27125.655000000002"/>
    <x v="126"/>
    <x v="1"/>
    <d v="1899-12-30T02:59:00"/>
    <x v="1"/>
    <x v="1"/>
    <s v="Da"/>
  </r>
  <r>
    <x v="172"/>
    <x v="16"/>
    <n v="5415289"/>
    <n v="27076.445"/>
    <x v="112"/>
    <x v="1"/>
    <d v="1899-12-30T03:31:00"/>
    <x v="8"/>
    <x v="6"/>
    <s v="Nu"/>
  </r>
  <r>
    <x v="84"/>
    <x v="42"/>
    <n v="5381289"/>
    <n v="26906.445"/>
    <x v="52"/>
    <x v="1"/>
    <d v="1899-12-30T02:03:00"/>
    <x v="2"/>
    <x v="1"/>
    <s v="Da"/>
  </r>
  <r>
    <x v="247"/>
    <x v="143"/>
    <n v="5365588"/>
    <n v="26827.94"/>
    <x v="126"/>
    <x v="1"/>
    <d v="1899-12-30T02:23:00"/>
    <x v="1"/>
    <x v="1"/>
    <s v="Nu"/>
  </r>
  <r>
    <x v="248"/>
    <x v="144"/>
    <n v="5361387"/>
    <n v="26806.934999999998"/>
    <x v="127"/>
    <x v="1"/>
    <d v="1899-12-30T03:23:00"/>
    <x v="0"/>
    <x v="2"/>
    <s v="Nu"/>
  </r>
  <r>
    <x v="249"/>
    <x v="145"/>
    <n v="5359388"/>
    <n v="26796.94"/>
    <x v="128"/>
    <x v="1"/>
    <d v="1899-12-30T03:21:00"/>
    <x v="3"/>
    <x v="4"/>
    <s v="Nu"/>
  </r>
  <r>
    <x v="193"/>
    <x v="117"/>
    <n v="5341858"/>
    <n v="26709.29"/>
    <x v="65"/>
    <x v="1"/>
    <d v="1899-12-30T03:49:00"/>
    <x v="7"/>
    <x v="26"/>
    <s v="Nu"/>
  </r>
  <r>
    <x v="144"/>
    <x v="81"/>
    <n v="5335370"/>
    <n v="26676.85"/>
    <x v="50"/>
    <x v="1"/>
    <d v="1899-12-30T02:18:00"/>
    <x v="1"/>
    <x v="2"/>
    <s v="Nu"/>
  </r>
  <r>
    <x v="199"/>
    <x v="8"/>
    <n v="5333841"/>
    <n v="26669.205000000002"/>
    <x v="69"/>
    <x v="1"/>
    <d v="1899-12-30T02:44:00"/>
    <x v="3"/>
    <x v="1"/>
    <s v="Nu"/>
  </r>
  <r>
    <x v="250"/>
    <x v="89"/>
    <n v="5320793"/>
    <n v="26603.964999999997"/>
    <x v="56"/>
    <x v="1"/>
    <d v="1899-12-30T03:26:00"/>
    <x v="1"/>
    <x v="6"/>
    <s v="Nu"/>
  </r>
  <r>
    <x v="142"/>
    <x v="79"/>
    <n v="5309756"/>
    <n v="26548.780000000002"/>
    <x v="100"/>
    <x v="1"/>
    <d v="1899-12-30T02:44:00"/>
    <x v="1"/>
    <x v="21"/>
    <s v="Nu"/>
  </r>
  <r>
    <x v="125"/>
    <x v="68"/>
    <n v="5304766"/>
    <n v="26523.829999999998"/>
    <x v="88"/>
    <x v="1"/>
    <d v="1899-12-30T03:35:00"/>
    <x v="1"/>
    <x v="4"/>
    <s v="Nu"/>
  </r>
  <r>
    <x v="110"/>
    <x v="60"/>
    <n v="5298156"/>
    <n v="26490.78"/>
    <x v="77"/>
    <x v="1"/>
    <d v="1899-12-30T03:58:00"/>
    <x v="2"/>
    <x v="1"/>
    <s v="Nu"/>
  </r>
  <r>
    <x v="186"/>
    <x v="24"/>
    <n v="5246602"/>
    <n v="26233.01"/>
    <x v="58"/>
    <x v="1"/>
    <d v="1899-12-30T03:50:00"/>
    <x v="1"/>
    <x v="7"/>
    <s v="Nu"/>
  </r>
  <r>
    <x v="0"/>
    <x v="0"/>
    <n v="62413082"/>
    <n v="312065.41000000003"/>
    <x v="0"/>
    <x v="2"/>
    <d v="1899-12-30T02:21:00"/>
    <x v="0"/>
    <x v="0"/>
    <s v="Da"/>
  </r>
  <r>
    <x v="1"/>
    <x v="1"/>
    <n v="41902868"/>
    <n v="209514.34000000003"/>
    <x v="1"/>
    <x v="2"/>
    <d v="1899-12-30T03:32:00"/>
    <x v="1"/>
    <x v="1"/>
    <s v="Da"/>
  </r>
  <r>
    <x v="2"/>
    <x v="2"/>
    <n v="31351285"/>
    <n v="156756.42499999999"/>
    <x v="2"/>
    <x v="2"/>
    <d v="1899-12-30T03:32:00"/>
    <x v="0"/>
    <x v="2"/>
    <s v="Nu"/>
  </r>
  <r>
    <x v="5"/>
    <x v="5"/>
    <n v="29676719"/>
    <n v="148383.595"/>
    <x v="5"/>
    <x v="2"/>
    <d v="1899-12-30T04:47:00"/>
    <x v="3"/>
    <x v="4"/>
    <s v="Nu"/>
  </r>
  <r>
    <x v="16"/>
    <x v="10"/>
    <n v="28688699"/>
    <n v="143443.495"/>
    <x v="14"/>
    <x v="2"/>
    <d v="1899-12-30T03:58:00"/>
    <x v="0"/>
    <x v="2"/>
    <s v="Nu"/>
  </r>
  <r>
    <x v="8"/>
    <x v="7"/>
    <n v="28542372"/>
    <n v="142711.85999999999"/>
    <x v="8"/>
    <x v="2"/>
    <d v="1899-12-30T02:25:00"/>
    <x v="0"/>
    <x v="1"/>
    <s v="Nu"/>
  </r>
  <r>
    <x v="3"/>
    <x v="3"/>
    <n v="26772173"/>
    <n v="133860.86499999999"/>
    <x v="3"/>
    <x v="2"/>
    <d v="1899-12-30T03:31:00"/>
    <x v="2"/>
    <x v="3"/>
    <s v="Nu"/>
  </r>
  <r>
    <x v="6"/>
    <x v="6"/>
    <n v="25414611"/>
    <n v="127073.05500000001"/>
    <x v="6"/>
    <x v="2"/>
    <d v="1899-12-30T02:58:00"/>
    <x v="0"/>
    <x v="1"/>
    <s v="Nu"/>
  </r>
  <r>
    <x v="203"/>
    <x v="89"/>
    <n v="25297983"/>
    <n v="126489.91500000001"/>
    <x v="56"/>
    <x v="2"/>
    <d v="1899-12-30T03:23:00"/>
    <x v="1"/>
    <x v="6"/>
    <s v="Da"/>
  </r>
  <r>
    <x v="202"/>
    <x v="89"/>
    <n v="24928604"/>
    <n v="124643.01999999999"/>
    <x v="56"/>
    <x v="2"/>
    <d v="1899-12-30T01:20:00"/>
    <x v="1"/>
    <x v="6"/>
    <s v="Da"/>
  </r>
  <r>
    <x v="201"/>
    <x v="2"/>
    <n v="23729735"/>
    <n v="118648.675"/>
    <x v="86"/>
    <x v="2"/>
    <d v="1899-12-30T02:32:00"/>
    <x v="0"/>
    <x v="2"/>
    <s v="Nu"/>
  </r>
  <r>
    <x v="205"/>
    <x v="89"/>
    <n v="23379545"/>
    <n v="116897.72499999999"/>
    <x v="56"/>
    <x v="2"/>
    <d v="1899-12-30T02:03:00"/>
    <x v="1"/>
    <x v="6"/>
    <s v="Da"/>
  </r>
  <r>
    <x v="7"/>
    <x v="7"/>
    <n v="23196486"/>
    <n v="115982.43000000001"/>
    <x v="7"/>
    <x v="2"/>
    <d v="1899-12-30T03:30:00"/>
    <x v="0"/>
    <x v="1"/>
    <s v="Nu"/>
  </r>
  <r>
    <x v="12"/>
    <x v="1"/>
    <n v="20710480"/>
    <n v="103552.4"/>
    <x v="11"/>
    <x v="2"/>
    <d v="1899-12-30T02:17:00"/>
    <x v="0"/>
    <x v="1"/>
    <s v="Nu"/>
  </r>
  <r>
    <x v="13"/>
    <x v="7"/>
    <n v="20170105"/>
    <n v="100850.52499999999"/>
    <x v="12"/>
    <x v="2"/>
    <d v="1899-12-30T03:28:00"/>
    <x v="0"/>
    <x v="1"/>
    <s v="Da"/>
  </r>
  <r>
    <x v="10"/>
    <x v="8"/>
    <n v="19664713"/>
    <n v="98323.565000000002"/>
    <x v="10"/>
    <x v="2"/>
    <d v="1899-12-30T04:58:00"/>
    <x v="4"/>
    <x v="1"/>
    <s v="Nu"/>
  </r>
  <r>
    <x v="4"/>
    <x v="4"/>
    <n v="19370230"/>
    <n v="96851.15"/>
    <x v="4"/>
    <x v="2"/>
    <d v="1899-12-30T04:03:00"/>
    <x v="1"/>
    <x v="1"/>
    <s v="Nu"/>
  </r>
  <r>
    <x v="207"/>
    <x v="122"/>
    <n v="18455241"/>
    <n v="92276.205000000016"/>
    <x v="114"/>
    <x v="2"/>
    <d v="1899-12-30T03:20:00"/>
    <x v="1"/>
    <x v="27"/>
    <s v="Nu"/>
  </r>
  <r>
    <x v="206"/>
    <x v="89"/>
    <n v="18375341"/>
    <n v="91876.705000000002"/>
    <x v="56"/>
    <x v="2"/>
    <d v="1899-12-30T04:01:00"/>
    <x v="1"/>
    <x v="6"/>
    <s v="Da"/>
  </r>
  <r>
    <x v="14"/>
    <x v="9"/>
    <n v="18022876"/>
    <n v="90114.38"/>
    <x v="13"/>
    <x v="2"/>
    <d v="1899-12-30T03:19:00"/>
    <x v="3"/>
    <x v="4"/>
    <s v="Nu"/>
  </r>
  <r>
    <x v="19"/>
    <x v="12"/>
    <n v="17195763"/>
    <n v="85978.815000000002"/>
    <x v="16"/>
    <x v="2"/>
    <d v="1899-12-30T03:26:00"/>
    <x v="3"/>
    <x v="4"/>
    <s v="Nu"/>
  </r>
  <r>
    <x v="17"/>
    <x v="11"/>
    <n v="16342344"/>
    <n v="81711.72"/>
    <x v="15"/>
    <x v="2"/>
    <d v="1899-12-30T03:50:00"/>
    <x v="3"/>
    <x v="5"/>
    <s v="Nu"/>
  </r>
  <r>
    <x v="43"/>
    <x v="14"/>
    <n v="15971386"/>
    <n v="79856.930000000008"/>
    <x v="25"/>
    <x v="2"/>
    <d v="1899-12-30T02:10:00"/>
    <x v="3"/>
    <x v="7"/>
    <s v="Nu"/>
  </r>
  <r>
    <x v="22"/>
    <x v="14"/>
    <n v="15384428"/>
    <n v="76922.14"/>
    <x v="19"/>
    <x v="2"/>
    <d v="1899-12-30T03:37:00"/>
    <x v="3"/>
    <x v="7"/>
    <s v="Nu"/>
  </r>
  <r>
    <x v="23"/>
    <x v="15"/>
    <n v="15279109"/>
    <n v="76395.544999999998"/>
    <x v="20"/>
    <x v="2"/>
    <d v="1899-12-30T03:23:00"/>
    <x v="0"/>
    <x v="2"/>
    <s v="Da"/>
  </r>
  <r>
    <x v="24"/>
    <x v="6"/>
    <n v="14922433"/>
    <n v="74612.165000000008"/>
    <x v="6"/>
    <x v="2"/>
    <d v="1899-12-30T03:49:00"/>
    <x v="0"/>
    <x v="1"/>
    <s v="Nu"/>
  </r>
  <r>
    <x v="68"/>
    <x v="33"/>
    <n v="14689417"/>
    <n v="73447.084999999992"/>
    <x v="37"/>
    <x v="2"/>
    <d v="1899-12-30T03:22:00"/>
    <x v="0"/>
    <x v="2"/>
    <s v="Nu"/>
  </r>
  <r>
    <x v="26"/>
    <x v="16"/>
    <n v="14439357"/>
    <n v="72196.785000000003"/>
    <x v="17"/>
    <x v="2"/>
    <d v="1899-12-30T03:18:00"/>
    <x v="0"/>
    <x v="6"/>
    <s v="Da"/>
  </r>
  <r>
    <x v="21"/>
    <x v="13"/>
    <n v="14287625"/>
    <n v="71438.125"/>
    <x v="18"/>
    <x v="2"/>
    <d v="1899-12-30T03:40:00"/>
    <x v="5"/>
    <x v="6"/>
    <s v="Nu"/>
  </r>
  <r>
    <x v="35"/>
    <x v="18"/>
    <n v="14079036"/>
    <n v="70395.179999999993"/>
    <x v="22"/>
    <x v="2"/>
    <d v="1899-12-30T04:12:00"/>
    <x v="1"/>
    <x v="1"/>
    <s v="Da"/>
  </r>
  <r>
    <x v="20"/>
    <x v="3"/>
    <n v="14073872"/>
    <n v="70369.36"/>
    <x v="17"/>
    <x v="2"/>
    <d v="1899-12-30T02:53:00"/>
    <x v="2"/>
    <x v="3"/>
    <s v="Nu"/>
  </r>
  <r>
    <x v="204"/>
    <x v="121"/>
    <n v="13828796"/>
    <n v="69143.98"/>
    <x v="56"/>
    <x v="2"/>
    <d v="1899-12-30T03:21:00"/>
    <x v="0"/>
    <x v="1"/>
    <s v="Nu"/>
  </r>
  <r>
    <x v="218"/>
    <x v="89"/>
    <n v="13239717"/>
    <n v="66198.585000000006"/>
    <x v="56"/>
    <x v="2"/>
    <d v="1899-12-30T03:56:00"/>
    <x v="1"/>
    <x v="6"/>
    <s v="Nu"/>
  </r>
  <r>
    <x v="34"/>
    <x v="13"/>
    <n v="13064129"/>
    <n v="65320.645000000004"/>
    <x v="23"/>
    <x v="2"/>
    <d v="1899-12-30T03:21:00"/>
    <x v="5"/>
    <x v="6"/>
    <s v="Nu"/>
  </r>
  <r>
    <x v="31"/>
    <x v="13"/>
    <n v="12574176"/>
    <n v="62870.879999999997"/>
    <x v="21"/>
    <x v="2"/>
    <d v="1899-12-30T03:35:00"/>
    <x v="5"/>
    <x v="6"/>
    <s v="Da"/>
  </r>
  <r>
    <x v="50"/>
    <x v="7"/>
    <n v="12006248"/>
    <n v="60031.24"/>
    <x v="29"/>
    <x v="2"/>
    <d v="1899-12-30T02:18:00"/>
    <x v="0"/>
    <x v="1"/>
    <s v="Nu"/>
  </r>
  <r>
    <x v="213"/>
    <x v="19"/>
    <n v="11940428"/>
    <n v="59702.14"/>
    <x v="56"/>
    <x v="2"/>
    <d v="1899-12-30T03:09:00"/>
    <x v="4"/>
    <x v="12"/>
    <s v="Nu"/>
  </r>
  <r>
    <x v="47"/>
    <x v="22"/>
    <n v="11928780"/>
    <n v="59643.9"/>
    <x v="28"/>
    <x v="2"/>
    <d v="1899-12-30T02:03:00"/>
    <x v="1"/>
    <x v="10"/>
    <s v="Nu"/>
  </r>
  <r>
    <x v="45"/>
    <x v="6"/>
    <n v="11772296"/>
    <n v="58861.48"/>
    <x v="26"/>
    <x v="2"/>
    <d v="1899-12-30T04:02:00"/>
    <x v="0"/>
    <x v="1"/>
    <s v="Nu"/>
  </r>
  <r>
    <x v="46"/>
    <x v="21"/>
    <n v="11318170"/>
    <n v="56590.85"/>
    <x v="27"/>
    <x v="2"/>
    <d v="1899-12-30T04:33:00"/>
    <x v="7"/>
    <x v="4"/>
    <s v="Nu"/>
  </r>
  <r>
    <x v="38"/>
    <x v="6"/>
    <n v="11239468"/>
    <n v="56197.340000000004"/>
    <x v="6"/>
    <x v="2"/>
    <d v="1899-12-30T03:35:00"/>
    <x v="0"/>
    <x v="1"/>
    <s v="Nu"/>
  </r>
  <r>
    <x v="41"/>
    <x v="20"/>
    <n v="11223289"/>
    <n v="56116.445000000007"/>
    <x v="7"/>
    <x v="2"/>
    <d v="1899-12-30T04:21:00"/>
    <x v="3"/>
    <x v="4"/>
    <s v="Nu"/>
  </r>
  <r>
    <x v="48"/>
    <x v="9"/>
    <n v="10920030"/>
    <n v="54600.15"/>
    <x v="29"/>
    <x v="2"/>
    <d v="1899-12-30T02:44:00"/>
    <x v="3"/>
    <x v="4"/>
    <s v="Nu"/>
  </r>
  <r>
    <x v="78"/>
    <x v="126"/>
    <n v="10784250"/>
    <n v="53921.25"/>
    <x v="46"/>
    <x v="2"/>
    <d v="1899-12-30T03:23:00"/>
    <x v="5"/>
    <x v="14"/>
    <s v="Nu"/>
  </r>
  <r>
    <x v="30"/>
    <x v="17"/>
    <n v="10746280"/>
    <n v="53731.4"/>
    <x v="6"/>
    <x v="2"/>
    <d v="1899-12-30T02:44:00"/>
    <x v="6"/>
    <x v="8"/>
    <s v="Nu"/>
  </r>
  <r>
    <x v="53"/>
    <x v="24"/>
    <n v="10575749"/>
    <n v="52878.744999999995"/>
    <x v="27"/>
    <x v="2"/>
    <d v="1899-12-30T03:21:00"/>
    <x v="3"/>
    <x v="7"/>
    <s v="Nu"/>
  </r>
  <r>
    <x v="210"/>
    <x v="125"/>
    <n v="10568134"/>
    <n v="52840.67"/>
    <x v="129"/>
    <x v="2"/>
    <d v="1899-12-30T03:02:00"/>
    <x v="1"/>
    <x v="1"/>
    <s v="Nu"/>
  </r>
  <r>
    <x v="18"/>
    <x v="4"/>
    <n v="10483865"/>
    <n v="52419.324999999997"/>
    <x v="9"/>
    <x v="2"/>
    <d v="1899-12-30T02:36:00"/>
    <x v="1"/>
    <x v="1"/>
    <s v="Nu"/>
  </r>
  <r>
    <x v="212"/>
    <x v="127"/>
    <n v="10423194"/>
    <n v="52115.97"/>
    <x v="130"/>
    <x v="2"/>
    <d v="1899-12-30T04:56:00"/>
    <x v="3"/>
    <x v="7"/>
    <s v="Nu"/>
  </r>
  <r>
    <x v="220"/>
    <x v="14"/>
    <n v="10060200"/>
    <n v="50301"/>
    <x v="44"/>
    <x v="2"/>
    <d v="1899-12-30T02:32:00"/>
    <x v="3"/>
    <x v="4"/>
    <s v="Nu"/>
  </r>
  <r>
    <x v="230"/>
    <x v="89"/>
    <n v="10034595"/>
    <n v="50172.974999999999"/>
    <x v="56"/>
    <x v="2"/>
    <d v="1899-12-30T03:05:00"/>
    <x v="1"/>
    <x v="6"/>
    <s v="Nu"/>
  </r>
  <r>
    <x v="54"/>
    <x v="25"/>
    <n v="10033710"/>
    <n v="50168.549999999996"/>
    <x v="0"/>
    <x v="2"/>
    <d v="1899-12-30T03:12:00"/>
    <x v="8"/>
    <x v="11"/>
    <s v="Nu"/>
  </r>
  <r>
    <x v="59"/>
    <x v="27"/>
    <n v="9959249"/>
    <n v="49796.244999999995"/>
    <x v="32"/>
    <x v="2"/>
    <d v="1899-12-30T02:53:00"/>
    <x v="0"/>
    <x v="2"/>
    <s v="Nu"/>
  </r>
  <r>
    <x v="11"/>
    <x v="4"/>
    <n v="9867544"/>
    <n v="49337.72"/>
    <x v="9"/>
    <x v="2"/>
    <d v="1899-12-30T05:39:00"/>
    <x v="1"/>
    <x v="1"/>
    <s v="Nu"/>
  </r>
  <r>
    <x v="228"/>
    <x v="122"/>
    <n v="9574461"/>
    <n v="47872.304999999993"/>
    <x v="118"/>
    <x v="2"/>
    <d v="1899-12-30T02:22:00"/>
    <x v="0"/>
    <x v="6"/>
    <s v="Nu"/>
  </r>
  <r>
    <x v="52"/>
    <x v="23"/>
    <n v="9556410"/>
    <n v="47782.05"/>
    <x v="30"/>
    <x v="2"/>
    <d v="1899-12-30T04:02:00"/>
    <x v="5"/>
    <x v="4"/>
    <s v="Nu"/>
  </r>
  <r>
    <x v="62"/>
    <x v="29"/>
    <n v="9494671"/>
    <n v="47473.355000000003"/>
    <x v="1"/>
    <x v="2"/>
    <d v="1899-12-30T02:44:00"/>
    <x v="0"/>
    <x v="13"/>
    <s v="Nu"/>
  </r>
  <r>
    <x v="80"/>
    <x v="41"/>
    <n v="9402105"/>
    <n v="47010.524999999994"/>
    <x v="48"/>
    <x v="2"/>
    <d v="1899-12-30T04:12:00"/>
    <x v="0"/>
    <x v="2"/>
    <s v="Nu"/>
  </r>
  <r>
    <x v="57"/>
    <x v="6"/>
    <n v="9335437"/>
    <n v="46677.184999999998"/>
    <x v="6"/>
    <x v="2"/>
    <d v="1899-12-30T02:55:00"/>
    <x v="0"/>
    <x v="1"/>
    <s v="Nu"/>
  </r>
  <r>
    <x v="64"/>
    <x v="12"/>
    <n v="9212447"/>
    <n v="46062.235000000001"/>
    <x v="34"/>
    <x v="2"/>
    <d v="1899-12-30T03:25:00"/>
    <x v="7"/>
    <x v="4"/>
    <s v="Nu"/>
  </r>
  <r>
    <x v="241"/>
    <x v="89"/>
    <n v="9123400"/>
    <n v="45617"/>
    <x v="56"/>
    <x v="2"/>
    <d v="1899-12-30T03:21:00"/>
    <x v="1"/>
    <x v="6"/>
    <s v="Nu"/>
  </r>
  <r>
    <x v="58"/>
    <x v="26"/>
    <n v="9105727"/>
    <n v="45528.635000000002"/>
    <x v="31"/>
    <x v="2"/>
    <d v="1899-12-30T04:01:00"/>
    <x v="9"/>
    <x v="0"/>
    <s v="Nu"/>
  </r>
  <r>
    <x v="135"/>
    <x v="72"/>
    <n v="9098393"/>
    <n v="45491.964999999997"/>
    <x v="78"/>
    <x v="2"/>
    <d v="1899-12-30T04:21:00"/>
    <x v="2"/>
    <x v="2"/>
    <s v="Da"/>
  </r>
  <r>
    <x v="39"/>
    <x v="17"/>
    <n v="9059053"/>
    <n v="45295.264999999999"/>
    <x v="0"/>
    <x v="2"/>
    <d v="1899-12-30T03:07:00"/>
    <x v="6"/>
    <x v="8"/>
    <s v="Nu"/>
  </r>
  <r>
    <x v="74"/>
    <x v="37"/>
    <n v="9054989"/>
    <n v="45274.945"/>
    <x v="42"/>
    <x v="2"/>
    <d v="1899-12-30T02:17:00"/>
    <x v="1"/>
    <x v="1"/>
    <s v="Da"/>
  </r>
  <r>
    <x v="87"/>
    <x v="45"/>
    <n v="8930762"/>
    <n v="44653.810000000005"/>
    <x v="55"/>
    <x v="2"/>
    <d v="1899-12-30T03:41:00"/>
    <x v="10"/>
    <x v="1"/>
    <s v="Nu"/>
  </r>
  <r>
    <x v="60"/>
    <x v="7"/>
    <n v="8916313"/>
    <n v="44581.565000000002"/>
    <x v="29"/>
    <x v="2"/>
    <d v="1899-12-30T02:54:00"/>
    <x v="0"/>
    <x v="1"/>
    <s v="Nu"/>
  </r>
  <r>
    <x v="85"/>
    <x v="43"/>
    <n v="8791698"/>
    <n v="43958.490000000005"/>
    <x v="53"/>
    <x v="2"/>
    <d v="1899-12-30T02:18:00"/>
    <x v="5"/>
    <x v="1"/>
    <s v="Nu"/>
  </r>
  <r>
    <x v="63"/>
    <x v="30"/>
    <n v="8661757"/>
    <n v="43308.784999999996"/>
    <x v="33"/>
    <x v="2"/>
    <d v="1899-12-30T02:45:00"/>
    <x v="3"/>
    <x v="11"/>
    <s v="Nu"/>
  </r>
  <r>
    <x v="73"/>
    <x v="36"/>
    <n v="8659515"/>
    <n v="43297.574999999997"/>
    <x v="41"/>
    <x v="2"/>
    <d v="1899-12-30T04:57:00"/>
    <x v="3"/>
    <x v="7"/>
    <s v="Nu"/>
  </r>
  <r>
    <x v="65"/>
    <x v="31"/>
    <n v="8652845"/>
    <n v="43264.224999999999"/>
    <x v="35"/>
    <x v="2"/>
    <d v="1899-12-30T02:49:00"/>
    <x v="10"/>
    <x v="2"/>
    <s v="Da"/>
  </r>
  <r>
    <x v="250"/>
    <x v="89"/>
    <n v="8522529"/>
    <n v="42612.645000000004"/>
    <x v="56"/>
    <x v="2"/>
    <d v="1899-12-30T03:26:00"/>
    <x v="1"/>
    <x v="6"/>
    <s v="Nu"/>
  </r>
  <r>
    <x v="76"/>
    <x v="38"/>
    <n v="8495021"/>
    <n v="42475.105000000003"/>
    <x v="44"/>
    <x v="2"/>
    <d v="1899-12-30T03:23:00"/>
    <x v="0"/>
    <x v="1"/>
    <s v="Nu"/>
  </r>
  <r>
    <x v="71"/>
    <x v="17"/>
    <n v="8494434"/>
    <n v="42472.17"/>
    <x v="39"/>
    <x v="2"/>
    <d v="1899-12-30T02:21:00"/>
    <x v="6"/>
    <x v="8"/>
    <s v="Nu"/>
  </r>
  <r>
    <x v="69"/>
    <x v="129"/>
    <n v="8465865"/>
    <n v="42329.324999999997"/>
    <x v="38"/>
    <x v="2"/>
    <d v="1899-12-30T05:21:00"/>
    <x v="3"/>
    <x v="4"/>
    <s v="Nu"/>
  </r>
  <r>
    <x v="90"/>
    <x v="47"/>
    <n v="8329722"/>
    <n v="41648.61"/>
    <x v="57"/>
    <x v="2"/>
    <d v="1899-12-30T03:28:00"/>
    <x v="1"/>
    <x v="16"/>
    <s v="Nu"/>
  </r>
  <r>
    <x v="79"/>
    <x v="40"/>
    <n v="8314437"/>
    <n v="41572.184999999998"/>
    <x v="47"/>
    <x v="2"/>
    <d v="1899-12-30T02:44:00"/>
    <x v="1"/>
    <x v="15"/>
    <s v="Nu"/>
  </r>
  <r>
    <x v="86"/>
    <x v="44"/>
    <n v="8298712"/>
    <n v="41493.56"/>
    <x v="54"/>
    <x v="2"/>
    <d v="1899-12-30T04:02:00"/>
    <x v="2"/>
    <x v="1"/>
    <s v="Da"/>
  </r>
  <r>
    <x v="72"/>
    <x v="35"/>
    <n v="8259911"/>
    <n v="41299.555"/>
    <x v="40"/>
    <x v="2"/>
    <d v="1899-12-30T04:03:00"/>
    <x v="0"/>
    <x v="0"/>
    <s v="Nu"/>
  </r>
  <r>
    <x v="91"/>
    <x v="15"/>
    <n v="8202435"/>
    <n v="41012.174999999996"/>
    <x v="58"/>
    <x v="2"/>
    <d v="1899-12-30T02:49:00"/>
    <x v="6"/>
    <x v="2"/>
    <s v="Nu"/>
  </r>
  <r>
    <x v="61"/>
    <x v="28"/>
    <n v="8155094"/>
    <n v="40775.47"/>
    <x v="0"/>
    <x v="2"/>
    <d v="1899-12-30T03:28:00"/>
    <x v="3"/>
    <x v="12"/>
    <s v="Nu"/>
  </r>
  <r>
    <x v="70"/>
    <x v="6"/>
    <n v="8077632"/>
    <n v="40388.159999999996"/>
    <x v="6"/>
    <x v="2"/>
    <d v="1899-12-30T02:53:00"/>
    <x v="0"/>
    <x v="1"/>
    <s v="Nu"/>
  </r>
  <r>
    <x v="215"/>
    <x v="128"/>
    <n v="8064157"/>
    <n v="40320.785000000003"/>
    <x v="131"/>
    <x v="2"/>
    <d v="1899-12-30T02:23:00"/>
    <x v="0"/>
    <x v="1"/>
    <s v="Nu"/>
  </r>
  <r>
    <x v="251"/>
    <x v="89"/>
    <n v="8039670"/>
    <n v="40198.35"/>
    <x v="56"/>
    <x v="2"/>
    <d v="1899-12-30T02:23:00"/>
    <x v="1"/>
    <x v="6"/>
    <s v="Da"/>
  </r>
  <r>
    <x v="252"/>
    <x v="89"/>
    <n v="8007543"/>
    <n v="40037.714999999997"/>
    <x v="56"/>
    <x v="2"/>
    <d v="1899-12-30T03:04:00"/>
    <x v="1"/>
    <x v="6"/>
    <s v="Da"/>
  </r>
  <r>
    <x v="92"/>
    <x v="15"/>
    <n v="8006303"/>
    <n v="40031.514999999999"/>
    <x v="59"/>
    <x v="2"/>
    <d v="1899-12-30T03:22:00"/>
    <x v="9"/>
    <x v="2"/>
    <s v="Nu"/>
  </r>
  <r>
    <x v="66"/>
    <x v="32"/>
    <n v="8004957"/>
    <n v="40024.785000000003"/>
    <x v="36"/>
    <x v="2"/>
    <d v="1899-12-30T03:04:00"/>
    <x v="0"/>
    <x v="6"/>
    <s v="Nu"/>
  </r>
  <r>
    <x v="88"/>
    <x v="126"/>
    <n v="7804531"/>
    <n v="39022.654999999999"/>
    <x v="42"/>
    <x v="2"/>
    <d v="1899-12-30T02:55:00"/>
    <x v="10"/>
    <x v="14"/>
    <s v="Nu"/>
  </r>
  <r>
    <x v="81"/>
    <x v="6"/>
    <n v="7716236"/>
    <n v="38581.18"/>
    <x v="49"/>
    <x v="2"/>
    <d v="1899-12-30T03:35:00"/>
    <x v="4"/>
    <x v="1"/>
    <s v="Nu"/>
  </r>
  <r>
    <x v="99"/>
    <x v="51"/>
    <n v="7664269"/>
    <n v="38321.345000000001"/>
    <x v="66"/>
    <x v="2"/>
    <d v="1899-12-30T04:47:00"/>
    <x v="6"/>
    <x v="1"/>
    <s v="Nu"/>
  </r>
  <r>
    <x v="253"/>
    <x v="89"/>
    <n v="7553884"/>
    <n v="37769.42"/>
    <x v="56"/>
    <x v="2"/>
    <d v="1899-12-30T03:47:00"/>
    <x v="1"/>
    <x v="6"/>
    <s v="Nu"/>
  </r>
  <r>
    <x v="98"/>
    <x v="13"/>
    <n v="7510269"/>
    <n v="37551.345000000001"/>
    <x v="65"/>
    <x v="2"/>
    <d v="1899-12-30T04:03:00"/>
    <x v="9"/>
    <x v="6"/>
    <s v="Nu"/>
  </r>
  <r>
    <x v="104"/>
    <x v="55"/>
    <n v="7506959"/>
    <n v="37534.794999999998"/>
    <x v="71"/>
    <x v="2"/>
    <d v="1899-12-30T04:58:00"/>
    <x v="4"/>
    <x v="1"/>
    <s v="Da"/>
  </r>
  <r>
    <x v="93"/>
    <x v="14"/>
    <n v="7486880"/>
    <n v="37434.400000000001"/>
    <x v="60"/>
    <x v="2"/>
    <d v="1899-12-30T02:53:00"/>
    <x v="9"/>
    <x v="7"/>
    <s v="Nu"/>
  </r>
  <r>
    <x v="97"/>
    <x v="50"/>
    <n v="7393139"/>
    <n v="36965.695"/>
    <x v="64"/>
    <x v="2"/>
    <d v="1899-12-30T03:31:00"/>
    <x v="7"/>
    <x v="17"/>
    <s v="Nu"/>
  </r>
  <r>
    <x v="137"/>
    <x v="74"/>
    <n v="7337211"/>
    <n v="36686.055"/>
    <x v="97"/>
    <x v="2"/>
    <d v="1899-12-30T02:10:00"/>
    <x v="5"/>
    <x v="6"/>
    <s v="Da"/>
  </r>
  <r>
    <x v="102"/>
    <x v="53"/>
    <n v="7335785"/>
    <n v="36678.925000000003"/>
    <x v="69"/>
    <x v="2"/>
    <d v="1899-12-30T02:25:00"/>
    <x v="8"/>
    <x v="1"/>
    <s v="Nu"/>
  </r>
  <r>
    <x v="9"/>
    <x v="4"/>
    <n v="7290622"/>
    <n v="36453.11"/>
    <x v="9"/>
    <x v="2"/>
    <d v="1899-12-30T04:57:00"/>
    <x v="1"/>
    <x v="1"/>
    <s v="Nu"/>
  </r>
  <r>
    <x v="159"/>
    <x v="92"/>
    <n v="7057115"/>
    <n v="35285.574999999997"/>
    <x v="108"/>
    <x v="2"/>
    <d v="1899-12-30T02:49:00"/>
    <x v="3"/>
    <x v="18"/>
    <s v="Nu"/>
  </r>
  <r>
    <x v="106"/>
    <x v="57"/>
    <n v="7005873"/>
    <n v="35029.364999999998"/>
    <x v="73"/>
    <x v="2"/>
    <d v="1899-12-30T02:17:00"/>
    <x v="4"/>
    <x v="1"/>
    <s v="Nu"/>
  </r>
  <r>
    <x v="96"/>
    <x v="49"/>
    <n v="6966457"/>
    <n v="34832.285000000003"/>
    <x v="63"/>
    <x v="2"/>
    <d v="1899-12-30T03:32:00"/>
    <x v="1"/>
    <x v="17"/>
    <s v="Nu"/>
  </r>
  <r>
    <x v="111"/>
    <x v="61"/>
    <n v="6952543"/>
    <n v="34762.714999999997"/>
    <x v="78"/>
    <x v="2"/>
    <d v="1899-12-30T03:50:00"/>
    <x v="1"/>
    <x v="1"/>
    <s v="Nu"/>
  </r>
  <r>
    <x v="119"/>
    <x v="8"/>
    <n v="6914740"/>
    <n v="34573.699999999997"/>
    <x v="27"/>
    <x v="2"/>
    <d v="1899-12-30T04:02:00"/>
    <x v="3"/>
    <x v="1"/>
    <s v="Da"/>
  </r>
  <r>
    <x v="128"/>
    <x v="2"/>
    <n v="6881233"/>
    <n v="34406.165000000001"/>
    <x v="91"/>
    <x v="2"/>
    <d v="1899-12-30T03:21:00"/>
    <x v="0"/>
    <x v="2"/>
    <s v="Nu"/>
  </r>
  <r>
    <x v="121"/>
    <x v="47"/>
    <n v="6854130"/>
    <n v="34270.65"/>
    <x v="84"/>
    <x v="2"/>
    <d v="1899-12-30T03:15:00"/>
    <x v="1"/>
    <x v="16"/>
    <s v="Nu"/>
  </r>
  <r>
    <x v="116"/>
    <x v="63"/>
    <n v="6842222"/>
    <n v="34211.11"/>
    <x v="68"/>
    <x v="2"/>
    <d v="1899-12-30T03:37:00"/>
    <x v="0"/>
    <x v="1"/>
    <s v="Nu"/>
  </r>
  <r>
    <x v="225"/>
    <x v="9"/>
    <n v="6827051"/>
    <n v="34135.255000000005"/>
    <x v="48"/>
    <x v="2"/>
    <d v="1899-12-30T04:21:00"/>
    <x v="3"/>
    <x v="7"/>
    <s v="Nu"/>
  </r>
  <r>
    <x v="108"/>
    <x v="133"/>
    <n v="6821787"/>
    <n v="34108.934999999998"/>
    <x v="75"/>
    <x v="2"/>
    <d v="1899-12-30T03:19:00"/>
    <x v="1"/>
    <x v="18"/>
    <s v="Nu"/>
  </r>
  <r>
    <x v="115"/>
    <x v="62"/>
    <n v="6808681"/>
    <n v="34043.404999999999"/>
    <x v="81"/>
    <x v="2"/>
    <d v="1899-12-30T03:40:00"/>
    <x v="1"/>
    <x v="0"/>
    <s v="Nu"/>
  </r>
  <r>
    <x v="113"/>
    <x v="60"/>
    <n v="6802792"/>
    <n v="34013.96"/>
    <x v="69"/>
    <x v="2"/>
    <d v="1899-12-30T03:26:00"/>
    <x v="0"/>
    <x v="1"/>
    <s v="Nu"/>
  </r>
  <r>
    <x v="94"/>
    <x v="48"/>
    <n v="6789965"/>
    <n v="33949.824999999997"/>
    <x v="61"/>
    <x v="2"/>
    <d v="1899-12-30T02:21:00"/>
    <x v="5"/>
    <x v="1"/>
    <s v="Nu"/>
  </r>
  <r>
    <x v="32"/>
    <x v="17"/>
    <n v="6764457"/>
    <n v="33822.285000000003"/>
    <x v="22"/>
    <x v="2"/>
    <d v="1899-12-30T02:44:00"/>
    <x v="6"/>
    <x v="8"/>
    <s v="Da"/>
  </r>
  <r>
    <x v="118"/>
    <x v="65"/>
    <n v="6629131"/>
    <n v="33145.654999999999"/>
    <x v="83"/>
    <x v="2"/>
    <d v="1899-12-30T03:49:00"/>
    <x v="1"/>
    <x v="14"/>
    <s v="Nu"/>
  </r>
  <r>
    <x v="254"/>
    <x v="18"/>
    <n v="6609971"/>
    <n v="33049.854999999996"/>
    <x v="83"/>
    <x v="2"/>
    <d v="1899-12-30T03:21:00"/>
    <x v="1"/>
    <x v="30"/>
    <s v="Da"/>
  </r>
  <r>
    <x v="101"/>
    <x v="52"/>
    <n v="6521903"/>
    <n v="32609.514999999999"/>
    <x v="68"/>
    <x v="2"/>
    <d v="1899-12-30T03:30:00"/>
    <x v="5"/>
    <x v="18"/>
    <s v="Nu"/>
  </r>
  <r>
    <x v="112"/>
    <x v="7"/>
    <n v="6505182"/>
    <n v="32525.91"/>
    <x v="79"/>
    <x v="2"/>
    <d v="1899-12-30T02:36:00"/>
    <x v="3"/>
    <x v="1"/>
    <s v="Nu"/>
  </r>
  <r>
    <x v="145"/>
    <x v="134"/>
    <n v="6486642"/>
    <n v="32433.21"/>
    <x v="101"/>
    <x v="2"/>
    <d v="1899-12-30T02:08:00"/>
    <x v="1"/>
    <x v="18"/>
    <s v="Nu"/>
  </r>
  <r>
    <x v="122"/>
    <x v="67"/>
    <n v="6475476"/>
    <n v="32377.379999999997"/>
    <x v="85"/>
    <x v="2"/>
    <d v="1899-12-30T05:33:00"/>
    <x v="1"/>
    <x v="1"/>
    <s v="Nu"/>
  </r>
  <r>
    <x v="127"/>
    <x v="69"/>
    <n v="6462929"/>
    <n v="32314.645"/>
    <x v="90"/>
    <x v="2"/>
    <d v="1899-12-30T02:25:00"/>
    <x v="1"/>
    <x v="1"/>
    <s v="Nu"/>
  </r>
  <r>
    <x v="130"/>
    <x v="60"/>
    <n v="6448362"/>
    <n v="32241.81"/>
    <x v="93"/>
    <x v="2"/>
    <d v="1899-12-30T02:58:00"/>
    <x v="3"/>
    <x v="1"/>
    <s v="Nu"/>
  </r>
  <r>
    <x v="147"/>
    <x v="84"/>
    <n v="6435858"/>
    <n v="32179.29"/>
    <x v="103"/>
    <x v="2"/>
    <d v="1899-12-30T03:21:00"/>
    <x v="1"/>
    <x v="11"/>
    <s v="Da"/>
  </r>
  <r>
    <x v="255"/>
    <x v="89"/>
    <n v="6333718"/>
    <n v="31668.59"/>
    <x v="56"/>
    <x v="2"/>
    <d v="1899-12-30T03:45:00"/>
    <x v="1"/>
    <x v="6"/>
    <s v="Nu"/>
  </r>
  <r>
    <x v="235"/>
    <x v="136"/>
    <n v="6312982"/>
    <n v="31564.91"/>
    <x v="125"/>
    <x v="2"/>
    <d v="1899-12-30T02:30:00"/>
    <x v="7"/>
    <x v="4"/>
    <s v="Nu"/>
  </r>
  <r>
    <x v="131"/>
    <x v="2"/>
    <n v="6310216"/>
    <n v="31551.08"/>
    <x v="66"/>
    <x v="2"/>
    <d v="1899-12-30T02:35:00"/>
    <x v="3"/>
    <x v="2"/>
    <s v="Nu"/>
  </r>
  <r>
    <x v="124"/>
    <x v="0"/>
    <n v="6306718"/>
    <n v="31533.59"/>
    <x v="87"/>
    <x v="2"/>
    <d v="1899-12-30T02:44:00"/>
    <x v="3"/>
    <x v="0"/>
    <s v="Da"/>
  </r>
  <r>
    <x v="140"/>
    <x v="77"/>
    <n v="6303244"/>
    <n v="31516.219999999998"/>
    <x v="46"/>
    <x v="2"/>
    <d v="1899-12-30T04:33:00"/>
    <x v="0"/>
    <x v="4"/>
    <s v="Nu"/>
  </r>
  <r>
    <x v="123"/>
    <x v="15"/>
    <n v="6268894"/>
    <n v="31344.47"/>
    <x v="86"/>
    <x v="2"/>
    <d v="1899-12-30T03:23:00"/>
    <x v="3"/>
    <x v="2"/>
    <s v="Nu"/>
  </r>
  <r>
    <x v="231"/>
    <x v="8"/>
    <n v="6259285"/>
    <n v="31296.424999999999"/>
    <x v="132"/>
    <x v="2"/>
    <d v="1899-12-30T03:33:00"/>
    <x v="4"/>
    <x v="1"/>
    <s v="Nu"/>
  </r>
  <r>
    <x v="109"/>
    <x v="59"/>
    <n v="6254534"/>
    <n v="31272.67"/>
    <x v="76"/>
    <x v="2"/>
    <d v="1899-12-30T03:46:00"/>
    <x v="0"/>
    <x v="17"/>
    <s v="Nu"/>
  </r>
  <r>
    <x v="117"/>
    <x v="64"/>
    <n v="6254413"/>
    <n v="31272.064999999999"/>
    <x v="82"/>
    <x v="2"/>
    <d v="1899-12-30T03:23:00"/>
    <x v="1"/>
    <x v="1"/>
    <s v="Da"/>
  </r>
  <r>
    <x v="227"/>
    <x v="131"/>
    <n v="6247305"/>
    <n v="31236.525000000001"/>
    <x v="68"/>
    <x v="2"/>
    <d v="1899-12-30T02:59:00"/>
    <x v="7"/>
    <x v="4"/>
    <s v="Nu"/>
  </r>
  <r>
    <x v="132"/>
    <x v="70"/>
    <n v="6138420"/>
    <n v="30692.1"/>
    <x v="94"/>
    <x v="2"/>
    <d v="1899-12-30T03:35:00"/>
    <x v="8"/>
    <x v="1"/>
    <s v="Nu"/>
  </r>
  <r>
    <x v="139"/>
    <x v="76"/>
    <n v="6116311"/>
    <n v="30581.555"/>
    <x v="99"/>
    <x v="2"/>
    <d v="1899-12-30T04:02:00"/>
    <x v="1"/>
    <x v="9"/>
    <s v="Nu"/>
  </r>
  <r>
    <x v="146"/>
    <x v="83"/>
    <n v="6087940"/>
    <n v="30439.699999999997"/>
    <x v="102"/>
    <x v="2"/>
    <d v="1899-12-30T04:02:00"/>
    <x v="1"/>
    <x v="1"/>
    <s v="Nu"/>
  </r>
  <r>
    <x v="114"/>
    <x v="6"/>
    <n v="6058526"/>
    <n v="30292.629999999997"/>
    <x v="80"/>
    <x v="2"/>
    <d v="1899-12-30T02:53:00"/>
    <x v="1"/>
    <x v="1"/>
    <s v="Nu"/>
  </r>
  <r>
    <x v="256"/>
    <x v="146"/>
    <n v="6055602"/>
    <n v="30278.01"/>
    <x v="133"/>
    <x v="2"/>
    <d v="1899-12-30T05:07:00"/>
    <x v="3"/>
    <x v="7"/>
    <s v="Nu"/>
  </r>
  <r>
    <x v="105"/>
    <x v="56"/>
    <n v="6040731"/>
    <n v="30203.654999999999"/>
    <x v="72"/>
    <x v="2"/>
    <d v="1899-12-30T05:39:00"/>
    <x v="3"/>
    <x v="19"/>
    <s v="Da"/>
  </r>
  <r>
    <x v="232"/>
    <x v="132"/>
    <n v="6036598"/>
    <n v="30182.989999999998"/>
    <x v="95"/>
    <x v="2"/>
    <d v="1899-12-30T03:23:00"/>
    <x v="7"/>
    <x v="7"/>
    <s v="Nu"/>
  </r>
  <r>
    <x v="150"/>
    <x v="32"/>
    <n v="6025235"/>
    <n v="30126.174999999999"/>
    <x v="12"/>
    <x v="2"/>
    <d v="1899-12-30T08:58:00"/>
    <x v="6"/>
    <x v="6"/>
    <s v="Nu"/>
  </r>
  <r>
    <x v="166"/>
    <x v="99"/>
    <n v="6017085"/>
    <n v="30085.424999999999"/>
    <x v="18"/>
    <x v="2"/>
    <d v="1899-12-30T02:53:00"/>
    <x v="3"/>
    <x v="0"/>
    <s v="Nu"/>
  </r>
  <r>
    <x v="152"/>
    <x v="87"/>
    <n v="6016274"/>
    <n v="30081.370000000003"/>
    <x v="90"/>
    <x v="2"/>
    <d v="1899-12-30T04:01:00"/>
    <x v="0"/>
    <x v="4"/>
    <s v="Nu"/>
  </r>
  <r>
    <x v="134"/>
    <x v="72"/>
    <n v="6008844"/>
    <n v="30044.22"/>
    <x v="95"/>
    <x v="2"/>
    <d v="1899-12-30T02:27:00"/>
    <x v="3"/>
    <x v="2"/>
    <s v="Da"/>
  </r>
  <r>
    <x v="153"/>
    <x v="88"/>
    <n v="5997232"/>
    <n v="29986.16"/>
    <x v="104"/>
    <x v="2"/>
    <d v="1899-12-30T02:53:00"/>
    <x v="7"/>
    <x v="6"/>
    <s v="Nu"/>
  </r>
  <r>
    <x v="190"/>
    <x v="115"/>
    <n v="5996779"/>
    <n v="29983.895000000004"/>
    <x v="62"/>
    <x v="2"/>
    <d v="1899-12-30T03:40:00"/>
    <x v="6"/>
    <x v="1"/>
    <s v="Nu"/>
  </r>
  <r>
    <x v="237"/>
    <x v="138"/>
    <n v="5980474"/>
    <n v="29902.370000000003"/>
    <x v="121"/>
    <x v="2"/>
    <d v="1899-12-30T04:56:00"/>
    <x v="0"/>
    <x v="1"/>
    <s v="Da"/>
  </r>
  <r>
    <x v="154"/>
    <x v="43"/>
    <n v="5963043"/>
    <n v="29815.214999999997"/>
    <x v="53"/>
    <x v="2"/>
    <d v="1899-12-30T02:54:00"/>
    <x v="1"/>
    <x v="1"/>
    <s v="Nu"/>
  </r>
  <r>
    <x v="155"/>
    <x v="89"/>
    <n v="5902579"/>
    <n v="29512.894999999997"/>
    <x v="105"/>
    <x v="2"/>
    <d v="1899-12-30T03:28:00"/>
    <x v="1"/>
    <x v="6"/>
    <s v="Da"/>
  </r>
  <r>
    <x v="143"/>
    <x v="80"/>
    <n v="5888838"/>
    <n v="29444.19"/>
    <x v="99"/>
    <x v="2"/>
    <d v="1899-12-30T05:58:00"/>
    <x v="2"/>
    <x v="4"/>
    <s v="Nu"/>
  </r>
  <r>
    <x v="129"/>
    <x v="9"/>
    <n v="5886748"/>
    <n v="29433.739999999998"/>
    <x v="92"/>
    <x v="2"/>
    <d v="1899-12-30T04:12:00"/>
    <x v="10"/>
    <x v="4"/>
    <s v="Nu"/>
  </r>
  <r>
    <x v="162"/>
    <x v="95"/>
    <n v="5886479"/>
    <n v="29432.395"/>
    <x v="110"/>
    <x v="2"/>
    <d v="1899-12-30T03:22:00"/>
    <x v="1"/>
    <x v="2"/>
    <s v="Nu"/>
  </r>
  <r>
    <x v="257"/>
    <x v="89"/>
    <n v="5885848"/>
    <n v="29429.239999999998"/>
    <x v="56"/>
    <x v="2"/>
    <d v="1899-12-30T02:54:00"/>
    <x v="1"/>
    <x v="6"/>
    <s v="Da"/>
  </r>
  <r>
    <x v="84"/>
    <x v="42"/>
    <n v="5879656"/>
    <n v="29398.28"/>
    <x v="52"/>
    <x v="2"/>
    <d v="1899-12-30T02:03:00"/>
    <x v="2"/>
    <x v="1"/>
    <s v="Da"/>
  </r>
  <r>
    <x v="242"/>
    <x v="141"/>
    <n v="5862405"/>
    <n v="29312.024999999998"/>
    <x v="125"/>
    <x v="2"/>
    <d v="1899-12-30T02:22:00"/>
    <x v="7"/>
    <x v="7"/>
    <s v="Nu"/>
  </r>
  <r>
    <x v="149"/>
    <x v="23"/>
    <n v="5818652"/>
    <n v="29093.260000000002"/>
    <x v="16"/>
    <x v="2"/>
    <d v="1899-12-30T03:41:00"/>
    <x v="0"/>
    <x v="1"/>
    <s v="Nu"/>
  </r>
  <r>
    <x v="148"/>
    <x v="85"/>
    <n v="5806510"/>
    <n v="29032.550000000003"/>
    <x v="66"/>
    <x v="2"/>
    <d v="1899-12-30T03:12:00"/>
    <x v="7"/>
    <x v="1"/>
    <s v="Da"/>
  </r>
  <r>
    <x v="151"/>
    <x v="86"/>
    <n v="5802977"/>
    <n v="29014.884999999998"/>
    <x v="104"/>
    <x v="2"/>
    <d v="1899-12-30T02:55:00"/>
    <x v="1"/>
    <x v="1"/>
    <s v="Nu"/>
  </r>
  <r>
    <x v="163"/>
    <x v="96"/>
    <n v="5783422"/>
    <n v="28917.109999999997"/>
    <x v="6"/>
    <x v="2"/>
    <d v="1899-12-30T05:21:00"/>
    <x v="3"/>
    <x v="19"/>
    <s v="Nu"/>
  </r>
  <r>
    <x v="258"/>
    <x v="89"/>
    <n v="5771408"/>
    <n v="28857.040000000001"/>
    <x v="56"/>
    <x v="2"/>
    <d v="1899-12-30T03:12:00"/>
    <x v="1"/>
    <x v="6"/>
    <s v="Da"/>
  </r>
  <r>
    <x v="161"/>
    <x v="94"/>
    <n v="5744049"/>
    <n v="28720.244999999999"/>
    <x v="109"/>
    <x v="2"/>
    <d v="1899-12-30T03:03:00"/>
    <x v="1"/>
    <x v="2"/>
    <s v="Nu"/>
  </r>
  <r>
    <x v="175"/>
    <x v="48"/>
    <n v="5723039"/>
    <n v="28615.195"/>
    <x v="11"/>
    <x v="2"/>
    <d v="1899-12-30T02:58:00"/>
    <x v="2"/>
    <x v="1"/>
    <s v="Nu"/>
  </r>
  <r>
    <x v="138"/>
    <x v="75"/>
    <n v="5713536"/>
    <n v="28567.68"/>
    <x v="98"/>
    <x v="2"/>
    <d v="1899-12-30T03:18:00"/>
    <x v="8"/>
    <x v="18"/>
    <s v="Nu"/>
  </r>
  <r>
    <x v="259"/>
    <x v="89"/>
    <n v="5693268"/>
    <n v="28466.34"/>
    <x v="56"/>
    <x v="2"/>
    <d v="1899-12-30T02:31:00"/>
    <x v="1"/>
    <x v="6"/>
    <s v="Nu"/>
  </r>
  <r>
    <x v="174"/>
    <x v="104"/>
    <n v="5683088"/>
    <n v="28415.439999999999"/>
    <x v="9"/>
    <x v="2"/>
    <d v="1899-12-30T04:47:00"/>
    <x v="3"/>
    <x v="1"/>
    <s v="Nu"/>
  </r>
  <r>
    <x v="169"/>
    <x v="86"/>
    <n v="5682183"/>
    <n v="28410.915000000001"/>
    <x v="42"/>
    <x v="2"/>
    <d v="1899-12-30T02:21:00"/>
    <x v="10"/>
    <x v="1"/>
    <s v="Nu"/>
  </r>
  <r>
    <x v="168"/>
    <x v="64"/>
    <n v="5678164"/>
    <n v="28390.82"/>
    <x v="71"/>
    <x v="2"/>
    <d v="1899-12-30T03:23:00"/>
    <x v="0"/>
    <x v="1"/>
    <s v="Nu"/>
  </r>
  <r>
    <x v="260"/>
    <x v="89"/>
    <n v="5676743"/>
    <n v="28383.715000000004"/>
    <x v="56"/>
    <x v="2"/>
    <d v="1899-12-30T02:08:00"/>
    <x v="1"/>
    <x v="6"/>
    <s v="Nu"/>
  </r>
  <r>
    <x v="178"/>
    <x v="106"/>
    <n v="5674909"/>
    <n v="28374.544999999998"/>
    <x v="9"/>
    <x v="2"/>
    <d v="1899-12-30T04:57:00"/>
    <x v="8"/>
    <x v="2"/>
    <s v="Nu"/>
  </r>
  <r>
    <x v="224"/>
    <x v="124"/>
    <n v="5667385"/>
    <n v="28336.925000000003"/>
    <x v="69"/>
    <x v="2"/>
    <d v="1899-12-30T04:23:00"/>
    <x v="8"/>
    <x v="28"/>
    <s v="Da"/>
  </r>
  <r>
    <x v="236"/>
    <x v="137"/>
    <n v="5663458"/>
    <n v="28317.289999999997"/>
    <x v="117"/>
    <x v="2"/>
    <d v="1899-12-30T02:50:00"/>
    <x v="0"/>
    <x v="1"/>
    <s v="Nu"/>
  </r>
  <r>
    <x v="15"/>
    <x v="4"/>
    <n v="5658179"/>
    <n v="28290.895"/>
    <x v="9"/>
    <x v="2"/>
    <d v="1899-12-30T03:46:00"/>
    <x v="1"/>
    <x v="1"/>
    <s v="Nu"/>
  </r>
  <r>
    <x v="188"/>
    <x v="114"/>
    <n v="5633120"/>
    <n v="28165.599999999999"/>
    <x v="60"/>
    <x v="2"/>
    <d v="1899-12-30T03:26:00"/>
    <x v="7"/>
    <x v="6"/>
    <s v="Nu"/>
  </r>
  <r>
    <x v="164"/>
    <x v="97"/>
    <n v="5627698"/>
    <n v="28138.49"/>
    <x v="108"/>
    <x v="2"/>
    <d v="1899-12-30T02:53:00"/>
    <x v="3"/>
    <x v="0"/>
    <s v="Nu"/>
  </r>
  <r>
    <x v="209"/>
    <x v="124"/>
    <n v="5619053"/>
    <n v="28095.264999999999"/>
    <x v="6"/>
    <x v="2"/>
    <d v="1899-12-30T02:26:00"/>
    <x v="11"/>
    <x v="28"/>
    <s v="Nu"/>
  </r>
  <r>
    <x v="184"/>
    <x v="111"/>
    <n v="5609629"/>
    <n v="28048.145"/>
    <x v="56"/>
    <x v="2"/>
    <d v="1899-12-30T03:46:00"/>
    <x v="1"/>
    <x v="2"/>
    <s v="Nu"/>
  </r>
  <r>
    <x v="239"/>
    <x v="87"/>
    <n v="5605816"/>
    <n v="28029.079999999998"/>
    <x v="129"/>
    <x v="2"/>
    <d v="1899-12-30T02:21:00"/>
    <x v="7"/>
    <x v="7"/>
    <s v="Nu"/>
  </r>
  <r>
    <x v="173"/>
    <x v="103"/>
    <n v="5556773"/>
    <n v="27783.865000000002"/>
    <x v="10"/>
    <x v="2"/>
    <d v="1899-12-30T04:03:00"/>
    <x v="0"/>
    <x v="24"/>
    <s v="Nu"/>
  </r>
  <r>
    <x v="142"/>
    <x v="79"/>
    <n v="5551341"/>
    <n v="27756.705000000002"/>
    <x v="100"/>
    <x v="2"/>
    <d v="1899-12-30T02:44:00"/>
    <x v="1"/>
    <x v="21"/>
    <s v="Nu"/>
  </r>
  <r>
    <x v="238"/>
    <x v="139"/>
    <n v="5536712"/>
    <n v="27683.56"/>
    <x v="122"/>
    <x v="2"/>
    <d v="1899-12-30T04:44:00"/>
    <x v="1"/>
    <x v="1"/>
    <s v="Nu"/>
  </r>
  <r>
    <x v="157"/>
    <x v="90"/>
    <n v="5526898"/>
    <n v="27634.49"/>
    <x v="16"/>
    <x v="2"/>
    <d v="1899-12-30T02:45:00"/>
    <x v="1"/>
    <x v="18"/>
    <s v="Nu"/>
  </r>
  <r>
    <x v="177"/>
    <x v="63"/>
    <n v="5525535"/>
    <n v="27627.674999999999"/>
    <x v="13"/>
    <x v="2"/>
    <d v="1899-12-30T02:25:00"/>
    <x v="5"/>
    <x v="1"/>
    <s v="Nu"/>
  </r>
  <r>
    <x v="165"/>
    <x v="98"/>
    <n v="5525427"/>
    <n v="27627.134999999998"/>
    <x v="111"/>
    <x v="2"/>
    <d v="1899-12-30T03:28:00"/>
    <x v="1"/>
    <x v="1"/>
    <s v="Nu"/>
  </r>
  <r>
    <x v="195"/>
    <x v="96"/>
    <n v="5510213"/>
    <n v="27551.064999999999"/>
    <x v="67"/>
    <x v="2"/>
    <d v="1899-12-30T03:18:00"/>
    <x v="1"/>
    <x v="19"/>
    <s v="Nu"/>
  </r>
  <r>
    <x v="185"/>
    <x v="112"/>
    <n v="5476455"/>
    <n v="27382.275000000001"/>
    <x v="57"/>
    <x v="2"/>
    <d v="1899-12-30T03:58:00"/>
    <x v="1"/>
    <x v="2"/>
    <s v="Nu"/>
  </r>
  <r>
    <x v="144"/>
    <x v="81"/>
    <n v="5447371"/>
    <n v="27236.855"/>
    <x v="50"/>
    <x v="2"/>
    <d v="1899-12-30T02:18:00"/>
    <x v="1"/>
    <x v="2"/>
    <s v="Nu"/>
  </r>
  <r>
    <x v="125"/>
    <x v="68"/>
    <n v="5445808"/>
    <n v="27229.040000000001"/>
    <x v="88"/>
    <x v="2"/>
    <d v="1899-12-30T03:35:00"/>
    <x v="1"/>
    <x v="4"/>
    <s v="Nu"/>
  </r>
  <r>
    <x v="172"/>
    <x v="16"/>
    <n v="5439098"/>
    <n v="27195.489999999998"/>
    <x v="112"/>
    <x v="2"/>
    <d v="1899-12-30T03:31:00"/>
    <x v="8"/>
    <x v="6"/>
    <s v="Nu"/>
  </r>
  <r>
    <x v="133"/>
    <x v="71"/>
    <n v="5395263"/>
    <n v="26976.314999999999"/>
    <x v="78"/>
    <x v="2"/>
    <d v="1899-12-30T03:07:00"/>
    <x v="0"/>
    <x v="7"/>
    <s v="Nu"/>
  </r>
  <r>
    <x v="261"/>
    <x v="147"/>
    <n v="5371072"/>
    <n v="26855.360000000001"/>
    <x v="134"/>
    <x v="2"/>
    <d v="1899-12-30T02:01:00"/>
    <x v="0"/>
    <x v="2"/>
    <s v="Nu"/>
  </r>
  <r>
    <x v="110"/>
    <x v="60"/>
    <n v="5357724"/>
    <n v="26788.620000000003"/>
    <x v="77"/>
    <x v="2"/>
    <d v="1899-12-30T03:58:00"/>
    <x v="2"/>
    <x v="1"/>
    <s v="Nu"/>
  </r>
  <r>
    <x v="186"/>
    <x v="24"/>
    <n v="5354121"/>
    <n v="26770.605"/>
    <x v="58"/>
    <x v="2"/>
    <d v="1899-12-30T03:50:00"/>
    <x v="1"/>
    <x v="7"/>
    <s v="Nu"/>
  </r>
  <r>
    <x v="193"/>
    <x v="117"/>
    <n v="5351049"/>
    <n v="26755.244999999999"/>
    <x v="65"/>
    <x v="2"/>
    <d v="1899-12-30T03:49:00"/>
    <x v="7"/>
    <x v="26"/>
    <s v="Nu"/>
  </r>
  <r>
    <x v="249"/>
    <x v="145"/>
    <n v="5343959"/>
    <n v="26719.794999999998"/>
    <x v="128"/>
    <x v="2"/>
    <d v="1899-12-30T03:21:00"/>
    <x v="3"/>
    <x v="4"/>
    <s v="Nu"/>
  </r>
  <r>
    <x v="194"/>
    <x v="118"/>
    <n v="5338308"/>
    <n v="26691.54"/>
    <x v="66"/>
    <x v="2"/>
    <d v="1899-12-30T04:02:00"/>
    <x v="1"/>
    <x v="1"/>
    <s v="Nu"/>
  </r>
  <r>
    <x v="187"/>
    <x v="113"/>
    <n v="5322838"/>
    <n v="26614.19"/>
    <x v="59"/>
    <x v="2"/>
    <d v="1899-12-30T02:36:00"/>
    <x v="1"/>
    <x v="2"/>
    <s v="Nu"/>
  </r>
  <r>
    <x v="246"/>
    <x v="143"/>
    <n v="5310723"/>
    <n v="26553.614999999998"/>
    <x v="126"/>
    <x v="2"/>
    <d v="1899-12-30T02:59:00"/>
    <x v="1"/>
    <x v="1"/>
    <s v="Da"/>
  </r>
  <r>
    <x v="199"/>
    <x v="8"/>
    <n v="5310598"/>
    <n v="26552.989999999998"/>
    <x v="69"/>
    <x v="2"/>
    <d v="1899-12-30T02:44:00"/>
    <x v="3"/>
    <x v="1"/>
    <s v="Nu"/>
  </r>
  <r>
    <x v="247"/>
    <x v="143"/>
    <n v="5297116"/>
    <n v="26485.58"/>
    <x v="126"/>
    <x v="2"/>
    <d v="1899-12-30T02:23:00"/>
    <x v="1"/>
    <x v="1"/>
    <s v="Nu"/>
  </r>
  <r>
    <x v="95"/>
    <x v="2"/>
    <n v="5292027"/>
    <n v="26460.135000000002"/>
    <x v="62"/>
    <x v="2"/>
    <d v="1899-12-30T03:32:00"/>
    <x v="0"/>
    <x v="2"/>
    <s v="Nu"/>
  </r>
  <r>
    <x v="248"/>
    <x v="144"/>
    <n v="5276238"/>
    <n v="26381.190000000002"/>
    <x v="127"/>
    <x v="2"/>
    <d v="1899-12-30T03:23:00"/>
    <x v="0"/>
    <x v="2"/>
    <s v="Nu"/>
  </r>
  <r>
    <x v="170"/>
    <x v="101"/>
    <n v="5272783"/>
    <n v="26363.915000000001"/>
    <x v="41"/>
    <x v="2"/>
    <d v="1899-12-30T03:32:00"/>
    <x v="3"/>
    <x v="4"/>
    <s v="Nu"/>
  </r>
  <r>
    <x v="0"/>
    <x v="0"/>
    <n v="65706259"/>
    <n v="328531.29500000004"/>
    <x v="0"/>
    <x v="3"/>
    <d v="1899-12-30T02:21:00"/>
    <x v="0"/>
    <x v="0"/>
    <s v="Da"/>
  </r>
  <r>
    <x v="205"/>
    <x v="89"/>
    <n v="45594878"/>
    <n v="227974.38999999998"/>
    <x v="56"/>
    <x v="3"/>
    <d v="1899-12-30T02:03:00"/>
    <x v="1"/>
    <x v="6"/>
    <s v="Da"/>
  </r>
  <r>
    <x v="203"/>
    <x v="89"/>
    <n v="43845716"/>
    <n v="219228.58000000002"/>
    <x v="56"/>
    <x v="3"/>
    <d v="1899-12-30T03:23:00"/>
    <x v="1"/>
    <x v="6"/>
    <s v="Da"/>
  </r>
  <r>
    <x v="1"/>
    <x v="1"/>
    <n v="42154185"/>
    <n v="210770.92499999999"/>
    <x v="1"/>
    <x v="3"/>
    <d v="1899-12-30T03:32:00"/>
    <x v="1"/>
    <x v="1"/>
    <s v="Da"/>
  </r>
  <r>
    <x v="202"/>
    <x v="89"/>
    <n v="38422223"/>
    <n v="192111.11499999999"/>
    <x v="56"/>
    <x v="3"/>
    <d v="1899-12-30T01:20:00"/>
    <x v="1"/>
    <x v="6"/>
    <s v="Da"/>
  </r>
  <r>
    <x v="218"/>
    <x v="89"/>
    <n v="34053174"/>
    <n v="170265.87"/>
    <x v="56"/>
    <x v="3"/>
    <d v="1899-12-30T03:56:00"/>
    <x v="1"/>
    <x v="6"/>
    <s v="Nu"/>
  </r>
  <r>
    <x v="2"/>
    <x v="2"/>
    <n v="32477559"/>
    <n v="162387.79500000001"/>
    <x v="2"/>
    <x v="3"/>
    <d v="1899-12-30T03:32:00"/>
    <x v="0"/>
    <x v="2"/>
    <s v="Nu"/>
  </r>
  <r>
    <x v="3"/>
    <x v="3"/>
    <n v="29650985"/>
    <n v="148254.92499999999"/>
    <x v="3"/>
    <x v="3"/>
    <d v="1899-12-30T03:31:00"/>
    <x v="2"/>
    <x v="3"/>
    <s v="Nu"/>
  </r>
  <r>
    <x v="5"/>
    <x v="5"/>
    <n v="29585088"/>
    <n v="147925.44"/>
    <x v="5"/>
    <x v="3"/>
    <d v="1899-12-30T04:47:00"/>
    <x v="3"/>
    <x v="4"/>
    <s v="Nu"/>
  </r>
  <r>
    <x v="206"/>
    <x v="89"/>
    <n v="28347807"/>
    <n v="141739.035"/>
    <x v="56"/>
    <x v="3"/>
    <d v="1899-12-30T04:01:00"/>
    <x v="1"/>
    <x v="6"/>
    <s v="Da"/>
  </r>
  <r>
    <x v="8"/>
    <x v="7"/>
    <n v="27507841"/>
    <n v="137539.20500000002"/>
    <x v="8"/>
    <x v="3"/>
    <d v="1899-12-30T02:25:00"/>
    <x v="0"/>
    <x v="1"/>
    <s v="Nu"/>
  </r>
  <r>
    <x v="250"/>
    <x v="89"/>
    <n v="27368851"/>
    <n v="136844.255"/>
    <x v="56"/>
    <x v="3"/>
    <d v="1899-12-30T03:26:00"/>
    <x v="1"/>
    <x v="6"/>
    <s v="Nu"/>
  </r>
  <r>
    <x v="4"/>
    <x v="4"/>
    <n v="27212883"/>
    <n v="136064.41500000001"/>
    <x v="4"/>
    <x v="3"/>
    <d v="1899-12-30T04:03:00"/>
    <x v="1"/>
    <x v="1"/>
    <s v="Nu"/>
  </r>
  <r>
    <x v="6"/>
    <x v="6"/>
    <n v="26877818"/>
    <n v="134389.09"/>
    <x v="6"/>
    <x v="3"/>
    <d v="1899-12-30T02:58:00"/>
    <x v="0"/>
    <x v="1"/>
    <s v="Nu"/>
  </r>
  <r>
    <x v="241"/>
    <x v="89"/>
    <n v="26226066"/>
    <n v="131130.32999999999"/>
    <x v="56"/>
    <x v="3"/>
    <d v="1899-12-30T03:21:00"/>
    <x v="1"/>
    <x v="6"/>
    <s v="Nu"/>
  </r>
  <r>
    <x v="251"/>
    <x v="89"/>
    <n v="26043915"/>
    <n v="130219.57500000001"/>
    <x v="56"/>
    <x v="3"/>
    <d v="1899-12-30T02:23:00"/>
    <x v="1"/>
    <x v="6"/>
    <s v="Da"/>
  </r>
  <r>
    <x v="252"/>
    <x v="89"/>
    <n v="25554209"/>
    <n v="127771.045"/>
    <x v="56"/>
    <x v="3"/>
    <d v="1899-12-30T03:04:00"/>
    <x v="1"/>
    <x v="6"/>
    <s v="Da"/>
  </r>
  <r>
    <x v="7"/>
    <x v="7"/>
    <n v="25440855"/>
    <n v="127204.27499999999"/>
    <x v="7"/>
    <x v="3"/>
    <d v="1899-12-30T03:30:00"/>
    <x v="0"/>
    <x v="1"/>
    <s v="Nu"/>
  </r>
  <r>
    <x v="16"/>
    <x v="10"/>
    <n v="24827159"/>
    <n v="124135.795"/>
    <x v="14"/>
    <x v="3"/>
    <d v="1899-12-30T03:58:00"/>
    <x v="0"/>
    <x v="2"/>
    <s v="Nu"/>
  </r>
  <r>
    <x v="230"/>
    <x v="89"/>
    <n v="23993346"/>
    <n v="119966.73000000001"/>
    <x v="56"/>
    <x v="3"/>
    <d v="1899-12-30T03:05:00"/>
    <x v="1"/>
    <x v="6"/>
    <s v="Nu"/>
  </r>
  <r>
    <x v="10"/>
    <x v="8"/>
    <n v="22684148"/>
    <n v="113420.74"/>
    <x v="10"/>
    <x v="3"/>
    <d v="1899-12-30T04:58:00"/>
    <x v="4"/>
    <x v="1"/>
    <s v="Nu"/>
  </r>
  <r>
    <x v="253"/>
    <x v="89"/>
    <n v="22025962"/>
    <n v="110129.81"/>
    <x v="56"/>
    <x v="3"/>
    <d v="1899-12-30T03:47:00"/>
    <x v="1"/>
    <x v="6"/>
    <s v="Nu"/>
  </r>
  <r>
    <x v="12"/>
    <x v="1"/>
    <n v="21529938"/>
    <n v="107649.68999999999"/>
    <x v="11"/>
    <x v="3"/>
    <d v="1899-12-30T02:17:00"/>
    <x v="0"/>
    <x v="1"/>
    <s v="Nu"/>
  </r>
  <r>
    <x v="13"/>
    <x v="7"/>
    <n v="20896669"/>
    <n v="104483.345"/>
    <x v="12"/>
    <x v="3"/>
    <d v="1899-12-30T03:28:00"/>
    <x v="0"/>
    <x v="1"/>
    <s v="Da"/>
  </r>
  <r>
    <x v="14"/>
    <x v="9"/>
    <n v="19097158"/>
    <n v="95485.79"/>
    <x v="13"/>
    <x v="3"/>
    <d v="1899-12-30T03:19:00"/>
    <x v="3"/>
    <x v="4"/>
    <s v="Nu"/>
  </r>
  <r>
    <x v="255"/>
    <x v="89"/>
    <n v="18888249"/>
    <n v="94441.244999999995"/>
    <x v="56"/>
    <x v="3"/>
    <d v="1899-12-30T03:45:00"/>
    <x v="1"/>
    <x v="6"/>
    <s v="Nu"/>
  </r>
  <r>
    <x v="259"/>
    <x v="89"/>
    <n v="18180843"/>
    <n v="90904.214999999997"/>
    <x v="56"/>
    <x v="3"/>
    <d v="1899-12-30T02:31:00"/>
    <x v="1"/>
    <x v="6"/>
    <s v="Nu"/>
  </r>
  <r>
    <x v="17"/>
    <x v="11"/>
    <n v="17626028"/>
    <n v="88130.139999999985"/>
    <x v="15"/>
    <x v="3"/>
    <d v="1899-12-30T03:50:00"/>
    <x v="3"/>
    <x v="5"/>
    <s v="Nu"/>
  </r>
  <r>
    <x v="19"/>
    <x v="12"/>
    <n v="17385575"/>
    <n v="86927.875"/>
    <x v="16"/>
    <x v="3"/>
    <d v="1899-12-30T03:26:00"/>
    <x v="3"/>
    <x v="4"/>
    <s v="Nu"/>
  </r>
  <r>
    <x v="260"/>
    <x v="89"/>
    <n v="17035250"/>
    <n v="85176.25"/>
    <x v="56"/>
    <x v="3"/>
    <d v="1899-12-30T02:08:00"/>
    <x v="1"/>
    <x v="6"/>
    <s v="Nu"/>
  </r>
  <r>
    <x v="258"/>
    <x v="89"/>
    <n v="16808455"/>
    <n v="84042.275000000009"/>
    <x v="56"/>
    <x v="3"/>
    <d v="1899-12-30T03:12:00"/>
    <x v="1"/>
    <x v="6"/>
    <s v="Da"/>
  </r>
  <r>
    <x v="11"/>
    <x v="4"/>
    <n v="16413179"/>
    <n v="82065.895000000004"/>
    <x v="9"/>
    <x v="3"/>
    <d v="1899-12-30T05:39:00"/>
    <x v="1"/>
    <x v="1"/>
    <s v="Nu"/>
  </r>
  <r>
    <x v="20"/>
    <x v="3"/>
    <n v="16188501"/>
    <n v="80942.505000000005"/>
    <x v="17"/>
    <x v="3"/>
    <d v="1899-12-30T02:53:00"/>
    <x v="2"/>
    <x v="3"/>
    <s v="Nu"/>
  </r>
  <r>
    <x v="257"/>
    <x v="89"/>
    <n v="16082820"/>
    <n v="80414.100000000006"/>
    <x v="56"/>
    <x v="3"/>
    <d v="1899-12-30T02:09:00"/>
    <x v="1"/>
    <x v="6"/>
    <s v="Da"/>
  </r>
  <r>
    <x v="23"/>
    <x v="15"/>
    <n v="16076912"/>
    <n v="80384.56"/>
    <x v="20"/>
    <x v="3"/>
    <d v="1899-12-30T03:23:00"/>
    <x v="0"/>
    <x v="2"/>
    <s v="Da"/>
  </r>
  <r>
    <x v="21"/>
    <x v="13"/>
    <n v="15826162"/>
    <n v="79130.81"/>
    <x v="18"/>
    <x v="3"/>
    <d v="1899-12-30T03:40:00"/>
    <x v="5"/>
    <x v="6"/>
    <s v="Nu"/>
  </r>
  <r>
    <x v="262"/>
    <x v="89"/>
    <n v="15567041"/>
    <n v="77835.205000000002"/>
    <x v="56"/>
    <x v="3"/>
    <d v="1899-12-30T03:20:00"/>
    <x v="1"/>
    <x v="6"/>
    <s v="Nu"/>
  </r>
  <r>
    <x v="22"/>
    <x v="14"/>
    <n v="15558142"/>
    <n v="77790.709999999992"/>
    <x v="19"/>
    <x v="3"/>
    <d v="1899-12-30T03:37:00"/>
    <x v="3"/>
    <x v="7"/>
    <s v="Nu"/>
  </r>
  <r>
    <x v="24"/>
    <x v="6"/>
    <n v="15470078"/>
    <n v="77350.39"/>
    <x v="6"/>
    <x v="3"/>
    <d v="1899-12-30T03:49:00"/>
    <x v="0"/>
    <x v="1"/>
    <s v="Nu"/>
  </r>
  <r>
    <x v="263"/>
    <x v="89"/>
    <n v="15443086"/>
    <n v="77215.429999999993"/>
    <x v="56"/>
    <x v="3"/>
    <d v="1899-12-30T03:35:00"/>
    <x v="1"/>
    <x v="6"/>
    <s v="Da"/>
  </r>
  <r>
    <x v="26"/>
    <x v="16"/>
    <n v="14792207"/>
    <n v="73961.035000000003"/>
    <x v="17"/>
    <x v="3"/>
    <d v="1899-12-30T03:18:00"/>
    <x v="0"/>
    <x v="6"/>
    <s v="Da"/>
  </r>
  <r>
    <x v="264"/>
    <x v="89"/>
    <n v="13919809"/>
    <n v="69599.044999999998"/>
    <x v="56"/>
    <x v="3"/>
    <d v="1899-12-30T04:23:00"/>
    <x v="1"/>
    <x v="6"/>
    <s v="Nu"/>
  </r>
  <r>
    <x v="18"/>
    <x v="4"/>
    <n v="13386308"/>
    <n v="66931.540000000008"/>
    <x v="9"/>
    <x v="3"/>
    <d v="1899-12-30T02:36:00"/>
    <x v="1"/>
    <x v="1"/>
    <s v="Nu"/>
  </r>
  <r>
    <x v="9"/>
    <x v="4"/>
    <n v="13374077"/>
    <n v="66870.384999999995"/>
    <x v="9"/>
    <x v="3"/>
    <d v="1899-12-30T04:57:00"/>
    <x v="1"/>
    <x v="1"/>
    <s v="Nu"/>
  </r>
  <r>
    <x v="31"/>
    <x v="13"/>
    <n v="13283877"/>
    <n v="66419.385000000009"/>
    <x v="21"/>
    <x v="3"/>
    <d v="1899-12-30T03:35:00"/>
    <x v="5"/>
    <x v="6"/>
    <s v="Da"/>
  </r>
  <r>
    <x v="34"/>
    <x v="13"/>
    <n v="13282212"/>
    <n v="66411.06"/>
    <x v="23"/>
    <x v="3"/>
    <d v="1899-12-30T03:21:00"/>
    <x v="5"/>
    <x v="6"/>
    <s v="Nu"/>
  </r>
  <r>
    <x v="35"/>
    <x v="18"/>
    <n v="13255149"/>
    <n v="66275.744999999995"/>
    <x v="22"/>
    <x v="3"/>
    <d v="1899-12-30T04:12:00"/>
    <x v="1"/>
    <x v="1"/>
    <s v="Da"/>
  </r>
  <r>
    <x v="43"/>
    <x v="14"/>
    <n v="13119628"/>
    <n v="65598.14"/>
    <x v="25"/>
    <x v="3"/>
    <d v="1899-12-30T02:10:00"/>
    <x v="3"/>
    <x v="7"/>
    <s v="Nu"/>
  </r>
  <r>
    <x v="213"/>
    <x v="19"/>
    <n v="12879133"/>
    <n v="64395.665000000001"/>
    <x v="56"/>
    <x v="3"/>
    <d v="1899-12-30T03:09:00"/>
    <x v="4"/>
    <x v="12"/>
    <s v="Nu"/>
  </r>
  <r>
    <x v="265"/>
    <x v="89"/>
    <n v="12312466"/>
    <n v="61562.33"/>
    <x v="6"/>
    <x v="3"/>
    <d v="1899-12-30T03:00:00"/>
    <x v="1"/>
    <x v="6"/>
    <s v="Nu"/>
  </r>
  <r>
    <x v="38"/>
    <x v="6"/>
    <n v="12024457"/>
    <n v="60122.285000000003"/>
    <x v="6"/>
    <x v="3"/>
    <d v="1899-12-30T03:35:00"/>
    <x v="0"/>
    <x v="1"/>
    <s v="Nu"/>
  </r>
  <r>
    <x v="41"/>
    <x v="20"/>
    <n v="11869240"/>
    <n v="59346.2"/>
    <x v="7"/>
    <x v="3"/>
    <d v="1899-12-30T04:21:00"/>
    <x v="3"/>
    <x v="4"/>
    <s v="Nu"/>
  </r>
  <r>
    <x v="45"/>
    <x v="6"/>
    <n v="11862663"/>
    <n v="59313.315000000002"/>
    <x v="26"/>
    <x v="3"/>
    <d v="1899-12-30T04:02:00"/>
    <x v="0"/>
    <x v="1"/>
    <s v="Nu"/>
  </r>
  <r>
    <x v="46"/>
    <x v="21"/>
    <n v="11808168"/>
    <n v="59040.84"/>
    <x v="27"/>
    <x v="3"/>
    <d v="1899-12-30T04:33:00"/>
    <x v="7"/>
    <x v="4"/>
    <s v="Nu"/>
  </r>
  <r>
    <x v="68"/>
    <x v="33"/>
    <n v="11486519"/>
    <n v="57432.595000000001"/>
    <x v="37"/>
    <x v="3"/>
    <d v="1899-12-30T03:22:00"/>
    <x v="0"/>
    <x v="2"/>
    <s v="Nu"/>
  </r>
  <r>
    <x v="30"/>
    <x v="17"/>
    <n v="11376116"/>
    <n v="56880.58"/>
    <x v="6"/>
    <x v="3"/>
    <d v="1899-12-30T02:44:00"/>
    <x v="6"/>
    <x v="8"/>
    <s v="Nu"/>
  </r>
  <r>
    <x v="266"/>
    <x v="89"/>
    <n v="11368884"/>
    <n v="56844.42"/>
    <x v="130"/>
    <x v="3"/>
    <d v="1899-12-30T03:21:00"/>
    <x v="1"/>
    <x v="6"/>
    <s v="Nu"/>
  </r>
  <r>
    <x v="47"/>
    <x v="22"/>
    <n v="11335980"/>
    <n v="56679.899999999994"/>
    <x v="28"/>
    <x v="3"/>
    <d v="1899-12-30T02:03:00"/>
    <x v="1"/>
    <x v="10"/>
    <s v="Nu"/>
  </r>
  <r>
    <x v="50"/>
    <x v="7"/>
    <n v="11107366"/>
    <n v="55536.83"/>
    <x v="29"/>
    <x v="3"/>
    <d v="1899-12-30T02:18:00"/>
    <x v="0"/>
    <x v="1"/>
    <s v="Nu"/>
  </r>
  <r>
    <x v="48"/>
    <x v="9"/>
    <n v="11010014"/>
    <n v="55050.069999999992"/>
    <x v="29"/>
    <x v="3"/>
    <d v="1899-12-30T02:44:00"/>
    <x v="3"/>
    <x v="4"/>
    <s v="Nu"/>
  </r>
  <r>
    <x v="15"/>
    <x v="4"/>
    <n v="10880386"/>
    <n v="54401.93"/>
    <x v="9"/>
    <x v="3"/>
    <d v="1899-12-30T03:46:00"/>
    <x v="1"/>
    <x v="1"/>
    <s v="Nu"/>
  </r>
  <r>
    <x v="53"/>
    <x v="24"/>
    <n v="10588661"/>
    <n v="52943.305"/>
    <x v="27"/>
    <x v="3"/>
    <d v="1899-12-30T03:21:00"/>
    <x v="3"/>
    <x v="7"/>
    <s v="Nu"/>
  </r>
  <r>
    <x v="78"/>
    <x v="126"/>
    <n v="10584248"/>
    <n v="52921.24"/>
    <x v="46"/>
    <x v="3"/>
    <d v="1899-12-30T03:23:00"/>
    <x v="5"/>
    <x v="14"/>
    <s v="Nu"/>
  </r>
  <r>
    <x v="54"/>
    <x v="25"/>
    <n v="10495538"/>
    <n v="52477.69"/>
    <x v="0"/>
    <x v="3"/>
    <d v="1899-12-30T03:12:00"/>
    <x v="8"/>
    <x v="11"/>
    <s v="Nu"/>
  </r>
  <r>
    <x v="59"/>
    <x v="27"/>
    <n v="10166616"/>
    <n v="50833.08"/>
    <x v="32"/>
    <x v="3"/>
    <d v="1899-12-30T02:53:00"/>
    <x v="0"/>
    <x v="2"/>
    <s v="Nu"/>
  </r>
  <r>
    <x v="52"/>
    <x v="23"/>
    <n v="10154618"/>
    <n v="50773.090000000004"/>
    <x v="30"/>
    <x v="3"/>
    <d v="1899-12-30T04:02:00"/>
    <x v="5"/>
    <x v="4"/>
    <s v="Nu"/>
  </r>
  <r>
    <x v="39"/>
    <x v="17"/>
    <n v="9964824"/>
    <n v="49824.12"/>
    <x v="0"/>
    <x v="3"/>
    <d v="1899-12-30T03:07:00"/>
    <x v="6"/>
    <x v="8"/>
    <s v="Nu"/>
  </r>
  <r>
    <x v="57"/>
    <x v="6"/>
    <n v="9788170"/>
    <n v="48940.85"/>
    <x v="6"/>
    <x v="3"/>
    <d v="1899-12-30T02:55:00"/>
    <x v="0"/>
    <x v="1"/>
    <s v="Nu"/>
  </r>
  <r>
    <x v="58"/>
    <x v="26"/>
    <n v="9719423"/>
    <n v="48597.115000000005"/>
    <x v="31"/>
    <x v="3"/>
    <d v="1899-12-30T04:01:00"/>
    <x v="9"/>
    <x v="0"/>
    <s v="Nu"/>
  </r>
  <r>
    <x v="62"/>
    <x v="29"/>
    <n v="9546848"/>
    <n v="47734.239999999998"/>
    <x v="1"/>
    <x v="3"/>
    <d v="1899-12-30T02:44:00"/>
    <x v="0"/>
    <x v="13"/>
    <s v="Nu"/>
  </r>
  <r>
    <x v="63"/>
    <x v="30"/>
    <n v="9519785"/>
    <n v="47598.925000000003"/>
    <x v="33"/>
    <x v="3"/>
    <d v="1899-12-30T02:45:00"/>
    <x v="3"/>
    <x v="4"/>
    <s v="Nu"/>
  </r>
  <r>
    <x v="64"/>
    <x v="12"/>
    <n v="9353064"/>
    <n v="46765.32"/>
    <x v="34"/>
    <x v="3"/>
    <d v="1899-12-30T03:25:00"/>
    <x v="7"/>
    <x v="4"/>
    <s v="Nu"/>
  </r>
  <r>
    <x v="65"/>
    <x v="31"/>
    <n v="9277029"/>
    <n v="46385.145000000004"/>
    <x v="35"/>
    <x v="3"/>
    <d v="1899-12-30T02:49:00"/>
    <x v="10"/>
    <x v="2"/>
    <s v="Da"/>
  </r>
  <r>
    <x v="74"/>
    <x v="37"/>
    <n v="9137061"/>
    <n v="45685.305"/>
    <x v="42"/>
    <x v="3"/>
    <d v="1899-12-30T02:17:00"/>
    <x v="1"/>
    <x v="1"/>
    <s v="Da"/>
  </r>
  <r>
    <x v="60"/>
    <x v="7"/>
    <n v="9093003"/>
    <n v="45465.014999999999"/>
    <x v="29"/>
    <x v="3"/>
    <d v="1899-12-30T02:54:00"/>
    <x v="0"/>
    <x v="1"/>
    <s v="Nu"/>
  </r>
  <r>
    <x v="61"/>
    <x v="28"/>
    <n v="8942549"/>
    <n v="44712.745000000003"/>
    <x v="0"/>
    <x v="3"/>
    <d v="1899-12-30T03:28:00"/>
    <x v="3"/>
    <x v="12"/>
    <s v="Nu"/>
  </r>
  <r>
    <x v="73"/>
    <x v="36"/>
    <n v="8936748"/>
    <n v="44683.74"/>
    <x v="41"/>
    <x v="3"/>
    <d v="1899-12-30T04:57:00"/>
    <x v="3"/>
    <x v="7"/>
    <s v="Nu"/>
  </r>
  <r>
    <x v="267"/>
    <x v="148"/>
    <n v="8909165"/>
    <n v="44545.825000000004"/>
    <x v="2"/>
    <x v="3"/>
    <d v="1899-12-30T06:54:00"/>
    <x v="0"/>
    <x v="19"/>
    <s v="Nu"/>
  </r>
  <r>
    <x v="80"/>
    <x v="41"/>
    <n v="8859678"/>
    <n v="44298.39"/>
    <x v="48"/>
    <x v="3"/>
    <d v="1899-12-30T04:12:00"/>
    <x v="0"/>
    <x v="2"/>
    <s v="Nu"/>
  </r>
  <r>
    <x v="69"/>
    <x v="129"/>
    <n v="8851356"/>
    <n v="44256.78"/>
    <x v="38"/>
    <x v="3"/>
    <d v="1899-12-30T05:21:00"/>
    <x v="3"/>
    <x v="4"/>
    <s v="Nu"/>
  </r>
  <r>
    <x v="66"/>
    <x v="32"/>
    <n v="8826147"/>
    <n v="44130.735000000001"/>
    <x v="36"/>
    <x v="3"/>
    <d v="1899-12-30T03:04:00"/>
    <x v="0"/>
    <x v="6"/>
    <s v="Nu"/>
  </r>
  <r>
    <x v="76"/>
    <x v="38"/>
    <n v="8758620"/>
    <n v="43793.100000000006"/>
    <x v="44"/>
    <x v="3"/>
    <d v="1899-12-30T03:23:00"/>
    <x v="0"/>
    <x v="1"/>
    <s v="Nu"/>
  </r>
  <r>
    <x v="87"/>
    <x v="45"/>
    <n v="8746127"/>
    <n v="43730.635000000002"/>
    <x v="55"/>
    <x v="3"/>
    <d v="1899-12-30T03:41:00"/>
    <x v="10"/>
    <x v="1"/>
    <s v="Nu"/>
  </r>
  <r>
    <x v="72"/>
    <x v="35"/>
    <n v="8688742"/>
    <n v="43443.71"/>
    <x v="40"/>
    <x v="3"/>
    <d v="1899-12-30T04:03:00"/>
    <x v="0"/>
    <x v="0"/>
    <s v="Nu"/>
  </r>
  <r>
    <x v="25"/>
    <x v="4"/>
    <n v="8602816"/>
    <n v="43014.080000000002"/>
    <x v="9"/>
    <x v="3"/>
    <d v="1899-12-30T04:02:00"/>
    <x v="1"/>
    <x v="1"/>
    <s v="Nu"/>
  </r>
  <r>
    <x v="71"/>
    <x v="17"/>
    <n v="8596692"/>
    <n v="42983.459999999992"/>
    <x v="39"/>
    <x v="3"/>
    <d v="1899-12-30T02:21:00"/>
    <x v="6"/>
    <x v="8"/>
    <s v="Nu"/>
  </r>
  <r>
    <x v="135"/>
    <x v="72"/>
    <n v="8591860"/>
    <n v="42959.3"/>
    <x v="78"/>
    <x v="3"/>
    <d v="1899-12-30T04:21:00"/>
    <x v="2"/>
    <x v="2"/>
    <s v="Da"/>
  </r>
  <r>
    <x v="79"/>
    <x v="40"/>
    <n v="8574019"/>
    <n v="42870.095000000001"/>
    <x v="47"/>
    <x v="3"/>
    <d v="1899-12-30T02:44:00"/>
    <x v="1"/>
    <x v="15"/>
    <s v="Nu"/>
  </r>
  <r>
    <x v="85"/>
    <x v="43"/>
    <n v="8573802"/>
    <n v="42869.009999999995"/>
    <x v="53"/>
    <x v="3"/>
    <d v="1899-12-30T02:18:00"/>
    <x v="5"/>
    <x v="1"/>
    <s v="Nu"/>
  </r>
  <r>
    <x v="70"/>
    <x v="6"/>
    <n v="8492457"/>
    <n v="42462.285000000003"/>
    <x v="6"/>
    <x v="3"/>
    <d v="1899-12-30T02:53:00"/>
    <x v="0"/>
    <x v="1"/>
    <s v="Nu"/>
  </r>
  <r>
    <x v="86"/>
    <x v="44"/>
    <n v="8386443"/>
    <n v="41932.214999999997"/>
    <x v="54"/>
    <x v="3"/>
    <d v="1899-12-30T04:02:00"/>
    <x v="2"/>
    <x v="1"/>
    <s v="Da"/>
  </r>
  <r>
    <x v="88"/>
    <x v="126"/>
    <n v="8220494"/>
    <n v="41102.47"/>
    <x v="42"/>
    <x v="3"/>
    <d v="1899-12-30T02:55:00"/>
    <x v="10"/>
    <x v="14"/>
    <s v="Nu"/>
  </r>
  <r>
    <x v="108"/>
    <x v="133"/>
    <n v="8163156"/>
    <n v="40815.78"/>
    <x v="75"/>
    <x v="3"/>
    <d v="1899-12-30T03:19:00"/>
    <x v="1"/>
    <x v="18"/>
    <s v="Nu"/>
  </r>
  <r>
    <x v="90"/>
    <x v="47"/>
    <n v="8159306"/>
    <n v="40796.53"/>
    <x v="57"/>
    <x v="3"/>
    <d v="1899-12-30T03:28:00"/>
    <x v="1"/>
    <x v="16"/>
    <s v="Nu"/>
  </r>
  <r>
    <x v="91"/>
    <x v="15"/>
    <n v="8140025"/>
    <n v="40700.125"/>
    <x v="58"/>
    <x v="3"/>
    <d v="1899-12-30T02:49:00"/>
    <x v="6"/>
    <x v="2"/>
    <s v="Nu"/>
  </r>
  <r>
    <x v="204"/>
    <x v="121"/>
    <n v="8106553"/>
    <n v="40532.764999999999"/>
    <x v="56"/>
    <x v="3"/>
    <d v="1899-12-30T03:21:00"/>
    <x v="0"/>
    <x v="1"/>
    <s v="Nu"/>
  </r>
  <r>
    <x v="92"/>
    <x v="15"/>
    <n v="8078512"/>
    <n v="40392.559999999998"/>
    <x v="59"/>
    <x v="3"/>
    <d v="1899-12-30T03:22:00"/>
    <x v="9"/>
    <x v="2"/>
    <s v="Nu"/>
  </r>
  <r>
    <x v="101"/>
    <x v="52"/>
    <n v="8043658"/>
    <n v="40218.29"/>
    <x v="68"/>
    <x v="3"/>
    <d v="1899-12-30T03:30:00"/>
    <x v="5"/>
    <x v="18"/>
    <s v="Nu"/>
  </r>
  <r>
    <x v="81"/>
    <x v="6"/>
    <n v="7929613"/>
    <n v="39648.065000000002"/>
    <x v="49"/>
    <x v="3"/>
    <d v="1899-12-30T03:35:00"/>
    <x v="4"/>
    <x v="1"/>
    <s v="Nu"/>
  </r>
  <r>
    <x v="32"/>
    <x v="17"/>
    <n v="7911481"/>
    <n v="39557.404999999999"/>
    <x v="22"/>
    <x v="3"/>
    <d v="1899-12-30T02:44:00"/>
    <x v="6"/>
    <x v="8"/>
    <s v="Da"/>
  </r>
  <r>
    <x v="99"/>
    <x v="51"/>
    <n v="7836290"/>
    <n v="39181.449999999997"/>
    <x v="66"/>
    <x v="3"/>
    <d v="1899-12-30T04:47:00"/>
    <x v="6"/>
    <x v="1"/>
    <s v="Nu"/>
  </r>
  <r>
    <x v="97"/>
    <x v="50"/>
    <n v="7754498"/>
    <n v="38772.49"/>
    <x v="64"/>
    <x v="3"/>
    <d v="1899-12-30T03:31:00"/>
    <x v="7"/>
    <x v="17"/>
    <s v="Nu"/>
  </r>
  <r>
    <x v="98"/>
    <x v="13"/>
    <n v="7644771"/>
    <n v="38223.854999999996"/>
    <x v="65"/>
    <x v="3"/>
    <d v="1899-12-30T04:03:00"/>
    <x v="9"/>
    <x v="6"/>
    <s v="Nu"/>
  </r>
  <r>
    <x v="96"/>
    <x v="49"/>
    <n v="7598552"/>
    <n v="37992.759999999995"/>
    <x v="63"/>
    <x v="3"/>
    <d v="1899-12-30T03:32:00"/>
    <x v="1"/>
    <x v="17"/>
    <s v="Nu"/>
  </r>
  <r>
    <x v="104"/>
    <x v="55"/>
    <n v="7559040"/>
    <n v="37795.199999999997"/>
    <x v="71"/>
    <x v="3"/>
    <d v="1899-12-30T04:58:00"/>
    <x v="4"/>
    <x v="1"/>
    <s v="Da"/>
  </r>
  <r>
    <x v="210"/>
    <x v="125"/>
    <n v="7521280"/>
    <n v="37606.400000000001"/>
    <x v="129"/>
    <x v="3"/>
    <d v="1899-12-30T03:02:00"/>
    <x v="1"/>
    <x v="1"/>
    <s v="Nu"/>
  </r>
  <r>
    <x v="93"/>
    <x v="14"/>
    <n v="7429298"/>
    <n v="37146.49"/>
    <x v="60"/>
    <x v="3"/>
    <d v="1899-12-30T02:53:00"/>
    <x v="9"/>
    <x v="7"/>
    <s v="Nu"/>
  </r>
  <r>
    <x v="212"/>
    <x v="127"/>
    <n v="7428549"/>
    <n v="37142.745000000003"/>
    <x v="130"/>
    <x v="3"/>
    <d v="1899-12-30T04:56:00"/>
    <x v="3"/>
    <x v="4"/>
    <s v="Nu"/>
  </r>
  <r>
    <x v="94"/>
    <x v="48"/>
    <n v="7346103"/>
    <n v="36730.514999999999"/>
    <x v="61"/>
    <x v="3"/>
    <d v="1899-12-30T02:21:00"/>
    <x v="5"/>
    <x v="1"/>
    <s v="Nu"/>
  </r>
  <r>
    <x v="27"/>
    <x v="4"/>
    <n v="7326845"/>
    <n v="36634.224999999999"/>
    <x v="9"/>
    <x v="3"/>
    <d v="1899-12-30T03:15:00"/>
    <x v="1"/>
    <x v="1"/>
    <s v="Nu"/>
  </r>
  <r>
    <x v="159"/>
    <x v="92"/>
    <n v="7291791"/>
    <n v="36458.955000000002"/>
    <x v="108"/>
    <x v="3"/>
    <d v="1899-12-30T02:49:00"/>
    <x v="3"/>
    <x v="18"/>
    <s v="Nu"/>
  </r>
  <r>
    <x v="137"/>
    <x v="74"/>
    <n v="7264709"/>
    <n v="36323.544999999998"/>
    <x v="97"/>
    <x v="3"/>
    <d v="1899-12-30T02:10:00"/>
    <x v="5"/>
    <x v="6"/>
    <s v="Da"/>
  </r>
  <r>
    <x v="102"/>
    <x v="53"/>
    <n v="7181875"/>
    <n v="35909.375"/>
    <x v="69"/>
    <x v="3"/>
    <d v="1899-12-30T02:25:00"/>
    <x v="8"/>
    <x v="1"/>
    <s v="Nu"/>
  </r>
  <r>
    <x v="111"/>
    <x v="61"/>
    <n v="7174720"/>
    <n v="35873.599999999999"/>
    <x v="78"/>
    <x v="3"/>
    <d v="1899-12-30T03:50:00"/>
    <x v="1"/>
    <x v="1"/>
    <s v="Nu"/>
  </r>
  <r>
    <x v="36"/>
    <x v="4"/>
    <n v="7132248"/>
    <n v="35661.24"/>
    <x v="9"/>
    <x v="3"/>
    <d v="1899-12-30T02:58:00"/>
    <x v="1"/>
    <x v="1"/>
    <s v="Nu"/>
  </r>
  <r>
    <x v="33"/>
    <x v="4"/>
    <n v="7103738"/>
    <n v="35518.69"/>
    <x v="9"/>
    <x v="3"/>
    <d v="1899-12-30T02:25:00"/>
    <x v="1"/>
    <x v="1"/>
    <s v="Nu"/>
  </r>
  <r>
    <x v="106"/>
    <x v="57"/>
    <n v="7102072"/>
    <n v="35510.36"/>
    <x v="73"/>
    <x v="3"/>
    <d v="1899-12-30T02:17:00"/>
    <x v="4"/>
    <x v="1"/>
    <s v="Nu"/>
  </r>
  <r>
    <x v="268"/>
    <x v="148"/>
    <n v="7059474"/>
    <n v="35297.370000000003"/>
    <x v="135"/>
    <x v="3"/>
    <d v="1899-12-30T02:45:00"/>
    <x v="0"/>
    <x v="19"/>
    <s v="Nu"/>
  </r>
  <r>
    <x v="109"/>
    <x v="59"/>
    <n v="7045385"/>
    <n v="35226.925000000003"/>
    <x v="76"/>
    <x v="3"/>
    <d v="1899-12-30T03:46:00"/>
    <x v="0"/>
    <x v="17"/>
    <s v="Nu"/>
  </r>
  <r>
    <x v="84"/>
    <x v="42"/>
    <n v="6936068"/>
    <n v="34680.340000000004"/>
    <x v="52"/>
    <x v="3"/>
    <d v="1899-12-30T02:03:00"/>
    <x v="2"/>
    <x v="1"/>
    <s v="Da"/>
  </r>
  <r>
    <x v="138"/>
    <x v="75"/>
    <n v="6924282"/>
    <n v="34621.410000000003"/>
    <x v="98"/>
    <x v="3"/>
    <d v="1899-12-30T03:18:00"/>
    <x v="8"/>
    <x v="18"/>
    <s v="Nu"/>
  </r>
  <r>
    <x v="119"/>
    <x v="8"/>
    <n v="6909297"/>
    <n v="34546.485000000001"/>
    <x v="27"/>
    <x v="3"/>
    <d v="1899-12-30T04:02:00"/>
    <x v="3"/>
    <x v="1"/>
    <s v="Da"/>
  </r>
  <r>
    <x v="155"/>
    <x v="89"/>
    <n v="6880532"/>
    <n v="34402.660000000003"/>
    <x v="105"/>
    <x v="3"/>
    <d v="1899-12-30T03:28:00"/>
    <x v="1"/>
    <x v="6"/>
    <s v="Da"/>
  </r>
  <r>
    <x v="115"/>
    <x v="62"/>
    <n v="6865146"/>
    <n v="34325.729999999996"/>
    <x v="81"/>
    <x v="3"/>
    <d v="1899-12-30T03:40:00"/>
    <x v="1"/>
    <x v="0"/>
    <s v="Nu"/>
  </r>
  <r>
    <x v="145"/>
    <x v="134"/>
    <n v="6859659"/>
    <n v="34298.294999999998"/>
    <x v="101"/>
    <x v="3"/>
    <d v="1899-12-30T02:08:00"/>
    <x v="1"/>
    <x v="18"/>
    <s v="Nu"/>
  </r>
  <r>
    <x v="113"/>
    <x v="60"/>
    <n v="6850165"/>
    <n v="34250.824999999997"/>
    <x v="69"/>
    <x v="3"/>
    <d v="1899-12-30T03:26:00"/>
    <x v="0"/>
    <x v="1"/>
    <s v="Nu"/>
  </r>
  <r>
    <x v="116"/>
    <x v="63"/>
    <n v="6819373"/>
    <n v="34096.864999999998"/>
    <x v="68"/>
    <x v="3"/>
    <d v="1899-12-30T03:37:00"/>
    <x v="0"/>
    <x v="1"/>
    <s v="Nu"/>
  </r>
  <r>
    <x v="121"/>
    <x v="47"/>
    <n v="6744648"/>
    <n v="33723.24"/>
    <x v="84"/>
    <x v="3"/>
    <d v="1899-12-30T03:15:00"/>
    <x v="1"/>
    <x v="16"/>
    <s v="Nu"/>
  </r>
  <r>
    <x v="152"/>
    <x v="87"/>
    <n v="6665219"/>
    <n v="33326.095000000001"/>
    <x v="90"/>
    <x v="3"/>
    <d v="1899-12-30T04:01:00"/>
    <x v="0"/>
    <x v="4"/>
    <s v="Nu"/>
  </r>
  <r>
    <x v="118"/>
    <x v="65"/>
    <n v="6636958"/>
    <n v="33184.79"/>
    <x v="83"/>
    <x v="3"/>
    <d v="1899-12-30T03:49:00"/>
    <x v="1"/>
    <x v="14"/>
    <s v="Nu"/>
  </r>
  <r>
    <x v="29"/>
    <x v="4"/>
    <n v="6632754"/>
    <n v="33163.769999999997"/>
    <x v="9"/>
    <x v="3"/>
    <d v="1899-12-30T03:23:00"/>
    <x v="1"/>
    <x v="1"/>
    <s v="Nu"/>
  </r>
  <r>
    <x v="112"/>
    <x v="7"/>
    <n v="6625929"/>
    <n v="33129.645000000004"/>
    <x v="79"/>
    <x v="3"/>
    <d v="1899-12-30T02:36:00"/>
    <x v="3"/>
    <x v="1"/>
    <s v="Nu"/>
  </r>
  <r>
    <x v="127"/>
    <x v="69"/>
    <n v="6613583"/>
    <n v="33067.915000000001"/>
    <x v="90"/>
    <x v="3"/>
    <d v="1899-12-30T02:25:00"/>
    <x v="1"/>
    <x v="1"/>
    <s v="Nu"/>
  </r>
  <r>
    <x v="128"/>
    <x v="2"/>
    <n v="6549237"/>
    <n v="32746.185000000001"/>
    <x v="91"/>
    <x v="3"/>
    <d v="1899-12-30T03:21:00"/>
    <x v="0"/>
    <x v="2"/>
    <s v="Nu"/>
  </r>
  <r>
    <x v="269"/>
    <x v="149"/>
    <n v="6548822"/>
    <n v="32744.11"/>
    <x v="99"/>
    <x v="3"/>
    <d v="1899-12-30T06:21:00"/>
    <x v="1"/>
    <x v="1"/>
    <s v="Nu"/>
  </r>
  <r>
    <x v="117"/>
    <x v="64"/>
    <n v="6544280"/>
    <n v="32721.399999999998"/>
    <x v="82"/>
    <x v="3"/>
    <d v="1899-12-30T03:23:00"/>
    <x v="1"/>
    <x v="1"/>
    <s v="Da"/>
  </r>
  <r>
    <x v="105"/>
    <x v="56"/>
    <n v="6481155"/>
    <n v="32405.774999999998"/>
    <x v="72"/>
    <x v="3"/>
    <d v="1899-12-30T05:39:00"/>
    <x v="3"/>
    <x v="19"/>
    <s v="Da"/>
  </r>
  <r>
    <x v="95"/>
    <x v="2"/>
    <n v="6479386"/>
    <n v="32396.93"/>
    <x v="62"/>
    <x v="3"/>
    <d v="1899-12-30T03:32:00"/>
    <x v="0"/>
    <x v="2"/>
    <s v="Nu"/>
  </r>
  <r>
    <x v="122"/>
    <x v="67"/>
    <n v="6467218"/>
    <n v="32336.09"/>
    <x v="85"/>
    <x v="3"/>
    <d v="1899-12-30T05:33:00"/>
    <x v="1"/>
    <x v="1"/>
    <s v="Nu"/>
  </r>
  <r>
    <x v="124"/>
    <x v="0"/>
    <n v="6422603"/>
    <n v="32113.014999999999"/>
    <x v="87"/>
    <x v="3"/>
    <d v="1899-12-30T02:44:00"/>
    <x v="3"/>
    <x v="0"/>
    <s v="Da"/>
  </r>
  <r>
    <x v="130"/>
    <x v="60"/>
    <n v="6408406"/>
    <n v="32042.03"/>
    <x v="93"/>
    <x v="3"/>
    <d v="1899-12-30T02:58:00"/>
    <x v="3"/>
    <x v="1"/>
    <s v="Nu"/>
  </r>
  <r>
    <x v="140"/>
    <x v="77"/>
    <n v="6401330"/>
    <n v="32006.65"/>
    <x v="46"/>
    <x v="3"/>
    <d v="1899-12-30T04:33:00"/>
    <x v="0"/>
    <x v="4"/>
    <s v="Nu"/>
  </r>
  <r>
    <x v="123"/>
    <x v="15"/>
    <n v="6362178"/>
    <n v="31810.89"/>
    <x v="86"/>
    <x v="3"/>
    <d v="1899-12-30T03:23:00"/>
    <x v="3"/>
    <x v="2"/>
    <s v="Nu"/>
  </r>
  <r>
    <x v="171"/>
    <x v="102"/>
    <n v="6356257"/>
    <n v="31781.284999999996"/>
    <x v="49"/>
    <x v="3"/>
    <d v="1899-12-30T03:32:00"/>
    <x v="3"/>
    <x v="18"/>
    <s v="Nu"/>
  </r>
  <r>
    <x v="49"/>
    <x v="4"/>
    <n v="6354920"/>
    <n v="31774.6"/>
    <x v="9"/>
    <x v="3"/>
    <d v="1899-12-30T05:58:00"/>
    <x v="1"/>
    <x v="1"/>
    <s v="Nu"/>
  </r>
  <r>
    <x v="157"/>
    <x v="90"/>
    <n v="6352131"/>
    <n v="31760.655000000002"/>
    <x v="16"/>
    <x v="3"/>
    <d v="1899-12-30T02:45:00"/>
    <x v="1"/>
    <x v="18"/>
    <s v="Nu"/>
  </r>
  <r>
    <x v="131"/>
    <x v="2"/>
    <n v="6343313"/>
    <n v="31716.565000000002"/>
    <x v="66"/>
    <x v="3"/>
    <d v="1899-12-30T02:35:00"/>
    <x v="3"/>
    <x v="2"/>
    <s v="Nu"/>
  </r>
  <r>
    <x v="114"/>
    <x v="6"/>
    <n v="6338064"/>
    <n v="31690.32"/>
    <x v="80"/>
    <x v="3"/>
    <d v="1899-12-30T02:53:00"/>
    <x v="1"/>
    <x v="1"/>
    <s v="Nu"/>
  </r>
  <r>
    <x v="147"/>
    <x v="84"/>
    <n v="6326987"/>
    <n v="31634.935000000001"/>
    <x v="103"/>
    <x v="3"/>
    <d v="1899-12-30T03:21:00"/>
    <x v="1"/>
    <x v="11"/>
    <s v="Da"/>
  </r>
  <r>
    <x v="215"/>
    <x v="128"/>
    <n v="6277466"/>
    <n v="31387.33"/>
    <x v="131"/>
    <x v="3"/>
    <d v="1899-12-30T02:23:00"/>
    <x v="0"/>
    <x v="1"/>
    <s v="Nu"/>
  </r>
  <r>
    <x v="134"/>
    <x v="72"/>
    <n v="6222805"/>
    <n v="31114.025000000001"/>
    <x v="95"/>
    <x v="3"/>
    <d v="1899-12-30T02:27:00"/>
    <x v="3"/>
    <x v="2"/>
    <s v="Da"/>
  </r>
  <r>
    <x v="132"/>
    <x v="70"/>
    <n v="6197901"/>
    <n v="30989.504999999997"/>
    <x v="94"/>
    <x v="3"/>
    <d v="1899-12-30T03:35:00"/>
    <x v="8"/>
    <x v="1"/>
    <s v="Nu"/>
  </r>
  <r>
    <x v="44"/>
    <x v="4"/>
    <n v="6168953"/>
    <n v="30844.765000000003"/>
    <x v="9"/>
    <x v="3"/>
    <d v="1899-12-30T03:18:00"/>
    <x v="1"/>
    <x v="1"/>
    <s v="Nu"/>
  </r>
  <r>
    <x v="150"/>
    <x v="32"/>
    <n v="6057587"/>
    <n v="30287.935000000001"/>
    <x v="12"/>
    <x v="3"/>
    <d v="1899-12-30T08:58:00"/>
    <x v="6"/>
    <x v="6"/>
    <s v="Nu"/>
  </r>
  <r>
    <x v="125"/>
    <x v="68"/>
    <n v="6025166"/>
    <n v="30125.83"/>
    <x v="88"/>
    <x v="3"/>
    <d v="1899-12-30T03:35:00"/>
    <x v="1"/>
    <x v="4"/>
    <s v="Nu"/>
  </r>
  <r>
    <x v="129"/>
    <x v="9"/>
    <n v="6011124"/>
    <n v="30055.62"/>
    <x v="92"/>
    <x v="3"/>
    <d v="1899-12-30T04:12:00"/>
    <x v="10"/>
    <x v="4"/>
    <s v="Nu"/>
  </r>
  <r>
    <x v="143"/>
    <x v="80"/>
    <n v="6008272"/>
    <n v="30041.360000000001"/>
    <x v="99"/>
    <x v="3"/>
    <d v="1899-12-30T05:58:00"/>
    <x v="2"/>
    <x v="22"/>
    <s v="Nu"/>
  </r>
  <r>
    <x v="103"/>
    <x v="54"/>
    <n v="6007138"/>
    <n v="30035.69"/>
    <x v="70"/>
    <x v="3"/>
    <d v="1899-12-30T04:57:00"/>
    <x v="4"/>
    <x v="1"/>
    <s v="Da"/>
  </r>
  <r>
    <x v="146"/>
    <x v="83"/>
    <n v="5999762"/>
    <n v="29998.809999999998"/>
    <x v="102"/>
    <x v="3"/>
    <d v="1899-12-30T04:02:00"/>
    <x v="1"/>
    <x v="1"/>
    <s v="Nu"/>
  </r>
  <r>
    <x v="270"/>
    <x v="61"/>
    <n v="5989165"/>
    <n v="29945.825000000001"/>
    <x v="136"/>
    <x v="3"/>
    <d v="1899-12-30T02:54:00"/>
    <x v="2"/>
    <x v="1"/>
    <s v="Nu"/>
  </r>
  <r>
    <x v="236"/>
    <x v="137"/>
    <n v="5971363"/>
    <n v="29856.815000000002"/>
    <x v="137"/>
    <x v="3"/>
    <d v="1899-12-30T03:21:00"/>
    <x v="3"/>
    <x v="7"/>
    <s v="Nu"/>
  </r>
  <r>
    <x v="162"/>
    <x v="95"/>
    <n v="5965071"/>
    <n v="29825.355"/>
    <x v="110"/>
    <x v="3"/>
    <d v="1899-12-30T03:22:00"/>
    <x v="1"/>
    <x v="2"/>
    <s v="Nu"/>
  </r>
  <r>
    <x v="133"/>
    <x v="71"/>
    <n v="5964873"/>
    <n v="29824.364999999998"/>
    <x v="78"/>
    <x v="3"/>
    <d v="1899-12-30T03:07:00"/>
    <x v="0"/>
    <x v="7"/>
    <s v="Nu"/>
  </r>
  <r>
    <x v="190"/>
    <x v="115"/>
    <n v="5960573"/>
    <n v="29802.865000000002"/>
    <x v="62"/>
    <x v="3"/>
    <d v="1899-12-30T03:40:00"/>
    <x v="6"/>
    <x v="1"/>
    <s v="Nu"/>
  </r>
  <r>
    <x v="142"/>
    <x v="79"/>
    <n v="5959804"/>
    <n v="29799.02"/>
    <x v="100"/>
    <x v="3"/>
    <d v="1899-12-30T02:44:00"/>
    <x v="1"/>
    <x v="21"/>
    <s v="Nu"/>
  </r>
  <r>
    <x v="163"/>
    <x v="96"/>
    <n v="5922052"/>
    <n v="29610.26"/>
    <x v="6"/>
    <x v="3"/>
    <d v="1899-12-30T05:21:00"/>
    <x v="3"/>
    <x v="19"/>
    <s v="Nu"/>
  </r>
  <r>
    <x v="153"/>
    <x v="88"/>
    <n v="5893006"/>
    <n v="29465.030000000002"/>
    <x v="104"/>
    <x v="3"/>
    <d v="1899-12-30T02:53:00"/>
    <x v="7"/>
    <x v="6"/>
    <s v="Nu"/>
  </r>
  <r>
    <x v="235"/>
    <x v="136"/>
    <n v="5884152"/>
    <n v="29420.760000000002"/>
    <x v="125"/>
    <x v="3"/>
    <d v="1899-12-30T02:30:00"/>
    <x v="7"/>
    <x v="7"/>
    <s v="Nu"/>
  </r>
  <r>
    <x v="139"/>
    <x v="76"/>
    <n v="5880549"/>
    <n v="29402.744999999999"/>
    <x v="99"/>
    <x v="3"/>
    <d v="1899-12-30T04:02:00"/>
    <x v="1"/>
    <x v="9"/>
    <s v="Nu"/>
  </r>
  <r>
    <x v="149"/>
    <x v="23"/>
    <n v="5840592"/>
    <n v="29202.959999999999"/>
    <x v="16"/>
    <x v="3"/>
    <d v="1899-12-30T03:41:00"/>
    <x v="0"/>
    <x v="1"/>
    <s v="Nu"/>
  </r>
  <r>
    <x v="42"/>
    <x v="4"/>
    <n v="5834938"/>
    <n v="29174.690000000002"/>
    <x v="9"/>
    <x v="3"/>
    <d v="1899-12-30T03:17:00"/>
    <x v="1"/>
    <x v="1"/>
    <s v="Nu"/>
  </r>
  <r>
    <x v="110"/>
    <x v="60"/>
    <n v="5832231"/>
    <n v="29161.154999999999"/>
    <x v="77"/>
    <x v="3"/>
    <d v="1899-12-30T03:58:00"/>
    <x v="2"/>
    <x v="1"/>
    <s v="Nu"/>
  </r>
  <r>
    <x v="148"/>
    <x v="85"/>
    <n v="5828495"/>
    <n v="29142.474999999999"/>
    <x v="66"/>
    <x v="3"/>
    <d v="1899-12-30T03:12:00"/>
    <x v="7"/>
    <x v="1"/>
    <s v="Da"/>
  </r>
  <r>
    <x v="154"/>
    <x v="43"/>
    <n v="5819986"/>
    <n v="29099.93"/>
    <x v="53"/>
    <x v="3"/>
    <d v="1899-12-30T02:54:00"/>
    <x v="1"/>
    <x v="1"/>
    <s v="Nu"/>
  </r>
  <r>
    <x v="40"/>
    <x v="4"/>
    <n v="5817181"/>
    <n v="29085.904999999999"/>
    <x v="24"/>
    <x v="3"/>
    <d v="1899-12-30T02:27:00"/>
    <x v="1"/>
    <x v="1"/>
    <s v="Nu"/>
  </r>
  <r>
    <x v="239"/>
    <x v="87"/>
    <n v="5807138"/>
    <n v="29035.69"/>
    <x v="129"/>
    <x v="3"/>
    <d v="1899-12-30T02:21:00"/>
    <x v="7"/>
    <x v="7"/>
    <s v="Nu"/>
  </r>
  <r>
    <x v="144"/>
    <x v="81"/>
    <n v="5797954"/>
    <n v="28989.769999999997"/>
    <x v="50"/>
    <x v="3"/>
    <d v="1899-12-30T02:18:00"/>
    <x v="1"/>
    <x v="2"/>
    <s v="Nu"/>
  </r>
  <r>
    <x v="166"/>
    <x v="99"/>
    <n v="5796892"/>
    <n v="28984.46"/>
    <x v="18"/>
    <x v="3"/>
    <d v="1899-12-30T02:53:00"/>
    <x v="3"/>
    <x v="0"/>
    <s v="Nu"/>
  </r>
  <r>
    <x v="151"/>
    <x v="86"/>
    <n v="5766816"/>
    <n v="28834.079999999998"/>
    <x v="104"/>
    <x v="3"/>
    <d v="1899-12-30T02:55:00"/>
    <x v="1"/>
    <x v="1"/>
    <s v="Nu"/>
  </r>
  <r>
    <x v="168"/>
    <x v="64"/>
    <n v="5737892"/>
    <n v="28689.46"/>
    <x v="71"/>
    <x v="3"/>
    <d v="1899-12-30T03:23:00"/>
    <x v="0"/>
    <x v="1"/>
    <s v="Nu"/>
  </r>
  <r>
    <x v="271"/>
    <x v="89"/>
    <n v="5718647"/>
    <n v="28593.235000000001"/>
    <x v="138"/>
    <x v="3"/>
    <d v="1899-12-30T02:45:00"/>
    <x v="1"/>
    <x v="6"/>
    <s v="Nu"/>
  </r>
  <r>
    <x v="164"/>
    <x v="97"/>
    <n v="5710298"/>
    <n v="28551.489999999998"/>
    <x v="108"/>
    <x v="3"/>
    <d v="1899-12-30T02:53:00"/>
    <x v="3"/>
    <x v="0"/>
    <s v="Nu"/>
  </r>
  <r>
    <x v="174"/>
    <x v="104"/>
    <n v="5682156"/>
    <n v="28410.78"/>
    <x v="9"/>
    <x v="3"/>
    <d v="1899-12-30T04:47:00"/>
    <x v="3"/>
    <x v="1"/>
    <s v="Nu"/>
  </r>
  <r>
    <x v="169"/>
    <x v="86"/>
    <n v="5626129"/>
    <n v="28130.645"/>
    <x v="42"/>
    <x v="3"/>
    <d v="1899-12-30T02:21:00"/>
    <x v="10"/>
    <x v="1"/>
    <s v="Nu"/>
  </r>
  <r>
    <x v="165"/>
    <x v="98"/>
    <n v="5624497"/>
    <n v="28122.485000000001"/>
    <x v="111"/>
    <x v="3"/>
    <d v="1899-12-30T03:28:00"/>
    <x v="1"/>
    <x v="1"/>
    <s v="Nu"/>
  </r>
  <r>
    <x v="193"/>
    <x v="117"/>
    <n v="5622532"/>
    <n v="28112.66"/>
    <x v="65"/>
    <x v="3"/>
    <d v="1899-12-30T03:49:00"/>
    <x v="7"/>
    <x v="26"/>
    <s v="Nu"/>
  </r>
  <r>
    <x v="28"/>
    <x v="4"/>
    <n v="5618339"/>
    <n v="28091.695"/>
    <x v="9"/>
    <x v="3"/>
    <d v="1899-12-30T05:33:00"/>
    <x v="1"/>
    <x v="1"/>
    <s v="Nu"/>
  </r>
  <r>
    <x v="161"/>
    <x v="94"/>
    <n v="5574395"/>
    <n v="27871.975000000002"/>
    <x v="109"/>
    <x v="3"/>
    <d v="1899-12-30T03:03:00"/>
    <x v="1"/>
    <x v="2"/>
    <s v="Nu"/>
  </r>
  <r>
    <x v="175"/>
    <x v="48"/>
    <n v="5568753"/>
    <n v="27843.764999999999"/>
    <x v="11"/>
    <x v="3"/>
    <d v="1899-12-30T02:58:00"/>
    <x v="2"/>
    <x v="1"/>
    <s v="Nu"/>
  </r>
  <r>
    <x v="185"/>
    <x v="112"/>
    <n v="5567519"/>
    <n v="27837.595000000001"/>
    <x v="57"/>
    <x v="3"/>
    <d v="1899-12-30T03:58:00"/>
    <x v="1"/>
    <x v="2"/>
    <s v="Nu"/>
  </r>
  <r>
    <x v="195"/>
    <x v="96"/>
    <n v="5554738"/>
    <n v="27773.690000000002"/>
    <x v="67"/>
    <x v="3"/>
    <d v="1899-12-30T03:18:00"/>
    <x v="1"/>
    <x v="19"/>
    <s v="Nu"/>
  </r>
  <r>
    <x v="178"/>
    <x v="106"/>
    <n v="5526358"/>
    <n v="27631.79"/>
    <x v="9"/>
    <x v="3"/>
    <d v="1899-12-30T04:57:00"/>
    <x v="8"/>
    <x v="2"/>
    <s v="Nu"/>
  </r>
  <r>
    <x v="187"/>
    <x v="113"/>
    <n v="5519131"/>
    <n v="27595.655000000002"/>
    <x v="59"/>
    <x v="3"/>
    <d v="1899-12-30T02:36:00"/>
    <x v="1"/>
    <x v="2"/>
    <s v="Nu"/>
  </r>
  <r>
    <x v="173"/>
    <x v="103"/>
    <n v="5505935"/>
    <n v="27529.675000000003"/>
    <x v="10"/>
    <x v="3"/>
    <d v="1899-12-30T04:03:00"/>
    <x v="0"/>
    <x v="24"/>
    <s v="Nu"/>
  </r>
  <r>
    <x v="184"/>
    <x v="111"/>
    <n v="5474110"/>
    <n v="27370.55"/>
    <x v="56"/>
    <x v="3"/>
    <d v="1899-12-30T03:46:00"/>
    <x v="1"/>
    <x v="2"/>
    <s v="Nu"/>
  </r>
  <r>
    <x v="272"/>
    <x v="150"/>
    <n v="5465605"/>
    <n v="27328.024999999998"/>
    <x v="86"/>
    <x v="3"/>
    <d v="1899-12-30T02:21:00"/>
    <x v="3"/>
    <x v="7"/>
    <s v="Nu"/>
  </r>
  <r>
    <x v="172"/>
    <x v="16"/>
    <n v="5464809"/>
    <n v="27324.045000000002"/>
    <x v="112"/>
    <x v="3"/>
    <d v="1899-12-30T03:31:00"/>
    <x v="8"/>
    <x v="6"/>
    <s v="Nu"/>
  </r>
  <r>
    <x v="177"/>
    <x v="63"/>
    <n v="5461991"/>
    <n v="27309.955000000002"/>
    <x v="13"/>
    <x v="3"/>
    <d v="1899-12-30T02:25:00"/>
    <x v="5"/>
    <x v="1"/>
    <s v="Nu"/>
  </r>
  <r>
    <x v="170"/>
    <x v="101"/>
    <n v="5411385"/>
    <n v="27056.925000000003"/>
    <x v="41"/>
    <x v="3"/>
    <d v="1899-12-30T03:32:00"/>
    <x v="3"/>
    <x v="4"/>
    <s v="Nu"/>
  </r>
  <r>
    <x v="182"/>
    <x v="109"/>
    <n v="5409053"/>
    <n v="27045.264999999999"/>
    <x v="16"/>
    <x v="3"/>
    <d v="1899-12-30T03:28:00"/>
    <x v="1"/>
    <x v="2"/>
    <s v="Nu"/>
  </r>
  <r>
    <x v="0"/>
    <x v="0"/>
    <n v="55885730"/>
    <n v="279428.65000000002"/>
    <x v="0"/>
    <x v="4"/>
    <d v="1899-12-30T02:21:00"/>
    <x v="0"/>
    <x v="0"/>
    <s v="Da"/>
  </r>
  <r>
    <x v="1"/>
    <x v="1"/>
    <n v="47510601"/>
    <n v="237553.005"/>
    <x v="1"/>
    <x v="4"/>
    <d v="1899-12-30T03:32:00"/>
    <x v="1"/>
    <x v="1"/>
    <s v="Da"/>
  </r>
  <r>
    <x v="273"/>
    <x v="106"/>
    <n v="32790116"/>
    <n v="163950.58000000002"/>
    <x v="99"/>
    <x v="4"/>
    <d v="1899-12-30T03:23:00"/>
    <x v="2"/>
    <x v="2"/>
    <s v="Nu"/>
  </r>
  <r>
    <x v="16"/>
    <x v="10"/>
    <n v="31067813"/>
    <n v="155339.065"/>
    <x v="14"/>
    <x v="4"/>
    <d v="1899-12-30T03:58:00"/>
    <x v="0"/>
    <x v="2"/>
    <s v="Nu"/>
  </r>
  <r>
    <x v="5"/>
    <x v="5"/>
    <n v="29289287"/>
    <n v="146446.435"/>
    <x v="5"/>
    <x v="4"/>
    <d v="1899-12-30T04:47:00"/>
    <x v="3"/>
    <x v="4"/>
    <s v="Nu"/>
  </r>
  <r>
    <x v="2"/>
    <x v="2"/>
    <n v="29024050"/>
    <n v="145120.25"/>
    <x v="2"/>
    <x v="4"/>
    <d v="1899-12-30T03:32:00"/>
    <x v="0"/>
    <x v="2"/>
    <s v="Nu"/>
  </r>
  <r>
    <x v="8"/>
    <x v="7"/>
    <n v="27995514"/>
    <n v="139977.57"/>
    <x v="8"/>
    <x v="4"/>
    <d v="1899-12-30T02:25:00"/>
    <x v="0"/>
    <x v="1"/>
    <s v="Nu"/>
  </r>
  <r>
    <x v="201"/>
    <x v="2"/>
    <n v="26022703"/>
    <n v="130113.51500000001"/>
    <x v="86"/>
    <x v="4"/>
    <d v="1899-12-30T02:32:00"/>
    <x v="0"/>
    <x v="2"/>
    <s v="Nu"/>
  </r>
  <r>
    <x v="200"/>
    <x v="1"/>
    <n v="25839821"/>
    <n v="129199.105"/>
    <x v="60"/>
    <x v="4"/>
    <d v="1899-12-30T04:21:00"/>
    <x v="0"/>
    <x v="1"/>
    <s v="Nu"/>
  </r>
  <r>
    <x v="3"/>
    <x v="3"/>
    <n v="24387323"/>
    <n v="121936.61500000001"/>
    <x v="3"/>
    <x v="4"/>
    <d v="1899-12-30T03:31:00"/>
    <x v="2"/>
    <x v="3"/>
    <s v="Nu"/>
  </r>
  <r>
    <x v="6"/>
    <x v="6"/>
    <n v="23551560"/>
    <n v="117757.8"/>
    <x v="6"/>
    <x v="4"/>
    <d v="1899-12-30T02:58:00"/>
    <x v="0"/>
    <x v="1"/>
    <s v="Nu"/>
  </r>
  <r>
    <x v="12"/>
    <x v="1"/>
    <n v="23544094"/>
    <n v="117720.47"/>
    <x v="11"/>
    <x v="4"/>
    <d v="1899-12-30T02:17:00"/>
    <x v="0"/>
    <x v="1"/>
    <s v="Nu"/>
  </r>
  <r>
    <x v="202"/>
    <x v="89"/>
    <n v="20625145"/>
    <n v="103125.72500000001"/>
    <x v="125"/>
    <x v="4"/>
    <d v="1899-12-30T03:56:00"/>
    <x v="1"/>
    <x v="6"/>
    <s v="Da"/>
  </r>
  <r>
    <x v="7"/>
    <x v="7"/>
    <n v="20494448"/>
    <n v="102472.24"/>
    <x v="7"/>
    <x v="4"/>
    <d v="1899-12-30T03:30:00"/>
    <x v="0"/>
    <x v="1"/>
    <s v="Nu"/>
  </r>
  <r>
    <x v="10"/>
    <x v="8"/>
    <n v="19975909"/>
    <n v="99879.544999999998"/>
    <x v="10"/>
    <x v="4"/>
    <d v="1899-12-30T04:58:00"/>
    <x v="4"/>
    <x v="1"/>
    <s v="Nu"/>
  </r>
  <r>
    <x v="209"/>
    <x v="124"/>
    <n v="19974579"/>
    <n v="99872.895000000004"/>
    <x v="6"/>
    <x v="4"/>
    <d v="1899-12-30T02:26:00"/>
    <x v="11"/>
    <x v="28"/>
    <s v="Nu"/>
  </r>
  <r>
    <x v="68"/>
    <x v="33"/>
    <n v="19485554"/>
    <n v="97427.77"/>
    <x v="37"/>
    <x v="4"/>
    <d v="1899-12-30T03:22:00"/>
    <x v="0"/>
    <x v="2"/>
    <s v="Nu"/>
  </r>
  <r>
    <x v="204"/>
    <x v="121"/>
    <n v="19268564"/>
    <n v="96342.819999999992"/>
    <x v="43"/>
    <x v="4"/>
    <d v="1899-12-30T03:01:00"/>
    <x v="0"/>
    <x v="1"/>
    <s v="Nu"/>
  </r>
  <r>
    <x v="13"/>
    <x v="7"/>
    <n v="18642369"/>
    <n v="93211.845000000001"/>
    <x v="12"/>
    <x v="4"/>
    <d v="1899-12-30T03:28:00"/>
    <x v="0"/>
    <x v="1"/>
    <s v="Da"/>
  </r>
  <r>
    <x v="203"/>
    <x v="89"/>
    <n v="16714273"/>
    <n v="83571.365000000005"/>
    <x v="82"/>
    <x v="4"/>
    <d v="1899-12-30T03:34:00"/>
    <x v="1"/>
    <x v="6"/>
    <s v="Da"/>
  </r>
  <r>
    <x v="217"/>
    <x v="124"/>
    <n v="16305632"/>
    <n v="81528.160000000003"/>
    <x v="9"/>
    <x v="4"/>
    <d v="1899-12-30T04:21:00"/>
    <x v="11"/>
    <x v="28"/>
    <s v="Da"/>
  </r>
  <r>
    <x v="19"/>
    <x v="12"/>
    <n v="16199560"/>
    <n v="80997.8"/>
    <x v="16"/>
    <x v="4"/>
    <d v="1899-12-30T03:26:00"/>
    <x v="3"/>
    <x v="4"/>
    <s v="Nu"/>
  </r>
  <r>
    <x v="14"/>
    <x v="9"/>
    <n v="15778535"/>
    <n v="78892.675000000003"/>
    <x v="13"/>
    <x v="4"/>
    <d v="1899-12-30T03:19:00"/>
    <x v="3"/>
    <x v="4"/>
    <s v="Nu"/>
  </r>
  <r>
    <x v="206"/>
    <x v="89"/>
    <n v="15077355"/>
    <n v="75386.774999999994"/>
    <x v="139"/>
    <x v="4"/>
    <d v="1899-12-30T03:53:00"/>
    <x v="1"/>
    <x v="6"/>
    <s v="Da"/>
  </r>
  <r>
    <x v="17"/>
    <x v="11"/>
    <n v="15058863"/>
    <n v="75294.315000000002"/>
    <x v="15"/>
    <x v="4"/>
    <d v="1899-12-30T02:32:00"/>
    <x v="0"/>
    <x v="19"/>
    <s v="Nu"/>
  </r>
  <r>
    <x v="24"/>
    <x v="6"/>
    <n v="14875224"/>
    <n v="74376.12"/>
    <x v="6"/>
    <x v="4"/>
    <d v="1899-12-30T03:49:00"/>
    <x v="0"/>
    <x v="1"/>
    <s v="Nu"/>
  </r>
  <r>
    <x v="23"/>
    <x v="15"/>
    <n v="14800239"/>
    <n v="74001.194999999992"/>
    <x v="20"/>
    <x v="4"/>
    <d v="1899-12-30T03:23:00"/>
    <x v="0"/>
    <x v="2"/>
    <s v="Da"/>
  </r>
  <r>
    <x v="207"/>
    <x v="122"/>
    <n v="14488602"/>
    <n v="72443.010000000009"/>
    <x v="114"/>
    <x v="4"/>
    <d v="1899-12-30T03:20:00"/>
    <x v="1"/>
    <x v="27"/>
    <s v="Nu"/>
  </r>
  <r>
    <x v="43"/>
    <x v="14"/>
    <n v="14189564"/>
    <n v="70947.820000000007"/>
    <x v="25"/>
    <x v="4"/>
    <d v="1899-12-30T02:10:00"/>
    <x v="3"/>
    <x v="7"/>
    <s v="Nu"/>
  </r>
  <r>
    <x v="26"/>
    <x v="16"/>
    <n v="13613633"/>
    <n v="68068.164999999994"/>
    <x v="17"/>
    <x v="4"/>
    <d v="1899-12-30T03:18:00"/>
    <x v="0"/>
    <x v="6"/>
    <s v="Da"/>
  </r>
  <r>
    <x v="228"/>
    <x v="122"/>
    <n v="13545135"/>
    <n v="67725.675000000003"/>
    <x v="118"/>
    <x v="4"/>
    <d v="1899-12-30T02:22:00"/>
    <x v="0"/>
    <x v="6"/>
    <s v="Nu"/>
  </r>
  <r>
    <x v="21"/>
    <x v="13"/>
    <n v="13244817"/>
    <n v="66224.084999999992"/>
    <x v="18"/>
    <x v="4"/>
    <d v="1899-12-30T03:40:00"/>
    <x v="5"/>
    <x v="6"/>
    <s v="Nu"/>
  </r>
  <r>
    <x v="210"/>
    <x v="125"/>
    <n v="13161436"/>
    <n v="65807.179999999993"/>
    <x v="80"/>
    <x v="4"/>
    <d v="1899-12-30T03:45:00"/>
    <x v="0"/>
    <x v="1"/>
    <s v="Nu"/>
  </r>
  <r>
    <x v="22"/>
    <x v="14"/>
    <n v="12845957"/>
    <n v="64229.785000000003"/>
    <x v="19"/>
    <x v="4"/>
    <d v="1899-12-30T03:37:00"/>
    <x v="3"/>
    <x v="7"/>
    <s v="Nu"/>
  </r>
  <r>
    <x v="34"/>
    <x v="13"/>
    <n v="12810321"/>
    <n v="64051.604999999996"/>
    <x v="23"/>
    <x v="4"/>
    <d v="1899-12-30T03:21:00"/>
    <x v="5"/>
    <x v="6"/>
    <s v="Nu"/>
  </r>
  <r>
    <x v="205"/>
    <x v="89"/>
    <n v="12790468"/>
    <n v="63952.340000000004"/>
    <x v="140"/>
    <x v="4"/>
    <d v="1899-12-30T03:34:00"/>
    <x v="1"/>
    <x v="6"/>
    <s v="Da"/>
  </r>
  <r>
    <x v="4"/>
    <x v="4"/>
    <n v="12717295"/>
    <n v="63586.474999999999"/>
    <x v="4"/>
    <x v="4"/>
    <d v="1899-12-30T04:03:00"/>
    <x v="1"/>
    <x v="1"/>
    <s v="Nu"/>
  </r>
  <r>
    <x v="20"/>
    <x v="3"/>
    <n v="12345473"/>
    <n v="61727.364999999998"/>
    <x v="17"/>
    <x v="4"/>
    <d v="1899-12-30T02:53:00"/>
    <x v="2"/>
    <x v="3"/>
    <s v="Nu"/>
  </r>
  <r>
    <x v="30"/>
    <x v="17"/>
    <n v="12286136"/>
    <n v="61430.68"/>
    <x v="6"/>
    <x v="4"/>
    <d v="1899-12-30T02:44:00"/>
    <x v="6"/>
    <x v="8"/>
    <s v="Nu"/>
  </r>
  <r>
    <x v="31"/>
    <x v="13"/>
    <n v="12206040"/>
    <n v="61030.200000000004"/>
    <x v="21"/>
    <x v="4"/>
    <d v="1899-12-30T03:35:00"/>
    <x v="5"/>
    <x v="6"/>
    <s v="Da"/>
  </r>
  <r>
    <x v="45"/>
    <x v="6"/>
    <n v="11602712"/>
    <n v="58013.56"/>
    <x v="26"/>
    <x v="4"/>
    <d v="1899-12-30T04:02:00"/>
    <x v="0"/>
    <x v="1"/>
    <s v="Nu"/>
  </r>
  <r>
    <x v="78"/>
    <x v="126"/>
    <n v="11587692"/>
    <n v="57938.459999999992"/>
    <x v="46"/>
    <x v="4"/>
    <d v="1899-12-30T03:23:00"/>
    <x v="5"/>
    <x v="14"/>
    <s v="Nu"/>
  </r>
  <r>
    <x v="47"/>
    <x v="22"/>
    <n v="11579376"/>
    <n v="57896.880000000005"/>
    <x v="28"/>
    <x v="4"/>
    <d v="1899-12-30T02:03:00"/>
    <x v="1"/>
    <x v="10"/>
    <s v="Nu"/>
  </r>
  <r>
    <x v="208"/>
    <x v="123"/>
    <n v="11464000"/>
    <n v="57320"/>
    <x v="78"/>
    <x v="4"/>
    <d v="1899-12-30T02:46:00"/>
    <x v="0"/>
    <x v="1"/>
    <s v="Nu"/>
  </r>
  <r>
    <x v="212"/>
    <x v="127"/>
    <n v="11418146"/>
    <n v="57090.73"/>
    <x v="78"/>
    <x v="4"/>
    <d v="1899-12-30T02:23:00"/>
    <x v="3"/>
    <x v="4"/>
    <s v="Nu"/>
  </r>
  <r>
    <x v="48"/>
    <x v="9"/>
    <n v="11345113"/>
    <n v="56725.564999999995"/>
    <x v="29"/>
    <x v="4"/>
    <d v="1899-12-30T02:44:00"/>
    <x v="3"/>
    <x v="4"/>
    <s v="Nu"/>
  </r>
  <r>
    <x v="50"/>
    <x v="7"/>
    <n v="10881176"/>
    <n v="54405.88"/>
    <x v="29"/>
    <x v="4"/>
    <d v="1899-12-30T02:18:00"/>
    <x v="0"/>
    <x v="1"/>
    <s v="Nu"/>
  </r>
  <r>
    <x v="215"/>
    <x v="128"/>
    <n v="10746236"/>
    <n v="53731.180000000008"/>
    <x v="117"/>
    <x v="4"/>
    <d v="1899-12-30T05:59:00"/>
    <x v="0"/>
    <x v="29"/>
    <s v="Nu"/>
  </r>
  <r>
    <x v="53"/>
    <x v="24"/>
    <n v="10645133"/>
    <n v="53225.665000000001"/>
    <x v="27"/>
    <x v="4"/>
    <d v="1899-12-30T03:21:00"/>
    <x v="3"/>
    <x v="7"/>
    <s v="Nu"/>
  </r>
  <r>
    <x v="41"/>
    <x v="20"/>
    <n v="10482746"/>
    <n v="52413.729999999996"/>
    <x v="7"/>
    <x v="4"/>
    <d v="1899-12-30T04:21:00"/>
    <x v="3"/>
    <x v="4"/>
    <s v="Nu"/>
  </r>
  <r>
    <x v="46"/>
    <x v="21"/>
    <n v="10364052"/>
    <n v="51820.259999999995"/>
    <x v="27"/>
    <x v="4"/>
    <d v="1899-12-30T04:33:00"/>
    <x v="7"/>
    <x v="4"/>
    <s v="Nu"/>
  </r>
  <r>
    <x v="38"/>
    <x v="6"/>
    <n v="10335435"/>
    <n v="51677.174999999996"/>
    <x v="6"/>
    <x v="4"/>
    <d v="1899-12-30T03:35:00"/>
    <x v="0"/>
    <x v="1"/>
    <s v="Nu"/>
  </r>
  <r>
    <x v="39"/>
    <x v="17"/>
    <n v="10333834"/>
    <n v="51669.170000000006"/>
    <x v="0"/>
    <x v="4"/>
    <d v="1899-12-30T03:07:00"/>
    <x v="6"/>
    <x v="8"/>
    <s v="Nu"/>
  </r>
  <r>
    <x v="135"/>
    <x v="72"/>
    <n v="10206267"/>
    <n v="51031.334999999999"/>
    <x v="78"/>
    <x v="4"/>
    <d v="1899-12-30T04:21:00"/>
    <x v="2"/>
    <x v="2"/>
    <s v="Da"/>
  </r>
  <r>
    <x v="213"/>
    <x v="19"/>
    <n v="9964005"/>
    <n v="49820.024999999994"/>
    <x v="22"/>
    <x v="4"/>
    <d v="1899-12-30T03:10:00"/>
    <x v="0"/>
    <x v="9"/>
    <s v="Nu"/>
  </r>
  <r>
    <x v="35"/>
    <x v="18"/>
    <n v="9900093"/>
    <n v="49500.465000000004"/>
    <x v="22"/>
    <x v="4"/>
    <d v="1899-12-30T04:12:00"/>
    <x v="1"/>
    <x v="1"/>
    <s v="Da"/>
  </r>
  <r>
    <x v="62"/>
    <x v="29"/>
    <n v="9587759"/>
    <n v="47938.794999999998"/>
    <x v="1"/>
    <x v="4"/>
    <d v="1899-12-30T02:44:00"/>
    <x v="0"/>
    <x v="13"/>
    <s v="Nu"/>
  </r>
  <r>
    <x v="59"/>
    <x v="27"/>
    <n v="9566164"/>
    <n v="47830.820000000007"/>
    <x v="32"/>
    <x v="4"/>
    <d v="1899-12-30T02:53:00"/>
    <x v="0"/>
    <x v="2"/>
    <s v="Nu"/>
  </r>
  <r>
    <x v="85"/>
    <x v="43"/>
    <n v="9268765"/>
    <n v="46343.824999999997"/>
    <x v="53"/>
    <x v="4"/>
    <d v="1899-12-30T02:18:00"/>
    <x v="5"/>
    <x v="1"/>
    <s v="Nu"/>
  </r>
  <r>
    <x v="64"/>
    <x v="12"/>
    <n v="9153046"/>
    <n v="45765.23"/>
    <x v="34"/>
    <x v="4"/>
    <d v="1899-12-30T03:25:00"/>
    <x v="7"/>
    <x v="4"/>
    <s v="Nu"/>
  </r>
  <r>
    <x v="52"/>
    <x v="23"/>
    <n v="8999268"/>
    <n v="44996.34"/>
    <x v="30"/>
    <x v="4"/>
    <d v="1899-12-30T04:02:00"/>
    <x v="5"/>
    <x v="4"/>
    <s v="Nu"/>
  </r>
  <r>
    <x v="225"/>
    <x v="130"/>
    <n v="8890732"/>
    <n v="44453.66"/>
    <x v="99"/>
    <x v="4"/>
    <d v="1899-12-30T03:23:00"/>
    <x v="3"/>
    <x v="4"/>
    <s v="Nu"/>
  </r>
  <r>
    <x v="80"/>
    <x v="41"/>
    <n v="8824618"/>
    <n v="44123.090000000004"/>
    <x v="48"/>
    <x v="4"/>
    <d v="1899-12-30T04:12:00"/>
    <x v="0"/>
    <x v="2"/>
    <s v="Nu"/>
  </r>
  <r>
    <x v="54"/>
    <x v="25"/>
    <n v="8763558"/>
    <n v="43817.790000000008"/>
    <x v="0"/>
    <x v="4"/>
    <d v="1899-12-30T03:12:00"/>
    <x v="8"/>
    <x v="11"/>
    <s v="Nu"/>
  </r>
  <r>
    <x v="57"/>
    <x v="6"/>
    <n v="8748754"/>
    <n v="43743.770000000004"/>
    <x v="6"/>
    <x v="4"/>
    <d v="1899-12-30T02:55:00"/>
    <x v="0"/>
    <x v="1"/>
    <s v="Nu"/>
  </r>
  <r>
    <x v="58"/>
    <x v="26"/>
    <n v="8735579"/>
    <n v="43677.894999999997"/>
    <x v="31"/>
    <x v="4"/>
    <d v="1899-12-30T04:01:00"/>
    <x v="9"/>
    <x v="0"/>
    <s v="Nu"/>
  </r>
  <r>
    <x v="74"/>
    <x v="37"/>
    <n v="8723444"/>
    <n v="43617.22"/>
    <x v="42"/>
    <x v="4"/>
    <d v="1899-12-30T02:17:00"/>
    <x v="1"/>
    <x v="1"/>
    <s v="Da"/>
  </r>
  <r>
    <x v="71"/>
    <x v="17"/>
    <n v="8719388"/>
    <n v="43596.94"/>
    <x v="39"/>
    <x v="4"/>
    <d v="1899-12-30T02:21:00"/>
    <x v="6"/>
    <x v="8"/>
    <s v="Nu"/>
  </r>
  <r>
    <x v="220"/>
    <x v="14"/>
    <n v="8680859"/>
    <n v="43404.294999999998"/>
    <x v="44"/>
    <x v="4"/>
    <d v="1899-12-30T02:32:00"/>
    <x v="3"/>
    <x v="7"/>
    <s v="Nu"/>
  </r>
  <r>
    <x v="87"/>
    <x v="45"/>
    <n v="8637286"/>
    <n v="43186.43"/>
    <x v="55"/>
    <x v="4"/>
    <d v="1899-12-30T03:41:00"/>
    <x v="10"/>
    <x v="1"/>
    <s v="Nu"/>
  </r>
  <r>
    <x v="76"/>
    <x v="38"/>
    <n v="8229013"/>
    <n v="41145.065000000002"/>
    <x v="44"/>
    <x v="4"/>
    <d v="1899-12-30T03:23:00"/>
    <x v="0"/>
    <x v="1"/>
    <s v="Nu"/>
  </r>
  <r>
    <x v="90"/>
    <x v="47"/>
    <n v="8198902"/>
    <n v="40994.51"/>
    <x v="57"/>
    <x v="4"/>
    <d v="1899-12-30T03:28:00"/>
    <x v="1"/>
    <x v="16"/>
    <s v="Nu"/>
  </r>
  <r>
    <x v="86"/>
    <x v="44"/>
    <n v="8184031"/>
    <n v="40920.154999999999"/>
    <x v="54"/>
    <x v="4"/>
    <d v="1899-12-30T04:02:00"/>
    <x v="2"/>
    <x v="1"/>
    <s v="Da"/>
  </r>
  <r>
    <x v="91"/>
    <x v="15"/>
    <n v="8140242"/>
    <n v="40701.21"/>
    <x v="58"/>
    <x v="4"/>
    <d v="1899-12-30T02:49:00"/>
    <x v="6"/>
    <x v="2"/>
    <s v="Nu"/>
  </r>
  <r>
    <x v="274"/>
    <x v="8"/>
    <n v="8136788"/>
    <n v="40683.939999999995"/>
    <x v="45"/>
    <x v="4"/>
    <d v="1899-12-30T03:49:00"/>
    <x v="4"/>
    <x v="1"/>
    <s v="Nu"/>
  </r>
  <r>
    <x v="63"/>
    <x v="30"/>
    <n v="7982451"/>
    <n v="39912.254999999997"/>
    <x v="33"/>
    <x v="4"/>
    <d v="1899-12-30T02:45:00"/>
    <x v="3"/>
    <x v="11"/>
    <s v="Nu"/>
  </r>
  <r>
    <x v="73"/>
    <x v="36"/>
    <n v="7964933"/>
    <n v="39824.665000000001"/>
    <x v="41"/>
    <x v="4"/>
    <d v="1899-12-30T04:57:00"/>
    <x v="3"/>
    <x v="7"/>
    <s v="Nu"/>
  </r>
  <r>
    <x v="79"/>
    <x v="40"/>
    <n v="7895736"/>
    <n v="39478.68"/>
    <x v="47"/>
    <x v="4"/>
    <d v="1899-12-30T02:44:00"/>
    <x v="1"/>
    <x v="15"/>
    <s v="Nu"/>
  </r>
  <r>
    <x v="65"/>
    <x v="31"/>
    <n v="7823821"/>
    <n v="39119.104999999996"/>
    <x v="35"/>
    <x v="4"/>
    <d v="1899-12-30T02:49:00"/>
    <x v="10"/>
    <x v="2"/>
    <s v="Da"/>
  </r>
  <r>
    <x v="69"/>
    <x v="129"/>
    <n v="7691845"/>
    <n v="38459.224999999999"/>
    <x v="38"/>
    <x v="4"/>
    <d v="1899-12-30T05:21:00"/>
    <x v="3"/>
    <x v="4"/>
    <s v="Nu"/>
  </r>
  <r>
    <x v="72"/>
    <x v="35"/>
    <n v="7683857"/>
    <n v="38419.285000000003"/>
    <x v="40"/>
    <x v="4"/>
    <d v="1899-12-30T04:03:00"/>
    <x v="0"/>
    <x v="0"/>
    <s v="Nu"/>
  </r>
  <r>
    <x v="137"/>
    <x v="74"/>
    <n v="7651389"/>
    <n v="38256.945"/>
    <x v="97"/>
    <x v="4"/>
    <d v="1899-12-30T02:10:00"/>
    <x v="5"/>
    <x v="6"/>
    <s v="Da"/>
  </r>
  <r>
    <x v="88"/>
    <x v="126"/>
    <n v="7608736"/>
    <n v="38043.68"/>
    <x v="42"/>
    <x v="4"/>
    <d v="1899-12-30T02:55:00"/>
    <x v="10"/>
    <x v="14"/>
    <s v="Nu"/>
  </r>
  <r>
    <x v="275"/>
    <x v="151"/>
    <n v="7564368"/>
    <n v="37821.840000000004"/>
    <x v="63"/>
    <x v="4"/>
    <d v="1899-12-30T03:23:00"/>
    <x v="0"/>
    <x v="1"/>
    <s v="Nu"/>
  </r>
  <r>
    <x v="70"/>
    <x v="6"/>
    <n v="7417730"/>
    <n v="37088.649999999994"/>
    <x v="6"/>
    <x v="4"/>
    <d v="1899-12-30T02:53:00"/>
    <x v="0"/>
    <x v="1"/>
    <s v="Nu"/>
  </r>
  <r>
    <x v="92"/>
    <x v="15"/>
    <n v="7406089"/>
    <n v="37030.445"/>
    <x v="59"/>
    <x v="4"/>
    <d v="1899-12-30T03:22:00"/>
    <x v="9"/>
    <x v="2"/>
    <s v="Nu"/>
  </r>
  <r>
    <x v="60"/>
    <x v="7"/>
    <n v="7396316"/>
    <n v="36981.58"/>
    <x v="29"/>
    <x v="4"/>
    <d v="1899-12-30T02:54:00"/>
    <x v="0"/>
    <x v="1"/>
    <s v="Nu"/>
  </r>
  <r>
    <x v="227"/>
    <x v="131"/>
    <n v="7362969"/>
    <n v="36814.845000000001"/>
    <x v="99"/>
    <x v="4"/>
    <d v="1899-12-30T02:45:00"/>
    <x v="0"/>
    <x v="1"/>
    <s v="Nu"/>
  </r>
  <r>
    <x v="119"/>
    <x v="8"/>
    <n v="7341942"/>
    <n v="36709.71"/>
    <x v="27"/>
    <x v="4"/>
    <d v="1899-12-30T04:02:00"/>
    <x v="3"/>
    <x v="1"/>
    <s v="Da"/>
  </r>
  <r>
    <x v="276"/>
    <x v="71"/>
    <n v="7311219"/>
    <n v="36556.095000000001"/>
    <x v="141"/>
    <x v="4"/>
    <d v="1899-12-30T05:23:00"/>
    <x v="3"/>
    <x v="7"/>
    <s v="Nu"/>
  </r>
  <r>
    <x v="81"/>
    <x v="6"/>
    <n v="7279399"/>
    <n v="36396.995000000003"/>
    <x v="49"/>
    <x v="4"/>
    <d v="1899-12-30T03:35:00"/>
    <x v="4"/>
    <x v="1"/>
    <s v="Nu"/>
  </r>
  <r>
    <x v="61"/>
    <x v="28"/>
    <n v="7276832"/>
    <n v="36384.160000000003"/>
    <x v="0"/>
    <x v="4"/>
    <d v="1899-12-30T03:28:00"/>
    <x v="3"/>
    <x v="12"/>
    <s v="Nu"/>
  </r>
  <r>
    <x v="128"/>
    <x v="2"/>
    <n v="7254400"/>
    <n v="36272"/>
    <x v="91"/>
    <x v="4"/>
    <d v="1899-12-30T03:21:00"/>
    <x v="0"/>
    <x v="2"/>
    <s v="Nu"/>
  </r>
  <r>
    <x v="66"/>
    <x v="32"/>
    <n v="7193229"/>
    <n v="35966.145000000004"/>
    <x v="36"/>
    <x v="4"/>
    <d v="1899-12-30T03:04:00"/>
    <x v="0"/>
    <x v="6"/>
    <s v="Nu"/>
  </r>
  <r>
    <x v="98"/>
    <x v="13"/>
    <n v="7160013"/>
    <n v="35800.065000000002"/>
    <x v="65"/>
    <x v="4"/>
    <d v="1899-12-30T04:03:00"/>
    <x v="9"/>
    <x v="6"/>
    <s v="Nu"/>
  </r>
  <r>
    <x v="104"/>
    <x v="55"/>
    <n v="7146580"/>
    <n v="35732.9"/>
    <x v="71"/>
    <x v="4"/>
    <d v="1899-12-30T04:58:00"/>
    <x v="4"/>
    <x v="1"/>
    <s v="Da"/>
  </r>
  <r>
    <x v="99"/>
    <x v="152"/>
    <n v="7089600"/>
    <n v="35448"/>
    <x v="66"/>
    <x v="4"/>
    <d v="1899-12-30T04:47:00"/>
    <x v="6"/>
    <x v="1"/>
    <s v="Nu"/>
  </r>
  <r>
    <x v="218"/>
    <x v="89"/>
    <n v="7082667"/>
    <n v="35413.334999999999"/>
    <x v="115"/>
    <x v="4"/>
    <d v="1899-12-30T08:33:00"/>
    <x v="1"/>
    <x v="6"/>
    <s v="Nu"/>
  </r>
  <r>
    <x v="231"/>
    <x v="8"/>
    <n v="7059035"/>
    <n v="35295.175000000003"/>
    <x v="132"/>
    <x v="4"/>
    <d v="1899-12-30T03:33:00"/>
    <x v="4"/>
    <x v="31"/>
    <s v="Nu"/>
  </r>
  <r>
    <x v="18"/>
    <x v="4"/>
    <n v="6961937"/>
    <n v="34809.684999999998"/>
    <x v="9"/>
    <x v="4"/>
    <d v="1899-12-30T02:36:00"/>
    <x v="1"/>
    <x v="1"/>
    <s v="Nu"/>
  </r>
  <r>
    <x v="111"/>
    <x v="61"/>
    <n v="6916676"/>
    <n v="34583.380000000005"/>
    <x v="78"/>
    <x v="4"/>
    <d v="1899-12-30T03:50:00"/>
    <x v="1"/>
    <x v="1"/>
    <s v="Nu"/>
  </r>
  <r>
    <x v="99"/>
    <x v="51"/>
    <n v="6907180"/>
    <n v="34535.9"/>
    <x v="66"/>
    <x v="4"/>
    <d v="1899-12-30T04:47:00"/>
    <x v="6"/>
    <x v="1"/>
    <s v="Nu"/>
  </r>
  <r>
    <x v="159"/>
    <x v="92"/>
    <n v="6835228"/>
    <n v="34176.14"/>
    <x v="108"/>
    <x v="4"/>
    <d v="1899-12-30T02:49:00"/>
    <x v="3"/>
    <x v="18"/>
    <s v="Nu"/>
  </r>
  <r>
    <x v="121"/>
    <x v="47"/>
    <n v="6811196"/>
    <n v="34055.979999999996"/>
    <x v="84"/>
    <x v="4"/>
    <d v="1899-12-30T03:15:00"/>
    <x v="1"/>
    <x v="16"/>
    <s v="Nu"/>
  </r>
  <r>
    <x v="116"/>
    <x v="63"/>
    <n v="6790804"/>
    <n v="33954.020000000004"/>
    <x v="68"/>
    <x v="4"/>
    <d v="1899-12-30T03:37:00"/>
    <x v="0"/>
    <x v="1"/>
    <s v="Nu"/>
  </r>
  <r>
    <x v="102"/>
    <x v="53"/>
    <n v="6781446"/>
    <n v="33907.229999999996"/>
    <x v="69"/>
    <x v="4"/>
    <d v="1899-12-30T02:25:00"/>
    <x v="8"/>
    <x v="1"/>
    <s v="Nu"/>
  </r>
  <r>
    <x v="113"/>
    <x v="60"/>
    <n v="6767623"/>
    <n v="33838.114999999998"/>
    <x v="69"/>
    <x v="4"/>
    <d v="1899-12-30T03:26:00"/>
    <x v="0"/>
    <x v="1"/>
    <s v="Nu"/>
  </r>
  <r>
    <x v="224"/>
    <x v="124"/>
    <n v="6728495"/>
    <n v="33642.474999999999"/>
    <x v="69"/>
    <x v="4"/>
    <d v="1899-12-30T04:23:00"/>
    <x v="8"/>
    <x v="28"/>
    <s v="Da"/>
  </r>
  <r>
    <x v="132"/>
    <x v="70"/>
    <n v="6708966"/>
    <n v="33544.83"/>
    <x v="94"/>
    <x v="4"/>
    <d v="1899-12-30T03:35:00"/>
    <x v="8"/>
    <x v="1"/>
    <s v="Nu"/>
  </r>
  <r>
    <x v="115"/>
    <x v="62"/>
    <n v="6675021"/>
    <n v="33375.104999999996"/>
    <x v="81"/>
    <x v="4"/>
    <d v="1899-12-30T03:40:00"/>
    <x v="1"/>
    <x v="0"/>
    <s v="Nu"/>
  </r>
  <r>
    <x v="127"/>
    <x v="69"/>
    <n v="6646235"/>
    <n v="33231.174999999996"/>
    <x v="90"/>
    <x v="4"/>
    <d v="1899-12-30T02:25:00"/>
    <x v="1"/>
    <x v="1"/>
    <s v="Nu"/>
  </r>
  <r>
    <x v="211"/>
    <x v="1"/>
    <n v="6612963"/>
    <n v="33064.815000000002"/>
    <x v="115"/>
    <x v="4"/>
    <d v="1899-12-30T05:23:00"/>
    <x v="1"/>
    <x v="1"/>
    <s v="Da"/>
  </r>
  <r>
    <x v="97"/>
    <x v="50"/>
    <n v="6593965"/>
    <n v="32969.824999999997"/>
    <x v="64"/>
    <x v="4"/>
    <d v="1899-12-30T03:31:00"/>
    <x v="7"/>
    <x v="17"/>
    <s v="Nu"/>
  </r>
  <r>
    <x v="178"/>
    <x v="106"/>
    <n v="6501986"/>
    <n v="32509.93"/>
    <x v="9"/>
    <x v="4"/>
    <d v="1899-12-30T04:57:00"/>
    <x v="8"/>
    <x v="2"/>
    <s v="Nu"/>
  </r>
  <r>
    <x v="130"/>
    <x v="60"/>
    <n v="6474991"/>
    <n v="32374.955000000002"/>
    <x v="93"/>
    <x v="4"/>
    <d v="1899-12-30T02:58:00"/>
    <x v="3"/>
    <x v="1"/>
    <s v="Nu"/>
  </r>
  <r>
    <x v="131"/>
    <x v="2"/>
    <n v="6452401"/>
    <n v="32262.004999999997"/>
    <x v="66"/>
    <x v="4"/>
    <d v="1899-12-30T02:35:00"/>
    <x v="3"/>
    <x v="2"/>
    <s v="Nu"/>
  </r>
  <r>
    <x v="106"/>
    <x v="57"/>
    <n v="6435773"/>
    <n v="32178.865000000002"/>
    <x v="73"/>
    <x v="4"/>
    <d v="1899-12-30T02:17:00"/>
    <x v="4"/>
    <x v="1"/>
    <s v="Nu"/>
  </r>
  <r>
    <x v="122"/>
    <x v="67"/>
    <n v="6435163"/>
    <n v="32175.814999999999"/>
    <x v="85"/>
    <x v="4"/>
    <d v="1899-12-30T05:33:00"/>
    <x v="1"/>
    <x v="1"/>
    <s v="Nu"/>
  </r>
  <r>
    <x v="240"/>
    <x v="140"/>
    <n v="6429703"/>
    <n v="32148.515000000003"/>
    <x v="124"/>
    <x v="4"/>
    <d v="1899-12-30T03:23:00"/>
    <x v="1"/>
    <x v="1"/>
    <s v="Nu"/>
  </r>
  <r>
    <x v="232"/>
    <x v="132"/>
    <n v="6392025"/>
    <n v="31960.125"/>
    <x v="95"/>
    <x v="4"/>
    <d v="1899-12-30T03:23:00"/>
    <x v="7"/>
    <x v="7"/>
    <s v="Nu"/>
  </r>
  <r>
    <x v="11"/>
    <x v="4"/>
    <n v="6389969"/>
    <n v="31949.845000000001"/>
    <x v="9"/>
    <x v="4"/>
    <d v="1899-12-30T05:39:00"/>
    <x v="1"/>
    <x v="1"/>
    <s v="Nu"/>
  </r>
  <r>
    <x v="118"/>
    <x v="65"/>
    <n v="6312555"/>
    <n v="31562.775000000001"/>
    <x v="83"/>
    <x v="4"/>
    <d v="1899-12-30T03:49:00"/>
    <x v="1"/>
    <x v="14"/>
    <s v="Nu"/>
  </r>
  <r>
    <x v="93"/>
    <x v="14"/>
    <n v="6225584"/>
    <n v="31127.919999999998"/>
    <x v="60"/>
    <x v="4"/>
    <d v="1899-12-30T02:53:00"/>
    <x v="9"/>
    <x v="7"/>
    <s v="Nu"/>
  </r>
  <r>
    <x v="277"/>
    <x v="153"/>
    <n v="6182823"/>
    <n v="30914.115000000002"/>
    <x v="49"/>
    <x v="4"/>
    <d v="1899-12-30T03:00:00"/>
    <x v="1"/>
    <x v="1"/>
    <s v="Nu"/>
  </r>
  <r>
    <x v="146"/>
    <x v="83"/>
    <n v="6179175"/>
    <n v="30895.875"/>
    <x v="102"/>
    <x v="4"/>
    <d v="1899-12-30T04:02:00"/>
    <x v="1"/>
    <x v="1"/>
    <s v="Nu"/>
  </r>
  <r>
    <x v="123"/>
    <x v="15"/>
    <n v="6099427"/>
    <n v="30497.134999999998"/>
    <x v="86"/>
    <x v="4"/>
    <d v="1899-12-30T03:23:00"/>
    <x v="3"/>
    <x v="2"/>
    <s v="Nu"/>
  </r>
  <r>
    <x v="162"/>
    <x v="95"/>
    <n v="6065795"/>
    <n v="30328.974999999999"/>
    <x v="110"/>
    <x v="4"/>
    <d v="1899-12-30T03:22:00"/>
    <x v="1"/>
    <x v="2"/>
    <s v="Nu"/>
  </r>
  <r>
    <x v="242"/>
    <x v="141"/>
    <n v="6040636"/>
    <n v="30203.18"/>
    <x v="125"/>
    <x v="4"/>
    <d v="1899-12-30T02:22:00"/>
    <x v="7"/>
    <x v="7"/>
    <s v="Nu"/>
  </r>
  <r>
    <x v="153"/>
    <x v="88"/>
    <n v="6034788"/>
    <n v="30173.94"/>
    <x v="104"/>
    <x v="4"/>
    <d v="1899-12-30T02:53:00"/>
    <x v="7"/>
    <x v="6"/>
    <s v="Nu"/>
  </r>
  <r>
    <x v="154"/>
    <x v="43"/>
    <n v="6022842"/>
    <n v="30114.21"/>
    <x v="53"/>
    <x v="4"/>
    <d v="1899-12-30T02:54:00"/>
    <x v="1"/>
    <x v="1"/>
    <s v="Nu"/>
  </r>
  <r>
    <x v="112"/>
    <x v="7"/>
    <n v="5931113"/>
    <n v="29655.565000000002"/>
    <x v="79"/>
    <x v="4"/>
    <d v="1899-12-30T02:36:00"/>
    <x v="3"/>
    <x v="1"/>
    <s v="Nu"/>
  </r>
  <r>
    <x v="235"/>
    <x v="136"/>
    <n v="5902957"/>
    <n v="29514.785000000003"/>
    <x v="120"/>
    <x v="4"/>
    <d v="1899-12-30T01:23:00"/>
    <x v="3"/>
    <x v="4"/>
    <s v="Nu"/>
  </r>
  <r>
    <x v="124"/>
    <x v="0"/>
    <n v="5879073"/>
    <n v="29395.365000000002"/>
    <x v="87"/>
    <x v="4"/>
    <d v="1899-12-30T02:44:00"/>
    <x v="3"/>
    <x v="0"/>
    <s v="Da"/>
  </r>
  <r>
    <x v="150"/>
    <x v="32"/>
    <n v="5872202"/>
    <n v="29361.010000000002"/>
    <x v="12"/>
    <x v="4"/>
    <d v="1899-12-30T08:58:00"/>
    <x v="6"/>
    <x v="6"/>
    <s v="Nu"/>
  </r>
  <r>
    <x v="238"/>
    <x v="139"/>
    <n v="5844486"/>
    <n v="29222.43"/>
    <x v="122"/>
    <x v="4"/>
    <d v="1899-12-30T04:44:00"/>
    <x v="1"/>
    <x v="1"/>
    <s v="Nu"/>
  </r>
  <r>
    <x v="236"/>
    <x v="137"/>
    <n v="5818772"/>
    <n v="29093.86"/>
    <x v="117"/>
    <x v="4"/>
    <d v="1899-12-30T02:50:00"/>
    <x v="0"/>
    <x v="1"/>
    <s v="Nu"/>
  </r>
  <r>
    <x v="190"/>
    <x v="115"/>
    <n v="5814634"/>
    <n v="29073.17"/>
    <x v="62"/>
    <x v="4"/>
    <d v="1899-12-30T03:40:00"/>
    <x v="6"/>
    <x v="1"/>
    <s v="Nu"/>
  </r>
  <r>
    <x v="96"/>
    <x v="49"/>
    <n v="5813591"/>
    <n v="29067.955000000002"/>
    <x v="63"/>
    <x v="4"/>
    <d v="1899-12-30T03:32:00"/>
    <x v="1"/>
    <x v="17"/>
    <s v="Nu"/>
  </r>
  <r>
    <x v="148"/>
    <x v="85"/>
    <n v="5787674"/>
    <n v="28938.37"/>
    <x v="66"/>
    <x v="4"/>
    <d v="1899-12-30T03:12:00"/>
    <x v="7"/>
    <x v="1"/>
    <s v="Da"/>
  </r>
  <r>
    <x v="134"/>
    <x v="72"/>
    <n v="5781914"/>
    <n v="28909.57"/>
    <x v="95"/>
    <x v="4"/>
    <d v="1899-12-30T02:27:00"/>
    <x v="3"/>
    <x v="2"/>
    <s v="Da"/>
  </r>
  <r>
    <x v="108"/>
    <x v="133"/>
    <n v="5781468"/>
    <n v="28907.34"/>
    <x v="75"/>
    <x v="4"/>
    <d v="1899-12-30T03:19:00"/>
    <x v="1"/>
    <x v="18"/>
    <s v="Nu"/>
  </r>
  <r>
    <x v="175"/>
    <x v="48"/>
    <n v="5780875"/>
    <n v="28904.375"/>
    <x v="11"/>
    <x v="4"/>
    <d v="1899-12-30T02:58:00"/>
    <x v="2"/>
    <x v="1"/>
    <s v="Nu"/>
  </r>
  <r>
    <x v="163"/>
    <x v="96"/>
    <n v="5764262"/>
    <n v="28821.309999999998"/>
    <x v="6"/>
    <x v="4"/>
    <d v="1899-12-30T05:21:00"/>
    <x v="3"/>
    <x v="19"/>
    <s v="Nu"/>
  </r>
  <r>
    <x v="239"/>
    <x v="87"/>
    <n v="5759898"/>
    <n v="28799.49"/>
    <x v="123"/>
    <x v="4"/>
    <d v="1899-12-30T02:32:00"/>
    <x v="3"/>
    <x v="12"/>
    <s v="Nu"/>
  </r>
  <r>
    <x v="188"/>
    <x v="114"/>
    <n v="5734900"/>
    <n v="28674.5"/>
    <x v="60"/>
    <x v="4"/>
    <d v="1899-12-30T03:26:00"/>
    <x v="7"/>
    <x v="6"/>
    <s v="Nu"/>
  </r>
  <r>
    <x v="140"/>
    <x v="77"/>
    <n v="5719256"/>
    <n v="28596.280000000002"/>
    <x v="46"/>
    <x v="4"/>
    <d v="1899-12-30T04:33:00"/>
    <x v="0"/>
    <x v="4"/>
    <s v="Nu"/>
  </r>
  <r>
    <x v="152"/>
    <x v="87"/>
    <n v="5719042"/>
    <n v="28595.210000000003"/>
    <x v="90"/>
    <x v="4"/>
    <d v="1899-12-30T04:01:00"/>
    <x v="0"/>
    <x v="4"/>
    <s v="Nu"/>
  </r>
  <r>
    <x v="145"/>
    <x v="134"/>
    <n v="5714332"/>
    <n v="28571.660000000003"/>
    <x v="101"/>
    <x v="4"/>
    <d v="1899-12-30T02:08:00"/>
    <x v="1"/>
    <x v="18"/>
    <s v="Nu"/>
  </r>
  <r>
    <x v="149"/>
    <x v="23"/>
    <n v="5710496"/>
    <n v="28552.48"/>
    <x v="16"/>
    <x v="4"/>
    <d v="1899-12-30T03:41:00"/>
    <x v="0"/>
    <x v="1"/>
    <s v="Nu"/>
  </r>
  <r>
    <x v="32"/>
    <x v="17"/>
    <n v="5703140"/>
    <n v="28515.7"/>
    <x v="22"/>
    <x v="4"/>
    <d v="1899-12-30T02:44:00"/>
    <x v="6"/>
    <x v="8"/>
    <s v="Da"/>
  </r>
  <r>
    <x v="184"/>
    <x v="111"/>
    <n v="5699299"/>
    <n v="28496.494999999999"/>
    <x v="56"/>
    <x v="4"/>
    <d v="1899-12-30T03:46:00"/>
    <x v="1"/>
    <x v="2"/>
    <s v="Nu"/>
  </r>
  <r>
    <x v="174"/>
    <x v="104"/>
    <n v="5678972"/>
    <n v="28394.86"/>
    <x v="9"/>
    <x v="4"/>
    <d v="1899-12-30T04:47:00"/>
    <x v="3"/>
    <x v="1"/>
    <s v="Nu"/>
  </r>
  <r>
    <x v="169"/>
    <x v="86"/>
    <n v="5676064"/>
    <n v="28380.32"/>
    <x v="42"/>
    <x v="4"/>
    <d v="1899-12-30T02:21:00"/>
    <x v="10"/>
    <x v="1"/>
    <s v="Nu"/>
  </r>
  <r>
    <x v="139"/>
    <x v="76"/>
    <n v="5673821"/>
    <n v="28369.105"/>
    <x v="99"/>
    <x v="4"/>
    <d v="1899-12-30T04:02:00"/>
    <x v="1"/>
    <x v="9"/>
    <s v="Nu"/>
  </r>
  <r>
    <x v="168"/>
    <x v="64"/>
    <n v="5668382"/>
    <n v="28341.909999999996"/>
    <x v="71"/>
    <x v="4"/>
    <d v="1899-12-30T03:23:00"/>
    <x v="0"/>
    <x v="1"/>
    <s v="Nu"/>
  </r>
  <r>
    <x v="161"/>
    <x v="94"/>
    <n v="5660310"/>
    <n v="28301.550000000003"/>
    <x v="109"/>
    <x v="4"/>
    <d v="1899-12-30T03:03:00"/>
    <x v="1"/>
    <x v="2"/>
    <s v="Nu"/>
  </r>
  <r>
    <x v="114"/>
    <x v="6"/>
    <n v="5656596"/>
    <n v="28282.979999999996"/>
    <x v="80"/>
    <x v="4"/>
    <d v="1899-12-30T02:53:00"/>
    <x v="1"/>
    <x v="1"/>
    <s v="Nu"/>
  </r>
  <r>
    <x v="245"/>
    <x v="142"/>
    <n v="5626831"/>
    <n v="28134.154999999999"/>
    <x v="53"/>
    <x v="4"/>
    <d v="1899-12-30T02:21:00"/>
    <x v="3"/>
    <x v="12"/>
    <s v="Nu"/>
  </r>
  <r>
    <x v="173"/>
    <x v="103"/>
    <n v="5622520"/>
    <n v="28112.600000000002"/>
    <x v="10"/>
    <x v="4"/>
    <d v="1899-12-30T04:03:00"/>
    <x v="0"/>
    <x v="24"/>
    <s v="Nu"/>
  </r>
  <r>
    <x v="185"/>
    <x v="112"/>
    <n v="5615991"/>
    <n v="28079.955000000002"/>
    <x v="57"/>
    <x v="4"/>
    <d v="1899-12-30T03:58:00"/>
    <x v="1"/>
    <x v="2"/>
    <s v="Nu"/>
  </r>
  <r>
    <x v="247"/>
    <x v="143"/>
    <n v="5613675"/>
    <n v="28068.375"/>
    <x v="126"/>
    <x v="4"/>
    <d v="1899-12-30T02:23:00"/>
    <x v="1"/>
    <x v="1"/>
    <s v="Nu"/>
  </r>
  <r>
    <x v="164"/>
    <x v="97"/>
    <n v="5573296"/>
    <n v="27866.480000000003"/>
    <x v="108"/>
    <x v="4"/>
    <d v="1899-12-30T02:53:00"/>
    <x v="3"/>
    <x v="0"/>
    <s v="Nu"/>
  </r>
  <r>
    <x v="230"/>
    <x v="89"/>
    <n v="5565289"/>
    <n v="27826.445"/>
    <x v="125"/>
    <x v="4"/>
    <d v="1899-12-30T03:12:00"/>
    <x v="1"/>
    <x v="6"/>
    <s v="Nu"/>
  </r>
  <r>
    <x v="94"/>
    <x v="48"/>
    <n v="5562045"/>
    <n v="27810.224999999999"/>
    <x v="61"/>
    <x v="4"/>
    <d v="1899-12-30T02:21:00"/>
    <x v="5"/>
    <x v="1"/>
    <s v="Nu"/>
  </r>
  <r>
    <x v="246"/>
    <x v="143"/>
    <n v="5547220"/>
    <n v="27736.100000000002"/>
    <x v="126"/>
    <x v="4"/>
    <d v="1899-12-30T02:59:00"/>
    <x v="1"/>
    <x v="1"/>
    <s v="Da"/>
  </r>
  <r>
    <x v="105"/>
    <x v="56"/>
    <n v="5503955"/>
    <n v="27519.775000000001"/>
    <x v="72"/>
    <x v="4"/>
    <d v="1899-12-30T05:39:00"/>
    <x v="3"/>
    <x v="19"/>
    <s v="Da"/>
  </r>
  <r>
    <x v="117"/>
    <x v="64"/>
    <n v="5488247"/>
    <n v="27441.235000000001"/>
    <x v="82"/>
    <x v="4"/>
    <d v="1899-12-30T03:23:00"/>
    <x v="1"/>
    <x v="1"/>
    <s v="Da"/>
  </r>
  <r>
    <x v="151"/>
    <x v="86"/>
    <n v="5443480"/>
    <n v="27217.399999999998"/>
    <x v="104"/>
    <x v="4"/>
    <d v="1899-12-30T02:55:00"/>
    <x v="1"/>
    <x v="1"/>
    <s v="Nu"/>
  </r>
  <r>
    <x v="177"/>
    <x v="63"/>
    <n v="5426741"/>
    <n v="27133.705000000002"/>
    <x v="13"/>
    <x v="4"/>
    <d v="1899-12-30T02:25:00"/>
    <x v="5"/>
    <x v="1"/>
    <s v="Nu"/>
  </r>
  <r>
    <x v="129"/>
    <x v="9"/>
    <n v="5404280"/>
    <n v="27021.399999999998"/>
    <x v="92"/>
    <x v="4"/>
    <d v="1899-12-30T04:12:00"/>
    <x v="10"/>
    <x v="4"/>
    <s v="Nu"/>
  </r>
  <r>
    <x v="143"/>
    <x v="80"/>
    <n v="5389083"/>
    <n v="26945.414999999997"/>
    <x v="99"/>
    <x v="4"/>
    <d v="1899-12-30T05:58:00"/>
    <x v="2"/>
    <x v="22"/>
    <s v="Nu"/>
  </r>
  <r>
    <x v="101"/>
    <x v="52"/>
    <n v="5388837"/>
    <n v="26944.185000000001"/>
    <x v="68"/>
    <x v="4"/>
    <d v="1899-12-30T03:30:00"/>
    <x v="5"/>
    <x v="18"/>
    <s v="Nu"/>
  </r>
  <r>
    <x v="199"/>
    <x v="8"/>
    <n v="5383428"/>
    <n v="26917.14"/>
    <x v="69"/>
    <x v="4"/>
    <d v="1899-12-30T02:44:00"/>
    <x v="3"/>
    <x v="1"/>
    <s v="Nu"/>
  </r>
  <r>
    <x v="237"/>
    <x v="138"/>
    <n v="5381038"/>
    <n v="26905.19"/>
    <x v="121"/>
    <x v="4"/>
    <d v="1899-12-30T04:56:00"/>
    <x v="0"/>
    <x v="1"/>
    <s v="Da"/>
  </r>
  <r>
    <x v="187"/>
    <x v="113"/>
    <n v="5380811"/>
    <n v="26904.055"/>
    <x v="59"/>
    <x v="4"/>
    <d v="1899-12-30T02:36:00"/>
    <x v="1"/>
    <x v="2"/>
    <s v="Nu"/>
  </r>
  <r>
    <x v="195"/>
    <x v="96"/>
    <n v="5377017"/>
    <n v="26885.084999999999"/>
    <x v="67"/>
    <x v="4"/>
    <d v="1899-12-30T03:18:00"/>
    <x v="1"/>
    <x v="19"/>
    <s v="Nu"/>
  </r>
  <r>
    <x v="166"/>
    <x v="99"/>
    <n v="5355014"/>
    <n v="26775.07"/>
    <x v="18"/>
    <x v="4"/>
    <d v="1899-12-30T02:53:00"/>
    <x v="3"/>
    <x v="0"/>
    <s v="Nu"/>
  </r>
  <r>
    <x v="248"/>
    <x v="144"/>
    <n v="5336586"/>
    <n v="26682.93"/>
    <x v="127"/>
    <x v="4"/>
    <d v="1899-12-30T03:23:00"/>
    <x v="0"/>
    <x v="2"/>
    <s v="Nu"/>
  </r>
  <r>
    <x v="165"/>
    <x v="98"/>
    <n v="5328742"/>
    <n v="26643.71"/>
    <x v="111"/>
    <x v="4"/>
    <d v="1899-12-30T03:28:00"/>
    <x v="1"/>
    <x v="1"/>
    <s v="Nu"/>
  </r>
  <r>
    <x v="194"/>
    <x v="118"/>
    <n v="5292411"/>
    <n v="26462.055"/>
    <x v="66"/>
    <x v="4"/>
    <d v="1899-12-30T04:02:00"/>
    <x v="1"/>
    <x v="1"/>
    <s v="Nu"/>
  </r>
  <r>
    <x v="109"/>
    <x v="59"/>
    <n v="5281989"/>
    <n v="26409.945"/>
    <x v="76"/>
    <x v="4"/>
    <d v="1899-12-30T03:46:00"/>
    <x v="0"/>
    <x v="17"/>
    <s v="Nu"/>
  </r>
  <r>
    <x v="155"/>
    <x v="89"/>
    <n v="5263075"/>
    <n v="26315.375"/>
    <x v="105"/>
    <x v="4"/>
    <d v="1899-12-30T03:28:00"/>
    <x v="1"/>
    <x v="6"/>
    <s v="Da"/>
  </r>
  <r>
    <x v="278"/>
    <x v="27"/>
    <n v="5260914"/>
    <n v="26304.57"/>
    <x v="142"/>
    <x v="4"/>
    <d v="1899-12-30T02:58:00"/>
    <x v="0"/>
    <x v="2"/>
    <s v="Nu"/>
  </r>
  <r>
    <x v="193"/>
    <x v="117"/>
    <n v="5252128"/>
    <n v="26260.639999999999"/>
    <x v="65"/>
    <x v="4"/>
    <d v="1899-12-30T03:49:00"/>
    <x v="7"/>
    <x v="26"/>
    <s v="Nu"/>
  </r>
  <r>
    <x v="186"/>
    <x v="24"/>
    <n v="5213828"/>
    <n v="26069.140000000003"/>
    <x v="58"/>
    <x v="4"/>
    <d v="1899-12-30T03:50:00"/>
    <x v="1"/>
    <x v="7"/>
    <s v="Nu"/>
  </r>
  <r>
    <x v="279"/>
    <x v="9"/>
    <n v="5202781"/>
    <n v="26013.904999999999"/>
    <x v="143"/>
    <x v="4"/>
    <d v="1899-12-30T02:21:00"/>
    <x v="3"/>
    <x v="7"/>
    <s v="Nu"/>
  </r>
  <r>
    <x v="147"/>
    <x v="84"/>
    <n v="5199617"/>
    <n v="25998.084999999999"/>
    <x v="103"/>
    <x v="4"/>
    <d v="1899-12-30T03:21:00"/>
    <x v="1"/>
    <x v="11"/>
    <s v="Da"/>
  </r>
  <r>
    <x v="280"/>
    <x v="154"/>
    <n v="5197568"/>
    <n v="25987.84"/>
    <x v="18"/>
    <x v="4"/>
    <d v="1899-12-30T02:33:00"/>
    <x v="1"/>
    <x v="1"/>
    <s v="Nu"/>
  </r>
  <r>
    <x v="234"/>
    <x v="135"/>
    <n v="5191972"/>
    <n v="25959.86"/>
    <x v="119"/>
    <x v="4"/>
    <d v="1899-12-30T03:56:00"/>
    <x v="0"/>
    <x v="1"/>
    <s v="Nu"/>
  </r>
  <r>
    <x v="281"/>
    <x v="123"/>
    <n v="5181671"/>
    <n v="25908.355000000003"/>
    <x v="55"/>
    <x v="4"/>
    <d v="1899-12-30T02:30:00"/>
    <x v="0"/>
    <x v="1"/>
    <s v="Nu"/>
  </r>
  <r>
    <x v="144"/>
    <x v="81"/>
    <n v="5178174"/>
    <n v="25890.87"/>
    <x v="50"/>
    <x v="4"/>
    <d v="1899-12-30T02:18:00"/>
    <x v="1"/>
    <x v="2"/>
    <s v="Nu"/>
  </r>
  <r>
    <x v="282"/>
    <x v="102"/>
    <n v="5170773"/>
    <n v="25853.865000000002"/>
    <x v="144"/>
    <x v="4"/>
    <d v="1899-12-30T05:59:00"/>
    <x v="3"/>
    <x v="11"/>
    <s v="Nu"/>
  </r>
  <r>
    <x v="243"/>
    <x v="123"/>
    <n v="5170252"/>
    <n v="25851.260000000002"/>
    <x v="1"/>
    <x v="4"/>
    <d v="1899-12-30T03:21:00"/>
    <x v="0"/>
    <x v="1"/>
    <s v="Nu"/>
  </r>
  <r>
    <x v="110"/>
    <x v="60"/>
    <n v="5154356"/>
    <n v="25771.78"/>
    <x v="77"/>
    <x v="4"/>
    <d v="1899-12-30T03:58:00"/>
    <x v="2"/>
    <x v="1"/>
    <s v="Nu"/>
  </r>
  <r>
    <x v="283"/>
    <x v="139"/>
    <n v="5127066"/>
    <n v="25635.329999999998"/>
    <x v="50"/>
    <x v="4"/>
    <d v="1899-12-30T05:23:00"/>
    <x v="1"/>
    <x v="1"/>
    <s v="Da"/>
  </r>
  <r>
    <x v="172"/>
    <x v="16"/>
    <n v="5123926"/>
    <n v="25619.63"/>
    <x v="112"/>
    <x v="4"/>
    <d v="1899-12-30T03:31:00"/>
    <x v="8"/>
    <x v="6"/>
    <s v="Nu"/>
  </r>
  <r>
    <x v="284"/>
    <x v="155"/>
    <n v="5061858"/>
    <n v="25309.29"/>
    <x v="80"/>
    <x v="4"/>
    <d v="1899-12-30T04:21:00"/>
    <x v="8"/>
    <x v="1"/>
    <s v="Nu"/>
  </r>
  <r>
    <x v="142"/>
    <x v="79"/>
    <n v="5055761"/>
    <n v="25278.805"/>
    <x v="100"/>
    <x v="4"/>
    <d v="1899-12-30T02:44:00"/>
    <x v="1"/>
    <x v="21"/>
    <s v="Nu"/>
  </r>
  <r>
    <x v="198"/>
    <x v="120"/>
    <n v="5048295"/>
    <n v="25241.474999999999"/>
    <x v="7"/>
    <x v="4"/>
    <d v="1899-12-30T03:23:00"/>
    <x v="1"/>
    <x v="1"/>
    <s v="Da"/>
  </r>
  <r>
    <x v="249"/>
    <x v="145"/>
    <n v="5024228"/>
    <n v="25121.14"/>
    <x v="128"/>
    <x v="4"/>
    <d v="1899-12-30T03:21:00"/>
    <x v="3"/>
    <x v="4"/>
    <s v="Nu"/>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883B76-2289-BB43-98DB-83637514649D}" name="PivotTable8"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4:E19" firstHeaderRow="1" firstDataRow="3" firstDataCol="1"/>
  <pivotFields count="12">
    <pivotField axis="axisRow" multipleItemSelectionAllowed="1" showAll="0">
      <items count="286">
        <item x="42"/>
        <item x="181"/>
        <item x="47"/>
        <item x="234"/>
        <item x="240"/>
        <item x="129"/>
        <item x="256"/>
        <item x="177"/>
        <item x="259"/>
        <item x="61"/>
        <item x="179"/>
        <item x="242"/>
        <item x="127"/>
        <item x="278"/>
        <item x="60"/>
        <item x="248"/>
        <item x="140"/>
        <item x="226"/>
        <item x="41"/>
        <item x="161"/>
        <item x="118"/>
        <item x="159"/>
        <item x="72"/>
        <item x="272"/>
        <item x="199"/>
        <item x="2"/>
        <item x="232"/>
        <item x="117"/>
        <item x="121"/>
        <item x="3"/>
        <item x="25"/>
        <item x="111"/>
        <item x="158"/>
        <item x="160"/>
        <item x="281"/>
        <item x="34"/>
        <item x="162"/>
        <item x="274"/>
        <item x="139"/>
        <item x="114"/>
        <item x="141"/>
        <item x="30"/>
        <item x="32"/>
        <item x="218"/>
        <item x="101"/>
        <item x="104"/>
        <item x="113"/>
        <item x="68"/>
        <item x="83"/>
        <item x="175"/>
        <item x="48"/>
        <item x="154"/>
        <item x="64"/>
        <item x="115"/>
        <item x="188"/>
        <item x="87"/>
        <item x="216"/>
        <item x="38"/>
        <item x="214"/>
        <item x="78"/>
        <item x="62"/>
        <item x="267"/>
        <item x="91"/>
        <item x="103"/>
        <item x="51"/>
        <item x="82"/>
        <item x="229"/>
        <item x="97"/>
        <item x="187"/>
        <item x="45"/>
        <item x="71"/>
        <item x="137"/>
        <item x="133"/>
        <item x="239"/>
        <item x="54"/>
        <item x="185"/>
        <item x="265"/>
        <item x="203"/>
        <item x="35"/>
        <item x="261"/>
        <item x="81"/>
        <item x="171"/>
        <item x="170"/>
        <item x="125"/>
        <item x="257"/>
        <item x="76"/>
        <item x="65"/>
        <item x="191"/>
        <item x="190"/>
        <item x="264"/>
        <item x="50"/>
        <item x="205"/>
        <item x="28"/>
        <item x="6"/>
        <item x="169"/>
        <item x="151"/>
        <item x="57"/>
        <item x="10"/>
        <item x="231"/>
        <item x="227"/>
        <item x="186"/>
        <item x="134"/>
        <item x="106"/>
        <item x="105"/>
        <item x="16"/>
        <item x="146"/>
        <item x="33"/>
        <item x="143"/>
        <item x="172"/>
        <item x="269"/>
        <item x="4"/>
        <item x="89"/>
        <item x="79"/>
        <item x="268"/>
        <item x="20"/>
        <item x="180"/>
        <item x="258"/>
        <item x="43"/>
        <item x="251"/>
        <item x="1"/>
        <item x="249"/>
        <item x="9"/>
        <item x="75"/>
        <item x="70"/>
        <item x="56"/>
        <item x="156"/>
        <item x="194"/>
        <item x="27"/>
        <item x="235"/>
        <item x="40"/>
        <item x="126"/>
        <item x="192"/>
        <item x="55"/>
        <item x="13"/>
        <item x="206"/>
        <item x="196"/>
        <item x="207"/>
        <item x="86"/>
        <item x="52"/>
        <item x="148"/>
        <item x="123"/>
        <item x="23"/>
        <item x="212"/>
        <item x="244"/>
        <item x="204"/>
        <item x="80"/>
        <item x="99"/>
        <item x="77"/>
        <item x="223"/>
        <item x="92"/>
        <item x="252"/>
        <item x="209"/>
        <item x="217"/>
        <item x="224"/>
        <item x="58"/>
        <item x="119"/>
        <item x="166"/>
        <item x="280"/>
        <item x="210"/>
        <item x="168"/>
        <item x="108"/>
        <item x="63"/>
        <item x="198"/>
        <item x="236"/>
        <item x="228"/>
        <item x="12"/>
        <item x="74"/>
        <item x="18"/>
        <item x="157"/>
        <item x="110"/>
        <item x="245"/>
        <item x="273"/>
        <item x="253"/>
        <item x="7"/>
        <item x="193"/>
        <item x="67"/>
        <item x="36"/>
        <item x="230"/>
        <item x="247"/>
        <item x="225"/>
        <item x="282"/>
        <item x="237"/>
        <item x="11"/>
        <item x="29"/>
        <item x="107"/>
        <item x="271"/>
        <item x="222"/>
        <item x="135"/>
        <item x="176"/>
        <item x="250"/>
        <item x="73"/>
        <item x="213"/>
        <item x="37"/>
        <item x="26"/>
        <item x="5"/>
        <item x="128"/>
        <item x="39"/>
        <item x="255"/>
        <item x="93"/>
        <item x="116"/>
        <item x="15"/>
        <item x="49"/>
        <item x="22"/>
        <item x="145"/>
        <item x="96"/>
        <item x="260"/>
        <item x="254"/>
        <item x="109"/>
        <item x="102"/>
        <item x="144"/>
        <item x="182"/>
        <item x="44"/>
        <item x="183"/>
        <item x="164"/>
        <item x="197"/>
        <item x="138"/>
        <item x="165"/>
        <item x="84"/>
        <item x="94"/>
        <item x="98"/>
        <item x="31"/>
        <item x="184"/>
        <item x="211"/>
        <item x="150"/>
        <item x="276"/>
        <item x="279"/>
        <item x="174"/>
        <item x="131"/>
        <item x="120"/>
        <item x="246"/>
        <item x="201"/>
        <item x="132"/>
        <item x="53"/>
        <item x="90"/>
        <item x="0"/>
        <item x="189"/>
        <item x="66"/>
        <item x="219"/>
        <item x="130"/>
        <item x="85"/>
        <item x="173"/>
        <item x="21"/>
        <item x="221"/>
        <item x="149"/>
        <item x="122"/>
        <item x="100"/>
        <item x="200"/>
        <item x="88"/>
        <item x="163"/>
        <item x="238"/>
        <item x="266"/>
        <item x="136"/>
        <item x="167"/>
        <item x="69"/>
        <item x="14"/>
        <item x="277"/>
        <item x="24"/>
        <item x="241"/>
        <item x="220"/>
        <item x="95"/>
        <item x="152"/>
        <item x="233"/>
        <item x="46"/>
        <item x="17"/>
        <item x="195"/>
        <item x="155"/>
        <item x="59"/>
        <item x="202"/>
        <item x="215"/>
        <item x="243"/>
        <item x="208"/>
        <item x="283"/>
        <item x="124"/>
        <item x="8"/>
        <item x="284"/>
        <item x="147"/>
        <item x="270"/>
        <item x="262"/>
        <item x="178"/>
        <item x="19"/>
        <item x="153"/>
        <item x="263"/>
        <item x="112"/>
        <item x="275"/>
        <item x="142"/>
        <item t="default"/>
      </items>
    </pivotField>
    <pivotField axis="axisRow" showAll="0" sortType="descending">
      <items count="157">
        <item h="1" x="137"/>
        <item h="1" x="87"/>
        <item x="118"/>
        <item h="1" x="68"/>
        <item h="1" x="147"/>
        <item h="1" x="97"/>
        <item h="1" x="120"/>
        <item h="1" x="86"/>
        <item h="1" x="62"/>
        <item h="1" x="94"/>
        <item h="1" x="30"/>
        <item h="1" x="39"/>
        <item h="1" x="25"/>
        <item h="1" x="126"/>
        <item h="1" x="13"/>
        <item h="1" x="112"/>
        <item h="1" x="43"/>
        <item h="1" x="142"/>
        <item h="1" x="0"/>
        <item h="1" x="125"/>
        <item h="1" x="123"/>
        <item h="1" x="88"/>
        <item h="1" x="75"/>
        <item h="1" x="49"/>
        <item h="1" x="69"/>
        <item h="1" x="38"/>
        <item h="1" x="145"/>
        <item h="1" x="100"/>
        <item h="1" x="45"/>
        <item h="1" x="22"/>
        <item h="1" x="54"/>
        <item h="1" x="26"/>
        <item h="1" x="32"/>
        <item h="1" x="107"/>
        <item h="1" x="93"/>
        <item h="1" x="28"/>
        <item h="1" x="36"/>
        <item h="1" x="41"/>
        <item h="1" x="98"/>
        <item h="1" x="130"/>
        <item h="1" x="114"/>
        <item h="1" x="31"/>
        <item h="1" x="9"/>
        <item h="1" x="146"/>
        <item h="1" x="95"/>
        <item h="1" x="60"/>
        <item h="1" x="53"/>
        <item h="1" x="105"/>
        <item h="1" x="48"/>
        <item h="1" x="6"/>
        <item h="1" x="121"/>
        <item h="1" x="155"/>
        <item h="1" x="70"/>
        <item h="1" x="20"/>
        <item h="1" x="77"/>
        <item h="1" x="21"/>
        <item h="1" x="73"/>
        <item h="1" x="66"/>
        <item h="1" x="132"/>
        <item h="1" x="82"/>
        <item h="1" x="134"/>
        <item h="1" x="150"/>
        <item h="1" x="35"/>
        <item h="1" x="44"/>
        <item h="1" x="64"/>
        <item h="1" x="84"/>
        <item h="1" x="34"/>
        <item h="1" x="129"/>
        <item h="1" x="3"/>
        <item h="1" x="24"/>
        <item h="1" x="81"/>
        <item h="1" x="90"/>
        <item h="1" x="128"/>
        <item h="1" x="101"/>
        <item h="1" x="42"/>
        <item h="1" x="122"/>
        <item h="1" x="110"/>
        <item h="1" x="1"/>
        <item h="1" x="47"/>
        <item h="1" x="104"/>
        <item h="1" x="117"/>
        <item h="1" x="71"/>
        <item h="1" x="4"/>
        <item h="1" x="67"/>
        <item h="1" x="108"/>
        <item h="1" x="51"/>
        <item h="1" x="16"/>
        <item h="1" x="154"/>
        <item h="1" x="151"/>
        <item h="1" x="144"/>
        <item h="1" x="52"/>
        <item h="1" x="72"/>
        <item h="1" x="58"/>
        <item h="1" x="133"/>
        <item h="1" x="127"/>
        <item h="1" x="59"/>
        <item h="1" x="80"/>
        <item h="1" x="111"/>
        <item h="1" x="143"/>
        <item h="1" x="14"/>
        <item h="1" x="152"/>
        <item h="1" x="85"/>
        <item h="1" x="19"/>
        <item h="1" x="61"/>
        <item h="1" x="103"/>
        <item h="1" x="92"/>
        <item h="1" x="27"/>
        <item h="1" x="46"/>
        <item h="1" x="102"/>
        <item h="1" x="153"/>
        <item h="1" x="10"/>
        <item h="1" x="57"/>
        <item h="1" x="76"/>
        <item h="1" x="56"/>
        <item h="1" x="113"/>
        <item h="1" x="5"/>
        <item h="1" x="136"/>
        <item h="1" x="139"/>
        <item h="1" x="33"/>
        <item h="1" x="2"/>
        <item h="1" x="135"/>
        <item h="1" x="65"/>
        <item h="1" x="15"/>
        <item h="1" x="89"/>
        <item h="1" x="7"/>
        <item h="1" x="50"/>
        <item h="1" x="119"/>
        <item h="1" x="149"/>
        <item h="1" x="115"/>
        <item h="1" x="83"/>
        <item h="1" x="106"/>
        <item h="1" x="40"/>
        <item h="1" x="124"/>
        <item h="1" x="131"/>
        <item h="1" x="138"/>
        <item h="1" x="29"/>
        <item h="1" x="141"/>
        <item h="1" x="17"/>
        <item h="1" x="23"/>
        <item h="1" x="55"/>
        <item h="1" x="8"/>
        <item h="1" x="91"/>
        <item h="1" x="78"/>
        <item h="1" x="109"/>
        <item h="1" x="116"/>
        <item h="1" x="74"/>
        <item h="1" x="12"/>
        <item h="1" x="18"/>
        <item h="1" x="96"/>
        <item h="1" x="11"/>
        <item h="1" x="79"/>
        <item h="1" x="63"/>
        <item h="1" x="148"/>
        <item h="1" x="99"/>
        <item h="1" x="37"/>
        <item h="1" x="140"/>
        <item t="default"/>
      </items>
      <autoSortScope>
        <pivotArea dataOnly="0" outline="0" fieldPosition="0">
          <references count="1">
            <reference field="4294967294" count="1" selected="0">
              <x v="0"/>
            </reference>
          </references>
        </pivotArea>
      </autoSortScope>
    </pivotField>
    <pivotField dataField="1" showAll="0"/>
    <pivotField showAll="0"/>
    <pivotField numFmtId="14" showAll="0">
      <items count="15">
        <item x="0"/>
        <item x="1"/>
        <item x="2"/>
        <item x="3"/>
        <item x="4"/>
        <item x="5"/>
        <item x="6"/>
        <item x="7"/>
        <item x="8"/>
        <item x="9"/>
        <item x="10"/>
        <item x="11"/>
        <item x="12"/>
        <item x="13"/>
        <item t="default"/>
      </items>
    </pivotField>
    <pivotField dataField="1" numFmtId="14" showAll="0">
      <items count="6">
        <item x="0"/>
        <item x="1"/>
        <item x="2"/>
        <item x="3"/>
        <item x="4"/>
        <item t="default"/>
      </items>
    </pivotField>
    <pivotField showAll="0"/>
    <pivotField showAll="0"/>
    <pivotField axis="axisCol" showAll="0">
      <items count="33">
        <item x="3"/>
        <item x="28"/>
        <item x="11"/>
        <item x="0"/>
        <item x="29"/>
        <item x="18"/>
        <item x="6"/>
        <item x="7"/>
        <item x="13"/>
        <item x="20"/>
        <item x="26"/>
        <item x="21"/>
        <item x="17"/>
        <item x="24"/>
        <item x="10"/>
        <item x="8"/>
        <item x="2"/>
        <item x="9"/>
        <item x="15"/>
        <item x="14"/>
        <item x="12"/>
        <item x="25"/>
        <item x="4"/>
        <item x="5"/>
        <item x="31"/>
        <item x="16"/>
        <item x="1"/>
        <item x="19"/>
        <item x="27"/>
        <item x="22"/>
        <item x="23"/>
        <item x="30"/>
        <item t="default"/>
      </items>
    </pivotField>
    <pivotField showAll="0"/>
    <pivotField showAll="0">
      <items count="7">
        <item x="0"/>
        <item x="1"/>
        <item x="2"/>
        <item x="3"/>
        <item x="4"/>
        <item x="5"/>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2">
    <field x="1"/>
    <field x="0"/>
  </rowFields>
  <rowItems count="3">
    <i>
      <x v="2"/>
    </i>
    <i r="1">
      <x v="126"/>
    </i>
    <i t="grand">
      <x/>
    </i>
  </rowItems>
  <colFields count="2">
    <field x="8"/>
    <field x="-2"/>
  </colFields>
  <colItems count="4">
    <i>
      <x v="26"/>
      <x/>
    </i>
    <i r="1" i="1">
      <x v="1"/>
    </i>
    <i t="grand">
      <x/>
    </i>
    <i t="grand" i="1">
      <x/>
    </i>
  </colItems>
  <dataFields count="2">
    <dataField name="Sum of Numar vizualizari" fld="2" baseField="0" baseItem="0"/>
    <dataField name="Count of Aparitii in top 200" fld="5" subtotal="count" baseField="0" baseItem="0"/>
  </dataFields>
  <formats count="42">
    <format dxfId="174">
      <pivotArea dataOnly="0" labelOnly="1" outline="0" axis="axisValues" fieldPosition="0"/>
    </format>
    <format dxfId="173">
      <pivotArea dataOnly="0" labelOnly="1" outline="0" axis="axisValues" fieldPosition="0"/>
    </format>
    <format dxfId="172">
      <pivotArea dataOnly="0" labelOnly="1" outline="0" axis="axisValues" fieldPosition="0"/>
    </format>
    <format dxfId="171">
      <pivotArea type="all" dataOnly="0" outline="0" fieldPosition="0"/>
    </format>
    <format dxfId="170">
      <pivotArea dataOnly="0" labelOnly="1" outline="0" axis="axisValues" fieldPosition="0"/>
    </format>
    <format dxfId="169">
      <pivotArea outline="0" collapsedLevelsAreSubtotals="1" fieldPosition="0"/>
    </format>
    <format dxfId="168">
      <pivotArea collapsedLevelsAreSubtotals="1" fieldPosition="0">
        <references count="1">
          <reference field="1" count="0"/>
        </references>
      </pivotArea>
    </format>
    <format dxfId="167">
      <pivotArea type="origin" dataOnly="0" labelOnly="1" outline="0" fieldPosition="0"/>
    </format>
    <format dxfId="166">
      <pivotArea field="1" type="button" dataOnly="0" labelOnly="1" outline="0" axis="axisRow" fieldPosition="0"/>
    </format>
    <format dxfId="165">
      <pivotArea dataOnly="0" labelOnly="1" fieldPosition="0">
        <references count="1">
          <reference field="1" count="0"/>
        </references>
      </pivotArea>
    </format>
    <format dxfId="164">
      <pivotArea dataOnly="0" labelOnly="1" grandRow="1" outline="0" fieldPosition="0"/>
    </format>
    <format dxfId="163">
      <pivotArea dataOnly="0" labelOnly="1" fieldPosition="0">
        <references count="2">
          <reference field="0" count="1">
            <x v="263"/>
          </reference>
          <reference field="1" count="0" selected="0"/>
        </references>
      </pivotArea>
    </format>
    <format dxfId="162">
      <pivotArea type="origin" dataOnly="0" labelOnly="1" outline="0" fieldPosition="0"/>
    </format>
    <format dxfId="161">
      <pivotArea field="8" type="button" dataOnly="0" labelOnly="1" outline="0" axis="axisCol" fieldPosition="0"/>
    </format>
    <format dxfId="160">
      <pivotArea field="-2" type="button" dataOnly="0" labelOnly="1" outline="0" axis="axisCol" fieldPosition="1"/>
    </format>
    <format dxfId="159">
      <pivotArea type="topRight" dataOnly="0" labelOnly="1" outline="0" fieldPosition="0"/>
    </format>
    <format dxfId="158">
      <pivotArea field="1" type="button" dataOnly="0" labelOnly="1" outline="0" axis="axisRow" fieldPosition="0"/>
    </format>
    <format dxfId="157">
      <pivotArea dataOnly="0" labelOnly="1" fieldPosition="0">
        <references count="1">
          <reference field="8" count="1">
            <x v="16"/>
          </reference>
        </references>
      </pivotArea>
    </format>
    <format dxfId="156">
      <pivotArea field="8" dataOnly="0" labelOnly="1" grandCol="1" outline="0" axis="axisCol" fieldPosition="0">
        <references count="1">
          <reference field="4294967294" count="1" selected="0">
            <x v="0"/>
          </reference>
        </references>
      </pivotArea>
    </format>
    <format dxfId="155">
      <pivotArea field="8" dataOnly="0" labelOnly="1" grandCol="1" outline="0" axis="axisCol" fieldPosition="0">
        <references count="1">
          <reference field="4294967294" count="1" selected="0">
            <x v="1"/>
          </reference>
        </references>
      </pivotArea>
    </format>
    <format dxfId="154">
      <pivotArea dataOnly="0" labelOnly="1" outline="0" fieldPosition="0">
        <references count="2">
          <reference field="4294967294" count="2">
            <x v="0"/>
            <x v="1"/>
          </reference>
          <reference field="8" count="1" selected="0">
            <x v="16"/>
          </reference>
        </references>
      </pivotArea>
    </format>
    <format dxfId="153">
      <pivotArea type="origin" dataOnly="0" labelOnly="1" outline="0" fieldPosition="0"/>
    </format>
    <format dxfId="152">
      <pivotArea field="8" type="button" dataOnly="0" labelOnly="1" outline="0" axis="axisCol" fieldPosition="0"/>
    </format>
    <format dxfId="151">
      <pivotArea field="-2" type="button" dataOnly="0" labelOnly="1" outline="0" axis="axisCol" fieldPosition="1"/>
    </format>
    <format dxfId="150">
      <pivotArea type="topRight" dataOnly="0" labelOnly="1" outline="0" fieldPosition="0"/>
    </format>
    <format dxfId="149">
      <pivotArea field="1" type="button" dataOnly="0" labelOnly="1" outline="0" axis="axisRow" fieldPosition="0"/>
    </format>
    <format dxfId="148">
      <pivotArea dataOnly="0" labelOnly="1" fieldPosition="0">
        <references count="1">
          <reference field="8" count="1">
            <x v="16"/>
          </reference>
        </references>
      </pivotArea>
    </format>
    <format dxfId="147">
      <pivotArea field="8" dataOnly="0" labelOnly="1" grandCol="1" outline="0" axis="axisCol" fieldPosition="0">
        <references count="1">
          <reference field="4294967294" count="1" selected="0">
            <x v="0"/>
          </reference>
        </references>
      </pivotArea>
    </format>
    <format dxfId="146">
      <pivotArea field="8" dataOnly="0" labelOnly="1" grandCol="1" outline="0" axis="axisCol" fieldPosition="0">
        <references count="1">
          <reference field="4294967294" count="1" selected="0">
            <x v="1"/>
          </reference>
        </references>
      </pivotArea>
    </format>
    <format dxfId="145">
      <pivotArea dataOnly="0" labelOnly="1" outline="0" fieldPosition="0">
        <references count="2">
          <reference field="4294967294" count="2">
            <x v="0"/>
            <x v="1"/>
          </reference>
          <reference field="8" count="1" selected="0">
            <x v="16"/>
          </reference>
        </references>
      </pivotArea>
    </format>
    <format dxfId="144">
      <pivotArea grandRow="1" outline="0" collapsedLevelsAreSubtotals="1" fieldPosition="0"/>
    </format>
    <format dxfId="143">
      <pivotArea dataOnly="0" labelOnly="1" grandRow="1" outline="0" fieldPosition="0"/>
    </format>
    <format dxfId="142">
      <pivotArea grandRow="1" outline="0" collapsedLevelsAreSubtotals="1" fieldPosition="0"/>
    </format>
    <format dxfId="141">
      <pivotArea dataOnly="0" labelOnly="1" grandRow="1" outline="0" fieldPosition="0"/>
    </format>
    <format dxfId="140">
      <pivotArea dataOnly="0" labelOnly="1" fieldPosition="0">
        <references count="1">
          <reference field="8" count="1">
            <x v="26"/>
          </reference>
        </references>
      </pivotArea>
    </format>
    <format dxfId="139">
      <pivotArea dataOnly="0" labelOnly="1" outline="0" fieldPosition="0">
        <references count="2">
          <reference field="4294967294" count="2">
            <x v="0"/>
            <x v="1"/>
          </reference>
          <reference field="8" count="1" selected="0">
            <x v="26"/>
          </reference>
        </references>
      </pivotArea>
    </format>
    <format dxfId="138">
      <pivotArea dataOnly="0" labelOnly="1" fieldPosition="0">
        <references count="1">
          <reference field="8" count="1">
            <x v="26"/>
          </reference>
        </references>
      </pivotArea>
    </format>
    <format dxfId="137">
      <pivotArea dataOnly="0" labelOnly="1" outline="0" fieldPosition="0">
        <references count="2">
          <reference field="4294967294" count="2">
            <x v="0"/>
            <x v="1"/>
          </reference>
          <reference field="8" count="1" selected="0">
            <x v="26"/>
          </reference>
        </references>
      </pivotArea>
    </format>
    <format dxfId="136">
      <pivotArea dataOnly="0" labelOnly="1" fieldPosition="0">
        <references count="1">
          <reference field="8" count="1">
            <x v="6"/>
          </reference>
        </references>
      </pivotArea>
    </format>
    <format dxfId="135">
      <pivotArea dataOnly="0" labelOnly="1" outline="0" fieldPosition="0">
        <references count="2">
          <reference field="4294967294" count="2">
            <x v="0"/>
            <x v="1"/>
          </reference>
          <reference field="8" count="1" selected="0">
            <x v="6"/>
          </reference>
        </references>
      </pivotArea>
    </format>
    <format dxfId="134">
      <pivotArea dataOnly="0" labelOnly="1" fieldPosition="0">
        <references count="1">
          <reference field="8" count="1">
            <x v="6"/>
          </reference>
        </references>
      </pivotArea>
    </format>
    <format dxfId="133">
      <pivotArea dataOnly="0" labelOnly="1" outline="0" fieldPosition="0">
        <references count="2">
          <reference field="4294967294" count="2">
            <x v="0"/>
            <x v="1"/>
          </reference>
          <reference field="8"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378285-826C-E543-ACDA-9CC2B2004115}" name="PivotTable9"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J14:K20" firstHeaderRow="1" firstDataRow="1" firstDataCol="1"/>
  <pivotFields count="12">
    <pivotField multipleItemSelectionAllowed="1" showAll="0">
      <items count="286">
        <item x="42"/>
        <item x="181"/>
        <item x="47"/>
        <item x="234"/>
        <item x="240"/>
        <item x="129"/>
        <item x="256"/>
        <item x="177"/>
        <item x="259"/>
        <item x="61"/>
        <item x="179"/>
        <item x="242"/>
        <item x="127"/>
        <item x="278"/>
        <item x="60"/>
        <item x="248"/>
        <item x="140"/>
        <item x="226"/>
        <item x="41"/>
        <item x="161"/>
        <item x="118"/>
        <item x="159"/>
        <item x="72"/>
        <item x="272"/>
        <item x="199"/>
        <item x="2"/>
        <item x="232"/>
        <item x="117"/>
        <item x="121"/>
        <item x="3"/>
        <item x="25"/>
        <item x="111"/>
        <item x="158"/>
        <item x="160"/>
        <item x="281"/>
        <item x="34"/>
        <item x="162"/>
        <item x="274"/>
        <item x="139"/>
        <item x="114"/>
        <item x="141"/>
        <item x="30"/>
        <item x="32"/>
        <item x="218"/>
        <item x="101"/>
        <item x="104"/>
        <item x="113"/>
        <item x="68"/>
        <item x="83"/>
        <item x="175"/>
        <item x="48"/>
        <item x="154"/>
        <item x="64"/>
        <item x="115"/>
        <item x="188"/>
        <item x="87"/>
        <item x="216"/>
        <item x="38"/>
        <item x="214"/>
        <item x="78"/>
        <item x="62"/>
        <item x="267"/>
        <item x="91"/>
        <item x="103"/>
        <item x="51"/>
        <item x="82"/>
        <item x="229"/>
        <item x="97"/>
        <item x="187"/>
        <item x="45"/>
        <item x="71"/>
        <item x="137"/>
        <item x="133"/>
        <item x="239"/>
        <item x="54"/>
        <item x="185"/>
        <item x="265"/>
        <item x="203"/>
        <item x="35"/>
        <item x="261"/>
        <item x="81"/>
        <item x="171"/>
        <item x="170"/>
        <item x="125"/>
        <item x="257"/>
        <item x="76"/>
        <item x="65"/>
        <item x="191"/>
        <item x="190"/>
        <item x="264"/>
        <item x="50"/>
        <item x="205"/>
        <item x="28"/>
        <item x="6"/>
        <item x="169"/>
        <item x="151"/>
        <item x="57"/>
        <item x="10"/>
        <item x="231"/>
        <item x="227"/>
        <item x="186"/>
        <item x="134"/>
        <item x="106"/>
        <item x="105"/>
        <item x="16"/>
        <item x="146"/>
        <item x="33"/>
        <item x="143"/>
        <item x="172"/>
        <item x="269"/>
        <item x="4"/>
        <item x="89"/>
        <item x="79"/>
        <item x="268"/>
        <item x="20"/>
        <item x="180"/>
        <item x="258"/>
        <item x="43"/>
        <item x="251"/>
        <item x="1"/>
        <item x="249"/>
        <item x="9"/>
        <item x="75"/>
        <item x="70"/>
        <item x="56"/>
        <item x="156"/>
        <item x="194"/>
        <item x="27"/>
        <item x="235"/>
        <item x="40"/>
        <item x="126"/>
        <item x="192"/>
        <item x="55"/>
        <item x="13"/>
        <item x="206"/>
        <item x="196"/>
        <item x="207"/>
        <item x="86"/>
        <item x="52"/>
        <item x="148"/>
        <item x="123"/>
        <item x="23"/>
        <item x="212"/>
        <item x="244"/>
        <item x="204"/>
        <item x="80"/>
        <item x="99"/>
        <item x="77"/>
        <item x="223"/>
        <item x="92"/>
        <item x="252"/>
        <item x="209"/>
        <item x="217"/>
        <item x="224"/>
        <item x="58"/>
        <item x="119"/>
        <item x="166"/>
        <item x="280"/>
        <item x="210"/>
        <item x="168"/>
        <item x="108"/>
        <item x="63"/>
        <item x="198"/>
        <item x="236"/>
        <item x="228"/>
        <item x="12"/>
        <item x="74"/>
        <item x="18"/>
        <item x="157"/>
        <item x="110"/>
        <item x="245"/>
        <item x="273"/>
        <item x="253"/>
        <item x="7"/>
        <item x="193"/>
        <item x="67"/>
        <item x="36"/>
        <item x="230"/>
        <item x="247"/>
        <item x="225"/>
        <item x="282"/>
        <item x="237"/>
        <item x="11"/>
        <item x="29"/>
        <item x="107"/>
        <item x="271"/>
        <item x="222"/>
        <item x="135"/>
        <item x="176"/>
        <item x="250"/>
        <item x="73"/>
        <item x="213"/>
        <item x="37"/>
        <item x="26"/>
        <item x="5"/>
        <item x="128"/>
        <item x="39"/>
        <item x="255"/>
        <item x="93"/>
        <item x="116"/>
        <item x="15"/>
        <item x="49"/>
        <item x="22"/>
        <item x="145"/>
        <item x="96"/>
        <item x="260"/>
        <item x="254"/>
        <item x="109"/>
        <item x="102"/>
        <item x="144"/>
        <item x="182"/>
        <item x="44"/>
        <item x="183"/>
        <item x="164"/>
        <item x="197"/>
        <item x="138"/>
        <item x="165"/>
        <item x="84"/>
        <item x="94"/>
        <item x="98"/>
        <item x="31"/>
        <item x="184"/>
        <item x="211"/>
        <item x="150"/>
        <item x="276"/>
        <item x="279"/>
        <item x="174"/>
        <item x="131"/>
        <item x="120"/>
        <item x="246"/>
        <item x="201"/>
        <item x="132"/>
        <item x="53"/>
        <item x="90"/>
        <item x="0"/>
        <item x="189"/>
        <item x="66"/>
        <item x="219"/>
        <item x="130"/>
        <item x="85"/>
        <item x="173"/>
        <item x="21"/>
        <item x="221"/>
        <item x="149"/>
        <item x="122"/>
        <item x="100"/>
        <item x="200"/>
        <item x="88"/>
        <item x="163"/>
        <item x="238"/>
        <item x="266"/>
        <item x="136"/>
        <item x="167"/>
        <item x="69"/>
        <item x="14"/>
        <item x="277"/>
        <item x="24"/>
        <item x="241"/>
        <item x="220"/>
        <item x="95"/>
        <item x="152"/>
        <item x="233"/>
        <item x="46"/>
        <item x="17"/>
        <item x="195"/>
        <item x="155"/>
        <item x="59"/>
        <item x="202"/>
        <item x="215"/>
        <item x="243"/>
        <item x="208"/>
        <item x="283"/>
        <item x="124"/>
        <item x="8"/>
        <item x="284"/>
        <item x="147"/>
        <item x="270"/>
        <item x="262"/>
        <item x="178"/>
        <item x="19"/>
        <item x="153"/>
        <item x="263"/>
        <item x="112"/>
        <item x="275"/>
        <item x="142"/>
        <item t="default"/>
      </items>
    </pivotField>
    <pivotField axis="axisRow" showAll="0">
      <items count="157">
        <item h="1" x="140"/>
        <item h="1" x="37"/>
        <item h="1" x="99"/>
        <item h="1" x="148"/>
        <item h="1" x="63"/>
        <item h="1" x="79"/>
        <item h="1" x="11"/>
        <item h="1" x="96"/>
        <item h="1" x="18"/>
        <item h="1" x="12"/>
        <item h="1" x="74"/>
        <item h="1" x="116"/>
        <item h="1" x="109"/>
        <item h="1" x="78"/>
        <item h="1" x="91"/>
        <item h="1" x="8"/>
        <item h="1" x="55"/>
        <item h="1" x="23"/>
        <item h="1" x="17"/>
        <item h="1" x="141"/>
        <item h="1" x="29"/>
        <item h="1" x="138"/>
        <item h="1" x="131"/>
        <item h="1" x="124"/>
        <item h="1" x="40"/>
        <item h="1" x="106"/>
        <item h="1" x="83"/>
        <item h="1" x="115"/>
        <item h="1" x="149"/>
        <item h="1" x="119"/>
        <item h="1" x="50"/>
        <item h="1" x="7"/>
        <item h="1" x="89"/>
        <item h="1" x="15"/>
        <item h="1" x="65"/>
        <item h="1" x="135"/>
        <item h="1" x="2"/>
        <item h="1" x="33"/>
        <item h="1" x="139"/>
        <item h="1" x="136"/>
        <item h="1" x="5"/>
        <item h="1" x="113"/>
        <item h="1" x="56"/>
        <item h="1" x="76"/>
        <item h="1" x="57"/>
        <item h="1" x="10"/>
        <item h="1" x="153"/>
        <item h="1" x="102"/>
        <item h="1" x="46"/>
        <item h="1" x="27"/>
        <item h="1" x="92"/>
        <item h="1" x="103"/>
        <item h="1" x="61"/>
        <item h="1" x="19"/>
        <item h="1" x="85"/>
        <item h="1" x="152"/>
        <item h="1" x="14"/>
        <item h="1" x="143"/>
        <item h="1" x="111"/>
        <item h="1" x="80"/>
        <item h="1" x="59"/>
        <item h="1" x="127"/>
        <item h="1" x="133"/>
        <item h="1" x="58"/>
        <item h="1" x="72"/>
        <item h="1" x="52"/>
        <item h="1" x="144"/>
        <item h="1" x="151"/>
        <item h="1" x="154"/>
        <item h="1" x="16"/>
        <item h="1" x="51"/>
        <item h="1" x="108"/>
        <item h="1" x="67"/>
        <item h="1" x="4"/>
        <item h="1" x="71"/>
        <item h="1" x="117"/>
        <item h="1" x="104"/>
        <item h="1" x="47"/>
        <item h="1" x="1"/>
        <item h="1" x="110"/>
        <item h="1" x="122"/>
        <item h="1" x="42"/>
        <item h="1" x="101"/>
        <item h="1" x="128"/>
        <item h="1" x="90"/>
        <item h="1" x="81"/>
        <item h="1" x="24"/>
        <item h="1" x="3"/>
        <item h="1" x="129"/>
        <item h="1" x="34"/>
        <item h="1" x="84"/>
        <item h="1" x="64"/>
        <item h="1" x="44"/>
        <item h="1" x="35"/>
        <item h="1" x="150"/>
        <item h="1" x="134"/>
        <item h="1" x="82"/>
        <item h="1" x="132"/>
        <item h="1" x="66"/>
        <item h="1" x="73"/>
        <item h="1" x="21"/>
        <item h="1" x="77"/>
        <item h="1" x="20"/>
        <item h="1" x="70"/>
        <item h="1" x="155"/>
        <item h="1" x="121"/>
        <item h="1" x="6"/>
        <item h="1" x="48"/>
        <item h="1" x="105"/>
        <item h="1" x="53"/>
        <item h="1" x="60"/>
        <item h="1" x="95"/>
        <item h="1" x="146"/>
        <item h="1" x="9"/>
        <item h="1" x="31"/>
        <item h="1" x="114"/>
        <item h="1" x="130"/>
        <item h="1" x="98"/>
        <item h="1" x="41"/>
        <item h="1" x="36"/>
        <item h="1" x="28"/>
        <item h="1" x="93"/>
        <item h="1" x="107"/>
        <item h="1" x="32"/>
        <item h="1" x="26"/>
        <item h="1" x="54"/>
        <item h="1" x="22"/>
        <item h="1" x="45"/>
        <item h="1" x="100"/>
        <item h="1" x="145"/>
        <item h="1" x="38"/>
        <item h="1" x="69"/>
        <item h="1" x="49"/>
        <item h="1" x="75"/>
        <item h="1" x="88"/>
        <item h="1" x="123"/>
        <item h="1" x="125"/>
        <item h="1" x="0"/>
        <item h="1" x="142"/>
        <item h="1" x="43"/>
        <item h="1" x="112"/>
        <item h="1" x="13"/>
        <item h="1" x="126"/>
        <item h="1" x="25"/>
        <item h="1" x="39"/>
        <item h="1" x="30"/>
        <item h="1" x="94"/>
        <item h="1" x="62"/>
        <item h="1" x="86"/>
        <item h="1" x="120"/>
        <item h="1" x="97"/>
        <item h="1" x="147"/>
        <item h="1" x="68"/>
        <item x="118"/>
        <item h="1" x="87"/>
        <item h="1" x="137"/>
        <item t="default"/>
      </items>
    </pivotField>
    <pivotField showAll="0"/>
    <pivotField dataField="1" showAll="0"/>
    <pivotField numFmtId="14" showAll="0">
      <items count="15">
        <item x="0"/>
        <item x="1"/>
        <item x="2"/>
        <item x="3"/>
        <item x="4"/>
        <item x="5"/>
        <item x="6"/>
        <item x="7"/>
        <item x="8"/>
        <item x="9"/>
        <item x="10"/>
        <item x="11"/>
        <item x="12"/>
        <item x="13"/>
        <item t="default"/>
      </items>
    </pivotField>
    <pivotField axis="axisRow" numFmtId="14" showAll="0">
      <items count="6">
        <item x="0"/>
        <item x="1"/>
        <item x="2"/>
        <item x="3"/>
        <item x="4"/>
        <item t="default"/>
      </items>
    </pivotField>
    <pivotField showAll="0"/>
    <pivotField showAll="0">
      <items count="13">
        <item x="11"/>
        <item x="4"/>
        <item x="10"/>
        <item x="9"/>
        <item x="1"/>
        <item x="6"/>
        <item x="7"/>
        <item x="3"/>
        <item x="0"/>
        <item x="5"/>
        <item x="8"/>
        <item x="2"/>
        <item t="default"/>
      </items>
    </pivotField>
    <pivotField showAll="0">
      <items count="33">
        <item x="3"/>
        <item x="28"/>
        <item x="11"/>
        <item x="0"/>
        <item x="29"/>
        <item x="18"/>
        <item x="6"/>
        <item x="7"/>
        <item x="13"/>
        <item x="20"/>
        <item x="26"/>
        <item x="21"/>
        <item x="17"/>
        <item x="24"/>
        <item x="10"/>
        <item x="8"/>
        <item x="2"/>
        <item x="9"/>
        <item x="15"/>
        <item x="14"/>
        <item x="12"/>
        <item x="25"/>
        <item x="4"/>
        <item x="5"/>
        <item x="31"/>
        <item x="16"/>
        <item x="1"/>
        <item x="19"/>
        <item x="27"/>
        <item x="22"/>
        <item x="23"/>
        <item x="30"/>
        <item t="default"/>
      </items>
    </pivotField>
    <pivotField showAll="0"/>
    <pivotField showAll="0">
      <items count="7">
        <item x="0"/>
        <item x="1"/>
        <item x="2"/>
        <item x="3"/>
        <item x="4"/>
        <item x="5"/>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2">
    <field x="1"/>
    <field x="5"/>
  </rowFields>
  <rowItems count="6">
    <i>
      <x v="153"/>
    </i>
    <i r="1">
      <x/>
    </i>
    <i r="1">
      <x v="1"/>
    </i>
    <i r="1">
      <x v="2"/>
    </i>
    <i r="1">
      <x v="4"/>
    </i>
    <i t="grand">
      <x/>
    </i>
  </rowItems>
  <colItems count="1">
    <i/>
  </colItems>
  <dataFields count="1">
    <dataField name="Sum of Venituri (nr vizulizari/1000*5)" fld="3" baseField="0" baseItem="0" numFmtId="168"/>
  </dataFields>
  <formats count="23">
    <format dxfId="197">
      <pivotArea dataOnly="0" labelOnly="1" outline="0" axis="axisValues" fieldPosition="0"/>
    </format>
    <format dxfId="196">
      <pivotArea dataOnly="0" labelOnly="1" outline="0" axis="axisValues" fieldPosition="0"/>
    </format>
    <format dxfId="195">
      <pivotArea dataOnly="0" labelOnly="1" outline="0" axis="axisValues" fieldPosition="0"/>
    </format>
    <format dxfId="194">
      <pivotArea type="all" dataOnly="0" outline="0" fieldPosition="0"/>
    </format>
    <format dxfId="193">
      <pivotArea type="origin" dataOnly="0" labelOnly="1" outline="0" fieldPosition="0"/>
    </format>
    <format dxfId="192">
      <pivotArea field="1" type="button" dataOnly="0" labelOnly="1" outline="0" axis="axisRow" fieldPosition="0"/>
    </format>
    <format dxfId="191">
      <pivotArea dataOnly="0" labelOnly="1" grandRow="1" outline="0" fieldPosition="0"/>
    </format>
    <format dxfId="190">
      <pivotArea type="origin" dataOnly="0" labelOnly="1" outline="0" fieldPosition="0"/>
    </format>
    <format dxfId="189">
      <pivotArea field="8" type="button" dataOnly="0" labelOnly="1" outline="0"/>
    </format>
    <format dxfId="188">
      <pivotArea field="-2" type="button" dataOnly="0" labelOnly="1" outline="0" axis="axisValues" fieldPosition="0"/>
    </format>
    <format dxfId="187">
      <pivotArea type="topRight" dataOnly="0" labelOnly="1" outline="0" fieldPosition="0"/>
    </format>
    <format dxfId="186">
      <pivotArea field="1" type="button" dataOnly="0" labelOnly="1" outline="0" axis="axisRow" fieldPosition="0"/>
    </format>
    <format dxfId="185">
      <pivotArea type="origin" dataOnly="0" labelOnly="1" outline="0" fieldPosition="0"/>
    </format>
    <format dxfId="184">
      <pivotArea field="8" type="button" dataOnly="0" labelOnly="1" outline="0"/>
    </format>
    <format dxfId="183">
      <pivotArea field="-2" type="button" dataOnly="0" labelOnly="1" outline="0" axis="axisValues" fieldPosition="0"/>
    </format>
    <format dxfId="182">
      <pivotArea type="topRight" dataOnly="0" labelOnly="1" outline="0" fieldPosition="0"/>
    </format>
    <format dxfId="181">
      <pivotArea field="1" type="button" dataOnly="0" labelOnly="1" outline="0" axis="axisRow" fieldPosition="0"/>
    </format>
    <format dxfId="180">
      <pivotArea grandRow="1" outline="0" collapsedLevelsAreSubtotals="1" fieldPosition="0"/>
    </format>
    <format dxfId="179">
      <pivotArea dataOnly="0" labelOnly="1" grandRow="1" outline="0" fieldPosition="0"/>
    </format>
    <format dxfId="178">
      <pivotArea grandRow="1" outline="0" collapsedLevelsAreSubtotals="1" fieldPosition="0"/>
    </format>
    <format dxfId="177">
      <pivotArea dataOnly="0" labelOnly="1" grandRow="1" outline="0" fieldPosition="0"/>
    </format>
    <format dxfId="176">
      <pivotArea outline="0" collapsedLevelsAreSubtotals="1" fieldPosition="0"/>
    </format>
    <format dxfId="175">
      <pivotArea dataOnly="0" labelOnly="1" outline="0" axis="axisValues" fieldPosition="0"/>
    </format>
  </formats>
  <chartFormats count="2">
    <chartFormat chart="4" format="2" series="1">
      <pivotArea type="data" outline="0" fieldPosition="0">
        <references count="1">
          <reference field="4294967294" count="1" selected="0">
            <x v="0"/>
          </reference>
        </references>
      </pivotArea>
    </chartFormat>
    <chartFormat chart="4" format="4">
      <pivotArea type="data" outline="0" fieldPosition="0">
        <references count="3">
          <reference field="4294967294" count="1" selected="0">
            <x v="0"/>
          </reference>
          <reference field="1" count="1" selected="0">
            <x v="11"/>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639335-D972-5A4F-9B23-9229608154A0}" name="PivotTable6"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G27:H29" firstHeaderRow="1" firstDataRow="1" firstDataCol="1"/>
  <pivotFields count="12">
    <pivotField multipleItemSelectionAllowed="1" showAll="0">
      <items count="286">
        <item x="42"/>
        <item x="181"/>
        <item x="47"/>
        <item x="234"/>
        <item x="240"/>
        <item x="129"/>
        <item x="256"/>
        <item x="177"/>
        <item x="259"/>
        <item x="61"/>
        <item x="179"/>
        <item x="242"/>
        <item x="127"/>
        <item x="278"/>
        <item x="60"/>
        <item x="248"/>
        <item x="140"/>
        <item x="226"/>
        <item x="41"/>
        <item x="161"/>
        <item x="118"/>
        <item x="159"/>
        <item x="72"/>
        <item x="272"/>
        <item x="199"/>
        <item x="2"/>
        <item x="232"/>
        <item x="117"/>
        <item x="121"/>
        <item x="3"/>
        <item x="25"/>
        <item x="111"/>
        <item x="158"/>
        <item x="160"/>
        <item x="281"/>
        <item x="34"/>
        <item x="162"/>
        <item x="274"/>
        <item x="139"/>
        <item x="114"/>
        <item x="141"/>
        <item x="30"/>
        <item x="32"/>
        <item x="218"/>
        <item x="101"/>
        <item x="104"/>
        <item x="113"/>
        <item x="68"/>
        <item x="83"/>
        <item x="175"/>
        <item x="48"/>
        <item x="154"/>
        <item x="64"/>
        <item x="115"/>
        <item x="188"/>
        <item x="87"/>
        <item x="216"/>
        <item x="38"/>
        <item x="214"/>
        <item x="78"/>
        <item x="62"/>
        <item x="267"/>
        <item x="91"/>
        <item x="103"/>
        <item x="51"/>
        <item x="82"/>
        <item x="229"/>
        <item x="97"/>
        <item x="187"/>
        <item x="45"/>
        <item x="71"/>
        <item x="137"/>
        <item x="133"/>
        <item x="239"/>
        <item x="54"/>
        <item x="185"/>
        <item x="265"/>
        <item x="203"/>
        <item x="35"/>
        <item x="261"/>
        <item x="81"/>
        <item x="171"/>
        <item x="170"/>
        <item x="125"/>
        <item x="257"/>
        <item x="76"/>
        <item x="65"/>
        <item x="191"/>
        <item x="190"/>
        <item x="264"/>
        <item x="50"/>
        <item x="205"/>
        <item x="28"/>
        <item x="6"/>
        <item x="169"/>
        <item x="151"/>
        <item x="57"/>
        <item x="10"/>
        <item x="231"/>
        <item x="227"/>
        <item x="186"/>
        <item x="134"/>
        <item x="106"/>
        <item x="105"/>
        <item x="16"/>
        <item x="146"/>
        <item x="33"/>
        <item x="143"/>
        <item x="172"/>
        <item x="269"/>
        <item x="4"/>
        <item x="89"/>
        <item x="79"/>
        <item x="268"/>
        <item x="20"/>
        <item x="180"/>
        <item x="258"/>
        <item x="43"/>
        <item x="251"/>
        <item x="1"/>
        <item x="249"/>
        <item x="9"/>
        <item x="75"/>
        <item x="70"/>
        <item x="56"/>
        <item x="156"/>
        <item x="194"/>
        <item x="27"/>
        <item x="235"/>
        <item x="40"/>
        <item x="126"/>
        <item x="192"/>
        <item x="55"/>
        <item x="13"/>
        <item x="206"/>
        <item x="196"/>
        <item x="207"/>
        <item x="86"/>
        <item x="52"/>
        <item x="148"/>
        <item x="123"/>
        <item x="23"/>
        <item x="212"/>
        <item x="244"/>
        <item x="204"/>
        <item x="80"/>
        <item x="99"/>
        <item x="77"/>
        <item x="223"/>
        <item x="92"/>
        <item x="252"/>
        <item x="209"/>
        <item x="217"/>
        <item x="224"/>
        <item x="58"/>
        <item x="119"/>
        <item x="166"/>
        <item x="280"/>
        <item x="210"/>
        <item x="168"/>
        <item x="108"/>
        <item x="63"/>
        <item x="198"/>
        <item x="236"/>
        <item x="228"/>
        <item x="12"/>
        <item x="74"/>
        <item x="18"/>
        <item x="157"/>
        <item x="110"/>
        <item x="245"/>
        <item x="273"/>
        <item x="253"/>
        <item x="7"/>
        <item x="193"/>
        <item x="67"/>
        <item x="36"/>
        <item x="230"/>
        <item x="247"/>
        <item x="225"/>
        <item x="282"/>
        <item x="237"/>
        <item x="11"/>
        <item x="29"/>
        <item x="107"/>
        <item x="271"/>
        <item x="222"/>
        <item x="135"/>
        <item x="176"/>
        <item x="250"/>
        <item x="73"/>
        <item x="213"/>
        <item x="37"/>
        <item x="26"/>
        <item x="5"/>
        <item x="128"/>
        <item x="39"/>
        <item x="255"/>
        <item x="93"/>
        <item x="116"/>
        <item x="15"/>
        <item x="49"/>
        <item x="22"/>
        <item x="145"/>
        <item x="96"/>
        <item x="260"/>
        <item x="254"/>
        <item x="109"/>
        <item x="102"/>
        <item x="144"/>
        <item x="182"/>
        <item x="44"/>
        <item x="183"/>
        <item x="164"/>
        <item x="197"/>
        <item x="138"/>
        <item x="165"/>
        <item x="84"/>
        <item x="94"/>
        <item x="98"/>
        <item x="31"/>
        <item x="184"/>
        <item x="211"/>
        <item x="150"/>
        <item x="276"/>
        <item x="279"/>
        <item x="174"/>
        <item x="131"/>
        <item x="120"/>
        <item x="246"/>
        <item x="201"/>
        <item x="132"/>
        <item x="53"/>
        <item x="90"/>
        <item x="0"/>
        <item x="189"/>
        <item x="66"/>
        <item x="219"/>
        <item x="130"/>
        <item x="85"/>
        <item x="173"/>
        <item x="21"/>
        <item x="221"/>
        <item x="149"/>
        <item x="122"/>
        <item x="100"/>
        <item x="200"/>
        <item x="88"/>
        <item x="163"/>
        <item x="238"/>
        <item x="266"/>
        <item x="136"/>
        <item x="167"/>
        <item x="69"/>
        <item x="14"/>
        <item x="277"/>
        <item x="24"/>
        <item x="241"/>
        <item x="220"/>
        <item x="95"/>
        <item x="152"/>
        <item x="233"/>
        <item x="46"/>
        <item x="17"/>
        <item x="195"/>
        <item x="155"/>
        <item x="59"/>
        <item x="202"/>
        <item x="215"/>
        <item x="243"/>
        <item x="208"/>
        <item x="283"/>
        <item x="124"/>
        <item x="8"/>
        <item x="284"/>
        <item x="147"/>
        <item x="270"/>
        <item x="262"/>
        <item x="178"/>
        <item x="19"/>
        <item x="153"/>
        <item x="263"/>
        <item x="112"/>
        <item x="275"/>
        <item x="142"/>
        <item t="default"/>
      </items>
    </pivotField>
    <pivotField axis="axisRow" showAll="0">
      <items count="157">
        <item h="1" x="140"/>
        <item h="1" x="37"/>
        <item h="1" x="99"/>
        <item h="1" x="148"/>
        <item h="1" x="63"/>
        <item h="1" x="79"/>
        <item h="1" x="11"/>
        <item h="1" x="96"/>
        <item h="1" x="18"/>
        <item h="1" x="12"/>
        <item h="1" x="74"/>
        <item h="1" x="116"/>
        <item h="1" x="109"/>
        <item h="1" x="78"/>
        <item h="1" x="91"/>
        <item h="1" x="8"/>
        <item h="1" x="55"/>
        <item h="1" x="23"/>
        <item h="1" x="17"/>
        <item h="1" x="141"/>
        <item h="1" x="29"/>
        <item h="1" x="138"/>
        <item h="1" x="131"/>
        <item h="1" x="124"/>
        <item h="1" x="40"/>
        <item h="1" x="106"/>
        <item h="1" x="83"/>
        <item h="1" x="115"/>
        <item h="1" x="149"/>
        <item h="1" x="119"/>
        <item h="1" x="50"/>
        <item h="1" x="7"/>
        <item h="1" x="89"/>
        <item h="1" x="15"/>
        <item h="1" x="65"/>
        <item h="1" x="135"/>
        <item h="1" x="2"/>
        <item h="1" x="33"/>
        <item h="1" x="139"/>
        <item h="1" x="136"/>
        <item h="1" x="5"/>
        <item h="1" x="113"/>
        <item h="1" x="56"/>
        <item h="1" x="76"/>
        <item h="1" x="57"/>
        <item h="1" x="10"/>
        <item h="1" x="153"/>
        <item h="1" x="102"/>
        <item h="1" x="46"/>
        <item h="1" x="27"/>
        <item h="1" x="92"/>
        <item h="1" x="103"/>
        <item h="1" x="61"/>
        <item h="1" x="19"/>
        <item h="1" x="85"/>
        <item h="1" x="152"/>
        <item h="1" x="14"/>
        <item h="1" x="143"/>
        <item h="1" x="111"/>
        <item h="1" x="80"/>
        <item h="1" x="59"/>
        <item h="1" x="127"/>
        <item h="1" x="133"/>
        <item h="1" x="58"/>
        <item h="1" x="72"/>
        <item h="1" x="52"/>
        <item h="1" x="144"/>
        <item h="1" x="151"/>
        <item h="1" x="154"/>
        <item h="1" x="16"/>
        <item h="1" x="51"/>
        <item h="1" x="108"/>
        <item h="1" x="67"/>
        <item h="1" x="4"/>
        <item h="1" x="71"/>
        <item h="1" x="117"/>
        <item h="1" x="104"/>
        <item h="1" x="47"/>
        <item h="1" x="1"/>
        <item h="1" x="110"/>
        <item h="1" x="122"/>
        <item h="1" x="42"/>
        <item h="1" x="101"/>
        <item h="1" x="128"/>
        <item h="1" x="90"/>
        <item h="1" x="81"/>
        <item h="1" x="24"/>
        <item h="1" x="3"/>
        <item h="1" x="129"/>
        <item h="1" x="34"/>
        <item h="1" x="84"/>
        <item h="1" x="64"/>
        <item h="1" x="44"/>
        <item h="1" x="35"/>
        <item h="1" x="150"/>
        <item h="1" x="134"/>
        <item h="1" x="82"/>
        <item h="1" x="132"/>
        <item h="1" x="66"/>
        <item h="1" x="73"/>
        <item h="1" x="21"/>
        <item h="1" x="77"/>
        <item h="1" x="20"/>
        <item h="1" x="70"/>
        <item h="1" x="155"/>
        <item h="1" x="121"/>
        <item h="1" x="6"/>
        <item h="1" x="48"/>
        <item h="1" x="105"/>
        <item h="1" x="53"/>
        <item h="1" x="60"/>
        <item h="1" x="95"/>
        <item h="1" x="146"/>
        <item h="1" x="9"/>
        <item h="1" x="31"/>
        <item h="1" x="114"/>
        <item h="1" x="130"/>
        <item h="1" x="98"/>
        <item h="1" x="41"/>
        <item h="1" x="36"/>
        <item h="1" x="28"/>
        <item h="1" x="93"/>
        <item h="1" x="107"/>
        <item h="1" x="32"/>
        <item h="1" x="26"/>
        <item h="1" x="54"/>
        <item h="1" x="22"/>
        <item h="1" x="45"/>
        <item h="1" x="100"/>
        <item h="1" x="145"/>
        <item h="1" x="38"/>
        <item h="1" x="69"/>
        <item h="1" x="49"/>
        <item h="1" x="75"/>
        <item h="1" x="88"/>
        <item h="1" x="123"/>
        <item h="1" x="125"/>
        <item h="1" x="0"/>
        <item h="1" x="142"/>
        <item h="1" x="43"/>
        <item h="1" x="112"/>
        <item h="1" x="13"/>
        <item h="1" x="126"/>
        <item h="1" x="25"/>
        <item h="1" x="39"/>
        <item h="1" x="30"/>
        <item h="1" x="94"/>
        <item h="1" x="62"/>
        <item h="1" x="86"/>
        <item h="1" x="120"/>
        <item h="1" x="97"/>
        <item h="1" x="147"/>
        <item h="1" x="68"/>
        <item x="118"/>
        <item h="1" x="87"/>
        <item h="1" x="137"/>
        <item t="default"/>
      </items>
    </pivotField>
    <pivotField showAll="0"/>
    <pivotField dataField="1" showAll="0"/>
    <pivotField numFmtId="14" showAll="0">
      <items count="15">
        <item x="0"/>
        <item x="1"/>
        <item x="2"/>
        <item x="3"/>
        <item x="4"/>
        <item x="5"/>
        <item x="6"/>
        <item x="7"/>
        <item x="8"/>
        <item x="9"/>
        <item x="10"/>
        <item x="11"/>
        <item x="12"/>
        <item x="13"/>
        <item t="default"/>
      </items>
    </pivotField>
    <pivotField numFmtId="14" showAll="0">
      <items count="6">
        <item x="0"/>
        <item x="1"/>
        <item x="2"/>
        <item x="3"/>
        <item x="4"/>
        <item t="default"/>
      </items>
    </pivotField>
    <pivotField showAll="0"/>
    <pivotField showAll="0">
      <items count="13">
        <item x="11"/>
        <item x="4"/>
        <item x="10"/>
        <item x="9"/>
        <item x="1"/>
        <item x="6"/>
        <item x="7"/>
        <item x="3"/>
        <item x="0"/>
        <item x="5"/>
        <item x="8"/>
        <item x="2"/>
        <item t="default"/>
      </items>
    </pivotField>
    <pivotField showAll="0">
      <items count="33">
        <item x="3"/>
        <item x="28"/>
        <item x="11"/>
        <item x="0"/>
        <item x="29"/>
        <item x="18"/>
        <item x="6"/>
        <item x="7"/>
        <item x="13"/>
        <item x="20"/>
        <item x="26"/>
        <item x="21"/>
        <item x="17"/>
        <item x="24"/>
        <item x="10"/>
        <item x="8"/>
        <item x="2"/>
        <item x="9"/>
        <item x="15"/>
        <item x="14"/>
        <item x="12"/>
        <item x="25"/>
        <item x="4"/>
        <item x="5"/>
        <item x="31"/>
        <item x="16"/>
        <item x="1"/>
        <item x="19"/>
        <item x="27"/>
        <item x="22"/>
        <item x="23"/>
        <item x="30"/>
        <item t="default"/>
      </items>
    </pivotField>
    <pivotField showAll="0"/>
    <pivotField showAll="0">
      <items count="7">
        <item x="0"/>
        <item x="1"/>
        <item x="2"/>
        <item x="3"/>
        <item x="4"/>
        <item x="5"/>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1"/>
  </rowFields>
  <rowItems count="2">
    <i>
      <x v="153"/>
    </i>
    <i t="grand">
      <x/>
    </i>
  </rowItems>
  <colItems count="1">
    <i/>
  </colItems>
  <dataFields count="1">
    <dataField name="Sum of Venituri (nr vizulizari/1000*5)" fld="3" baseField="0" baseItem="0"/>
  </dataFields>
  <formats count="23">
    <format dxfId="220">
      <pivotArea dataOnly="0" labelOnly="1" outline="0" axis="axisValues" fieldPosition="0"/>
    </format>
    <format dxfId="219">
      <pivotArea dataOnly="0" labelOnly="1" outline="0" axis="axisValues" fieldPosition="0"/>
    </format>
    <format dxfId="218">
      <pivotArea dataOnly="0" labelOnly="1" outline="0" axis="axisValues" fieldPosition="0"/>
    </format>
    <format dxfId="217">
      <pivotArea type="all" dataOnly="0" outline="0" fieldPosition="0"/>
    </format>
    <format dxfId="216">
      <pivotArea type="origin" dataOnly="0" labelOnly="1" outline="0" fieldPosition="0"/>
    </format>
    <format dxfId="215">
      <pivotArea field="1" type="button" dataOnly="0" labelOnly="1" outline="0" axis="axisRow" fieldPosition="0"/>
    </format>
    <format dxfId="214">
      <pivotArea dataOnly="0" labelOnly="1" grandRow="1" outline="0" fieldPosition="0"/>
    </format>
    <format dxfId="213">
      <pivotArea type="origin" dataOnly="0" labelOnly="1" outline="0" fieldPosition="0"/>
    </format>
    <format dxfId="212">
      <pivotArea field="8" type="button" dataOnly="0" labelOnly="1" outline="0"/>
    </format>
    <format dxfId="211">
      <pivotArea field="-2" type="button" dataOnly="0" labelOnly="1" outline="0" axis="axisValues" fieldPosition="0"/>
    </format>
    <format dxfId="210">
      <pivotArea type="topRight" dataOnly="0" labelOnly="1" outline="0" fieldPosition="0"/>
    </format>
    <format dxfId="209">
      <pivotArea field="1" type="button" dataOnly="0" labelOnly="1" outline="0" axis="axisRow" fieldPosition="0"/>
    </format>
    <format dxfId="208">
      <pivotArea type="origin" dataOnly="0" labelOnly="1" outline="0" fieldPosition="0"/>
    </format>
    <format dxfId="207">
      <pivotArea field="8" type="button" dataOnly="0" labelOnly="1" outline="0"/>
    </format>
    <format dxfId="206">
      <pivotArea field="-2" type="button" dataOnly="0" labelOnly="1" outline="0" axis="axisValues" fieldPosition="0"/>
    </format>
    <format dxfId="205">
      <pivotArea type="topRight" dataOnly="0" labelOnly="1" outline="0" fieldPosition="0"/>
    </format>
    <format dxfId="204">
      <pivotArea field="1" type="button" dataOnly="0" labelOnly="1" outline="0" axis="axisRow" fieldPosition="0"/>
    </format>
    <format dxfId="203">
      <pivotArea grandRow="1" outline="0" collapsedLevelsAreSubtotals="1" fieldPosition="0"/>
    </format>
    <format dxfId="202">
      <pivotArea dataOnly="0" labelOnly="1" grandRow="1" outline="0" fieldPosition="0"/>
    </format>
    <format dxfId="201">
      <pivotArea grandRow="1" outline="0" collapsedLevelsAreSubtotals="1" fieldPosition="0"/>
    </format>
    <format dxfId="200">
      <pivotArea dataOnly="0" labelOnly="1" grandRow="1" outline="0" fieldPosition="0"/>
    </format>
    <format dxfId="199">
      <pivotArea outline="0" collapsedLevelsAreSubtotals="1" fieldPosition="0"/>
    </format>
    <format dxfId="19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23DD8D-2915-D940-820C-805BD014CE00}" name="PivotTable3"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A6" firstHeaderRow="1" firstDataRow="1" firstDataCol="0"/>
  <pivotFields count="12">
    <pivotField showAll="0"/>
    <pivotField showAll="0">
      <items count="157">
        <item x="140"/>
        <item x="37"/>
        <item x="99"/>
        <item x="148"/>
        <item x="63"/>
        <item x="79"/>
        <item x="11"/>
        <item x="96"/>
        <item x="18"/>
        <item x="12"/>
        <item x="74"/>
        <item x="116"/>
        <item x="109"/>
        <item x="78"/>
        <item x="91"/>
        <item x="8"/>
        <item x="55"/>
        <item x="23"/>
        <item x="17"/>
        <item x="141"/>
        <item x="29"/>
        <item x="138"/>
        <item x="131"/>
        <item x="124"/>
        <item x="40"/>
        <item x="106"/>
        <item x="83"/>
        <item x="115"/>
        <item x="149"/>
        <item x="119"/>
        <item x="50"/>
        <item x="7"/>
        <item x="89"/>
        <item x="15"/>
        <item x="65"/>
        <item x="135"/>
        <item x="2"/>
        <item x="33"/>
        <item x="139"/>
        <item x="136"/>
        <item x="5"/>
        <item x="113"/>
        <item x="56"/>
        <item x="76"/>
        <item x="57"/>
        <item x="10"/>
        <item x="153"/>
        <item x="102"/>
        <item x="46"/>
        <item x="27"/>
        <item x="92"/>
        <item x="103"/>
        <item x="61"/>
        <item x="19"/>
        <item x="85"/>
        <item x="152"/>
        <item x="14"/>
        <item x="143"/>
        <item x="111"/>
        <item x="80"/>
        <item x="59"/>
        <item x="127"/>
        <item x="133"/>
        <item x="58"/>
        <item x="72"/>
        <item x="52"/>
        <item x="144"/>
        <item x="151"/>
        <item x="154"/>
        <item x="16"/>
        <item x="51"/>
        <item x="108"/>
        <item x="67"/>
        <item x="4"/>
        <item x="71"/>
        <item x="117"/>
        <item x="104"/>
        <item x="47"/>
        <item x="1"/>
        <item x="110"/>
        <item x="122"/>
        <item x="42"/>
        <item x="101"/>
        <item x="128"/>
        <item x="90"/>
        <item x="81"/>
        <item x="24"/>
        <item x="3"/>
        <item x="129"/>
        <item x="34"/>
        <item x="84"/>
        <item x="64"/>
        <item x="44"/>
        <item x="35"/>
        <item x="150"/>
        <item x="134"/>
        <item x="82"/>
        <item x="132"/>
        <item x="66"/>
        <item x="73"/>
        <item x="21"/>
        <item x="77"/>
        <item x="20"/>
        <item x="70"/>
        <item x="155"/>
        <item x="121"/>
        <item x="6"/>
        <item x="48"/>
        <item x="105"/>
        <item x="53"/>
        <item x="60"/>
        <item x="95"/>
        <item x="146"/>
        <item x="9"/>
        <item x="31"/>
        <item x="114"/>
        <item x="130"/>
        <item x="98"/>
        <item x="41"/>
        <item x="36"/>
        <item x="28"/>
        <item x="93"/>
        <item x="107"/>
        <item x="32"/>
        <item x="26"/>
        <item x="54"/>
        <item x="22"/>
        <item x="45"/>
        <item x="100"/>
        <item x="145"/>
        <item x="38"/>
        <item x="69"/>
        <item x="49"/>
        <item x="75"/>
        <item x="88"/>
        <item x="123"/>
        <item x="125"/>
        <item x="0"/>
        <item x="142"/>
        <item x="43"/>
        <item x="112"/>
        <item x="13"/>
        <item x="126"/>
        <item x="25"/>
        <item x="39"/>
        <item x="30"/>
        <item x="94"/>
        <item x="62"/>
        <item x="86"/>
        <item x="120"/>
        <item x="97"/>
        <item x="147"/>
        <item x="68"/>
        <item x="118"/>
        <item x="87"/>
        <item x="137"/>
        <item t="default"/>
      </items>
    </pivotField>
    <pivotField showAll="0"/>
    <pivotField dataField="1"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items count="7">
        <item x="0"/>
        <item x="1"/>
        <item x="2"/>
        <item x="3"/>
        <item x="4"/>
        <item x="5"/>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s>
  <rowItems count="1">
    <i/>
  </rowItems>
  <colItems count="1">
    <i/>
  </colItems>
  <dataFields count="1">
    <dataField name="Average of Venituri (nr vizulizari/1000*5)" fld="3" subtotal="average" baseField="0" baseItem="0" numFmtId="168"/>
  </dataFields>
  <formats count="7">
    <format dxfId="227">
      <pivotArea dataOnly="0" labelOnly="1" outline="0" axis="axisValues" fieldPosition="0"/>
    </format>
    <format dxfId="226">
      <pivotArea dataOnly="0" labelOnly="1" outline="0" axis="axisValues" fieldPosition="0"/>
    </format>
    <format dxfId="225">
      <pivotArea dataOnly="0" labelOnly="1" outline="0" axis="axisValues" fieldPosition="0"/>
    </format>
    <format dxfId="224">
      <pivotArea type="all" dataOnly="0" outline="0" fieldPosition="0"/>
    </format>
    <format dxfId="223">
      <pivotArea dataOnly="0" labelOnly="1" outline="0" axis="axisValues" fieldPosition="0"/>
    </format>
    <format dxfId="222">
      <pivotArea outline="0" fieldPosition="0">
        <references count="1">
          <reference field="4294967294" count="1">
            <x v="0"/>
          </reference>
        </references>
      </pivotArea>
    </format>
    <format dxfId="2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A7DEE0-9979-BD4E-AA9E-7F3B7645FEDE}" name="PivotTable1"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A2" firstHeaderRow="1" firstDataRow="1" firstDataCol="0"/>
  <pivotFields count="12">
    <pivotField showAll="0"/>
    <pivotField showAll="0"/>
    <pivotField showAll="0"/>
    <pivotField dataField="1"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items count="7">
        <item x="0"/>
        <item x="1"/>
        <item x="2"/>
        <item x="3"/>
        <item x="4"/>
        <item x="5"/>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s>
  <rowItems count="1">
    <i/>
  </rowItems>
  <colItems count="1">
    <i/>
  </colItems>
  <dataFields count="1">
    <dataField name="Sum of Venituri (nr vizulizari/1000*5)" fld="3" baseField="0" baseItem="0" numFmtId="168"/>
  </dataFields>
  <formats count="4">
    <format dxfId="231">
      <pivotArea dataOnly="0" labelOnly="1" outline="0" axis="axisValues" fieldPosition="0"/>
    </format>
    <format dxfId="230">
      <pivotArea dataOnly="0" labelOnly="1" outline="0" axis="axisValues" fieldPosition="0"/>
    </format>
    <format dxfId="229">
      <pivotArea dataOnly="0" labelOnly="1" outline="0" axis="axisValues" fieldPosition="0"/>
    </format>
    <format dxfId="2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6A644F-E428-EE46-B35D-51A96F527A1F}" name="PivotTable5"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1:C2" firstHeaderRow="1" firstDataRow="1" firstDataCol="0"/>
  <pivotFields count="12">
    <pivotField showAll="0"/>
    <pivotField showAll="0"/>
    <pivotField dataField="1"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items count="7">
        <item x="0"/>
        <item x="1"/>
        <item x="2"/>
        <item x="3"/>
        <item x="4"/>
        <item x="5"/>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s>
  <rowItems count="1">
    <i/>
  </rowItems>
  <colItems count="1">
    <i/>
  </colItems>
  <dataFields count="1">
    <dataField name="Sum of Numar vizualizari" fld="2" baseField="0" baseItem="0" numFmtId="3"/>
  </dataFields>
  <formats count="4">
    <format dxfId="235">
      <pivotArea dataOnly="0" labelOnly="1" outline="0" axis="axisValues" fieldPosition="0"/>
    </format>
    <format dxfId="234">
      <pivotArea dataOnly="0" labelOnly="1" outline="0" axis="axisValues" fieldPosition="0"/>
    </format>
    <format dxfId="233">
      <pivotArea dataOnly="0" labelOnly="1" outline="0" axis="axisValues" fieldPosition="0"/>
    </format>
    <format dxfId="2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4B2AFE-9ED7-F444-8F99-9C1640988ECE}" name="PivotTable4"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G14:H17" firstHeaderRow="1" firstDataRow="1" firstDataCol="1"/>
  <pivotFields count="12">
    <pivotField multipleItemSelectionAllowed="1" showAll="0">
      <items count="286">
        <item x="42"/>
        <item x="181"/>
        <item x="47"/>
        <item x="234"/>
        <item x="240"/>
        <item x="129"/>
        <item x="256"/>
        <item x="177"/>
        <item x="259"/>
        <item x="61"/>
        <item x="179"/>
        <item x="242"/>
        <item x="127"/>
        <item x="278"/>
        <item x="60"/>
        <item x="248"/>
        <item x="140"/>
        <item x="226"/>
        <item x="41"/>
        <item x="161"/>
        <item x="118"/>
        <item x="159"/>
        <item x="72"/>
        <item x="272"/>
        <item x="199"/>
        <item x="2"/>
        <item x="232"/>
        <item x="117"/>
        <item x="121"/>
        <item x="3"/>
        <item x="25"/>
        <item x="111"/>
        <item x="158"/>
        <item x="160"/>
        <item x="281"/>
        <item x="34"/>
        <item x="162"/>
        <item x="274"/>
        <item x="139"/>
        <item x="114"/>
        <item x="141"/>
        <item x="30"/>
        <item x="32"/>
        <item x="218"/>
        <item x="101"/>
        <item x="104"/>
        <item x="113"/>
        <item x="68"/>
        <item x="83"/>
        <item x="175"/>
        <item x="48"/>
        <item x="154"/>
        <item x="64"/>
        <item x="115"/>
        <item x="188"/>
        <item x="87"/>
        <item x="216"/>
        <item x="38"/>
        <item x="214"/>
        <item x="78"/>
        <item x="62"/>
        <item x="267"/>
        <item x="91"/>
        <item x="103"/>
        <item x="51"/>
        <item x="82"/>
        <item x="229"/>
        <item x="97"/>
        <item x="187"/>
        <item x="45"/>
        <item x="71"/>
        <item x="137"/>
        <item x="133"/>
        <item x="239"/>
        <item x="54"/>
        <item x="185"/>
        <item x="265"/>
        <item x="203"/>
        <item x="35"/>
        <item x="261"/>
        <item x="81"/>
        <item x="171"/>
        <item x="170"/>
        <item x="125"/>
        <item x="257"/>
        <item x="76"/>
        <item x="65"/>
        <item x="191"/>
        <item x="190"/>
        <item x="264"/>
        <item x="50"/>
        <item x="205"/>
        <item x="28"/>
        <item x="6"/>
        <item x="169"/>
        <item x="151"/>
        <item x="57"/>
        <item x="10"/>
        <item x="231"/>
        <item x="227"/>
        <item x="186"/>
        <item x="134"/>
        <item x="106"/>
        <item x="105"/>
        <item x="16"/>
        <item x="146"/>
        <item x="33"/>
        <item x="143"/>
        <item x="172"/>
        <item x="269"/>
        <item x="4"/>
        <item x="89"/>
        <item x="79"/>
        <item x="268"/>
        <item x="20"/>
        <item x="180"/>
        <item x="258"/>
        <item x="43"/>
        <item x="251"/>
        <item x="1"/>
        <item x="249"/>
        <item x="9"/>
        <item x="75"/>
        <item x="70"/>
        <item x="56"/>
        <item x="156"/>
        <item x="194"/>
        <item x="27"/>
        <item x="235"/>
        <item x="40"/>
        <item x="126"/>
        <item x="192"/>
        <item x="55"/>
        <item x="13"/>
        <item x="206"/>
        <item x="196"/>
        <item x="207"/>
        <item x="86"/>
        <item x="52"/>
        <item x="148"/>
        <item x="123"/>
        <item x="23"/>
        <item x="212"/>
        <item x="244"/>
        <item x="204"/>
        <item x="80"/>
        <item x="99"/>
        <item x="77"/>
        <item x="223"/>
        <item x="92"/>
        <item x="252"/>
        <item x="209"/>
        <item x="217"/>
        <item x="224"/>
        <item x="58"/>
        <item x="119"/>
        <item x="166"/>
        <item x="280"/>
        <item x="210"/>
        <item x="168"/>
        <item x="108"/>
        <item x="63"/>
        <item x="198"/>
        <item x="236"/>
        <item x="228"/>
        <item x="12"/>
        <item x="74"/>
        <item x="18"/>
        <item x="157"/>
        <item x="110"/>
        <item x="245"/>
        <item x="273"/>
        <item x="253"/>
        <item x="7"/>
        <item x="193"/>
        <item x="67"/>
        <item x="36"/>
        <item x="230"/>
        <item x="247"/>
        <item x="225"/>
        <item x="282"/>
        <item x="237"/>
        <item x="11"/>
        <item x="29"/>
        <item x="107"/>
        <item x="271"/>
        <item x="222"/>
        <item x="135"/>
        <item x="176"/>
        <item x="250"/>
        <item x="73"/>
        <item x="213"/>
        <item x="37"/>
        <item x="26"/>
        <item x="5"/>
        <item x="128"/>
        <item x="39"/>
        <item x="255"/>
        <item x="93"/>
        <item x="116"/>
        <item x="15"/>
        <item x="49"/>
        <item x="22"/>
        <item x="145"/>
        <item x="96"/>
        <item x="260"/>
        <item x="254"/>
        <item x="109"/>
        <item x="102"/>
        <item x="144"/>
        <item x="182"/>
        <item x="44"/>
        <item x="183"/>
        <item x="164"/>
        <item x="197"/>
        <item x="138"/>
        <item x="165"/>
        <item x="84"/>
        <item x="94"/>
        <item x="98"/>
        <item x="31"/>
        <item x="184"/>
        <item x="211"/>
        <item x="150"/>
        <item x="276"/>
        <item x="279"/>
        <item x="174"/>
        <item x="131"/>
        <item x="120"/>
        <item x="246"/>
        <item x="201"/>
        <item x="132"/>
        <item x="53"/>
        <item x="90"/>
        <item x="0"/>
        <item x="189"/>
        <item x="66"/>
        <item x="219"/>
        <item x="130"/>
        <item x="85"/>
        <item x="173"/>
        <item x="21"/>
        <item x="221"/>
        <item x="149"/>
        <item x="122"/>
        <item x="100"/>
        <item x="200"/>
        <item x="88"/>
        <item x="163"/>
        <item x="238"/>
        <item x="266"/>
        <item x="136"/>
        <item x="167"/>
        <item x="69"/>
        <item x="14"/>
        <item x="277"/>
        <item x="24"/>
        <item x="241"/>
        <item x="220"/>
        <item x="95"/>
        <item x="152"/>
        <item x="233"/>
        <item x="46"/>
        <item x="17"/>
        <item x="195"/>
        <item x="155"/>
        <item x="59"/>
        <item x="202"/>
        <item x="215"/>
        <item x="243"/>
        <item x="208"/>
        <item x="283"/>
        <item x="124"/>
        <item x="8"/>
        <item x="284"/>
        <item x="147"/>
        <item x="270"/>
        <item x="262"/>
        <item x="178"/>
        <item x="19"/>
        <item x="153"/>
        <item x="263"/>
        <item x="112"/>
        <item x="275"/>
        <item x="142"/>
        <item t="default"/>
      </items>
    </pivotField>
    <pivotField axis="axisRow" showAll="0">
      <items count="157">
        <item h="1" x="140"/>
        <item h="1" x="37"/>
        <item h="1" x="99"/>
        <item h="1" x="148"/>
        <item h="1" x="63"/>
        <item h="1" x="79"/>
        <item h="1" x="11"/>
        <item h="1" x="96"/>
        <item h="1" x="18"/>
        <item h="1" x="12"/>
        <item h="1" x="74"/>
        <item h="1" x="116"/>
        <item h="1" x="109"/>
        <item h="1" x="78"/>
        <item h="1" x="91"/>
        <item h="1" x="8"/>
        <item h="1" x="55"/>
        <item h="1" x="23"/>
        <item h="1" x="17"/>
        <item h="1" x="141"/>
        <item h="1" x="29"/>
        <item h="1" x="138"/>
        <item h="1" x="131"/>
        <item h="1" x="124"/>
        <item h="1" x="40"/>
        <item h="1" x="106"/>
        <item h="1" x="83"/>
        <item h="1" x="115"/>
        <item h="1" x="149"/>
        <item h="1" x="119"/>
        <item h="1" x="50"/>
        <item h="1" x="7"/>
        <item h="1" x="89"/>
        <item h="1" x="15"/>
        <item h="1" x="65"/>
        <item h="1" x="135"/>
        <item h="1" x="2"/>
        <item h="1" x="33"/>
        <item h="1" x="139"/>
        <item h="1" x="136"/>
        <item h="1" x="5"/>
        <item h="1" x="113"/>
        <item h="1" x="56"/>
        <item h="1" x="76"/>
        <item h="1" x="57"/>
        <item h="1" x="10"/>
        <item h="1" x="153"/>
        <item h="1" x="102"/>
        <item h="1" x="46"/>
        <item h="1" x="27"/>
        <item h="1" x="92"/>
        <item h="1" x="103"/>
        <item h="1" x="61"/>
        <item h="1" x="19"/>
        <item h="1" x="85"/>
        <item h="1" x="152"/>
        <item h="1" x="14"/>
        <item h="1" x="143"/>
        <item h="1" x="111"/>
        <item h="1" x="80"/>
        <item h="1" x="59"/>
        <item h="1" x="127"/>
        <item h="1" x="133"/>
        <item h="1" x="58"/>
        <item h="1" x="72"/>
        <item h="1" x="52"/>
        <item h="1" x="144"/>
        <item h="1" x="151"/>
        <item h="1" x="154"/>
        <item h="1" x="16"/>
        <item h="1" x="51"/>
        <item h="1" x="108"/>
        <item h="1" x="67"/>
        <item h="1" x="4"/>
        <item h="1" x="71"/>
        <item h="1" x="117"/>
        <item h="1" x="104"/>
        <item h="1" x="47"/>
        <item h="1" x="1"/>
        <item h="1" x="110"/>
        <item h="1" x="122"/>
        <item h="1" x="42"/>
        <item h="1" x="101"/>
        <item h="1" x="128"/>
        <item h="1" x="90"/>
        <item h="1" x="81"/>
        <item h="1" x="24"/>
        <item h="1" x="3"/>
        <item h="1" x="129"/>
        <item h="1" x="34"/>
        <item h="1" x="84"/>
        <item h="1" x="64"/>
        <item h="1" x="44"/>
        <item h="1" x="35"/>
        <item h="1" x="150"/>
        <item h="1" x="134"/>
        <item h="1" x="82"/>
        <item h="1" x="132"/>
        <item h="1" x="66"/>
        <item h="1" x="73"/>
        <item h="1" x="21"/>
        <item h="1" x="77"/>
        <item h="1" x="20"/>
        <item h="1" x="70"/>
        <item h="1" x="155"/>
        <item h="1" x="121"/>
        <item h="1" x="6"/>
        <item h="1" x="48"/>
        <item h="1" x="105"/>
        <item h="1" x="53"/>
        <item h="1" x="60"/>
        <item h="1" x="95"/>
        <item h="1" x="146"/>
        <item h="1" x="9"/>
        <item h="1" x="31"/>
        <item h="1" x="114"/>
        <item h="1" x="130"/>
        <item h="1" x="98"/>
        <item h="1" x="41"/>
        <item h="1" x="36"/>
        <item h="1" x="28"/>
        <item h="1" x="93"/>
        <item h="1" x="107"/>
        <item h="1" x="32"/>
        <item h="1" x="26"/>
        <item h="1" x="54"/>
        <item h="1" x="22"/>
        <item h="1" x="45"/>
        <item h="1" x="100"/>
        <item h="1" x="145"/>
        <item h="1" x="38"/>
        <item h="1" x="69"/>
        <item h="1" x="49"/>
        <item h="1" x="75"/>
        <item h="1" x="88"/>
        <item h="1" x="123"/>
        <item h="1" x="125"/>
        <item h="1" x="0"/>
        <item h="1" x="142"/>
        <item h="1" x="43"/>
        <item h="1" x="112"/>
        <item h="1" x="13"/>
        <item h="1" x="126"/>
        <item h="1" x="25"/>
        <item h="1" x="39"/>
        <item h="1" x="30"/>
        <item h="1" x="94"/>
        <item h="1" x="62"/>
        <item h="1" x="86"/>
        <item h="1" x="120"/>
        <item h="1" x="97"/>
        <item h="1" x="147"/>
        <item h="1" x="68"/>
        <item x="118"/>
        <item h="1" x="87"/>
        <item h="1" x="137"/>
        <item t="default"/>
      </items>
    </pivotField>
    <pivotField showAll="0"/>
    <pivotField showAll="0"/>
    <pivotField numFmtId="14" showAll="0">
      <items count="15">
        <item x="0"/>
        <item x="1"/>
        <item x="2"/>
        <item x="3"/>
        <item x="4"/>
        <item x="5"/>
        <item x="6"/>
        <item x="7"/>
        <item x="8"/>
        <item x="9"/>
        <item x="10"/>
        <item x="11"/>
        <item x="12"/>
        <item x="13"/>
        <item t="default"/>
      </items>
    </pivotField>
    <pivotField numFmtId="14" showAll="0">
      <items count="6">
        <item x="0"/>
        <item x="1"/>
        <item x="2"/>
        <item x="3"/>
        <item x="4"/>
        <item t="default"/>
      </items>
    </pivotField>
    <pivotField showAll="0"/>
    <pivotField axis="axisRow" dataField="1" showAll="0">
      <items count="13">
        <item x="11"/>
        <item x="4"/>
        <item x="10"/>
        <item x="9"/>
        <item x="1"/>
        <item x="6"/>
        <item x="7"/>
        <item x="3"/>
        <item x="0"/>
        <item x="5"/>
        <item x="8"/>
        <item x="2"/>
        <item t="default"/>
      </items>
    </pivotField>
    <pivotField showAll="0">
      <items count="33">
        <item x="3"/>
        <item x="28"/>
        <item x="11"/>
        <item x="0"/>
        <item x="29"/>
        <item x="18"/>
        <item x="6"/>
        <item x="7"/>
        <item x="13"/>
        <item x="20"/>
        <item x="26"/>
        <item x="21"/>
        <item x="17"/>
        <item x="24"/>
        <item x="10"/>
        <item x="8"/>
        <item x="2"/>
        <item x="9"/>
        <item x="15"/>
        <item x="14"/>
        <item x="12"/>
        <item x="25"/>
        <item x="4"/>
        <item x="5"/>
        <item x="31"/>
        <item x="16"/>
        <item x="1"/>
        <item x="19"/>
        <item x="27"/>
        <item x="22"/>
        <item x="23"/>
        <item x="30"/>
        <item t="default"/>
      </items>
    </pivotField>
    <pivotField showAll="0"/>
    <pivotField showAll="0">
      <items count="7">
        <item x="0"/>
        <item x="1"/>
        <item x="2"/>
        <item x="3"/>
        <item x="4"/>
        <item x="5"/>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2">
    <field x="1"/>
    <field x="7"/>
  </rowFields>
  <rowItems count="3">
    <i>
      <x v="153"/>
    </i>
    <i r="1">
      <x v="4"/>
    </i>
    <i t="grand">
      <x/>
    </i>
  </rowItems>
  <colItems count="1">
    <i/>
  </colItems>
  <dataFields count="1">
    <dataField name="Count of Genul de Muzica" fld="7" subtotal="count" baseField="0" baseItem="0"/>
  </dataFields>
  <formats count="23">
    <format dxfId="258">
      <pivotArea dataOnly="0" labelOnly="1" outline="0" axis="axisValues" fieldPosition="0"/>
    </format>
    <format dxfId="257">
      <pivotArea dataOnly="0" labelOnly="1" outline="0" axis="axisValues" fieldPosition="0"/>
    </format>
    <format dxfId="256">
      <pivotArea dataOnly="0" labelOnly="1" outline="0" axis="axisValues" fieldPosition="0"/>
    </format>
    <format dxfId="255">
      <pivotArea type="all" dataOnly="0" outline="0" fieldPosition="0"/>
    </format>
    <format dxfId="254">
      <pivotArea type="origin" dataOnly="0" labelOnly="1" outline="0" fieldPosition="0"/>
    </format>
    <format dxfId="253">
      <pivotArea field="1" type="button" dataOnly="0" labelOnly="1" outline="0" axis="axisRow" fieldPosition="0"/>
    </format>
    <format dxfId="252">
      <pivotArea dataOnly="0" labelOnly="1" grandRow="1" outline="0" fieldPosition="0"/>
    </format>
    <format dxfId="251">
      <pivotArea type="origin" dataOnly="0" labelOnly="1" outline="0" fieldPosition="0"/>
    </format>
    <format dxfId="250">
      <pivotArea field="8" type="button" dataOnly="0" labelOnly="1" outline="0"/>
    </format>
    <format dxfId="249">
      <pivotArea field="-2" type="button" dataOnly="0" labelOnly="1" outline="0" axis="axisValues" fieldPosition="0"/>
    </format>
    <format dxfId="248">
      <pivotArea type="topRight" dataOnly="0" labelOnly="1" outline="0" fieldPosition="0"/>
    </format>
    <format dxfId="247">
      <pivotArea field="1" type="button" dataOnly="0" labelOnly="1" outline="0" axis="axisRow" fieldPosition="0"/>
    </format>
    <format dxfId="246">
      <pivotArea type="origin" dataOnly="0" labelOnly="1" outline="0" fieldPosition="0"/>
    </format>
    <format dxfId="245">
      <pivotArea field="8" type="button" dataOnly="0" labelOnly="1" outline="0"/>
    </format>
    <format dxfId="244">
      <pivotArea field="-2" type="button" dataOnly="0" labelOnly="1" outline="0" axis="axisValues" fieldPosition="0"/>
    </format>
    <format dxfId="243">
      <pivotArea type="topRight" dataOnly="0" labelOnly="1" outline="0" fieldPosition="0"/>
    </format>
    <format dxfId="242">
      <pivotArea field="1" type="button" dataOnly="0" labelOnly="1" outline="0" axis="axisRow" fieldPosition="0"/>
    </format>
    <format dxfId="241">
      <pivotArea grandRow="1" outline="0" collapsedLevelsAreSubtotals="1" fieldPosition="0"/>
    </format>
    <format dxfId="240">
      <pivotArea dataOnly="0" labelOnly="1" grandRow="1" outline="0" fieldPosition="0"/>
    </format>
    <format dxfId="239">
      <pivotArea grandRow="1" outline="0" collapsedLevelsAreSubtotals="1" fieldPosition="0"/>
    </format>
    <format dxfId="238">
      <pivotArea dataOnly="0" labelOnly="1" grandRow="1" outline="0" fieldPosition="0"/>
    </format>
    <format dxfId="237">
      <pivotArea outline="0" collapsedLevelsAreSubtotals="1" fieldPosition="0"/>
    </format>
    <format dxfId="236">
      <pivotArea dataOnly="0" labelOnly="1" outline="0" axis="axisValues" fieldPosition="0"/>
    </format>
  </formats>
  <chartFormats count="10">
    <chartFormat chart="12" format="3" series="1">
      <pivotArea type="data" outline="0" fieldPosition="0">
        <references count="1">
          <reference field="4294967294" count="1" selected="0">
            <x v="0"/>
          </reference>
        </references>
      </pivotArea>
    </chartFormat>
    <chartFormat chart="12" format="4">
      <pivotArea type="data" outline="0" fieldPosition="0">
        <references count="3">
          <reference field="4294967294" count="1" selected="0">
            <x v="0"/>
          </reference>
          <reference field="1" count="1" selected="0">
            <x v="103"/>
          </reference>
          <reference field="7" count="1" selected="0">
            <x v="10"/>
          </reference>
        </references>
      </pivotArea>
    </chartFormat>
    <chartFormat chart="12" format="5">
      <pivotArea type="data" outline="0" fieldPosition="0">
        <references count="3">
          <reference field="4294967294" count="1" selected="0">
            <x v="0"/>
          </reference>
          <reference field="1" count="1" selected="0">
            <x v="86"/>
          </reference>
          <reference field="7" count="1" selected="0">
            <x v="7"/>
          </reference>
        </references>
      </pivotArea>
    </chartFormat>
    <chartFormat chart="12" format="6">
      <pivotArea type="data" outline="0" fieldPosition="0">
        <references count="3">
          <reference field="4294967294" count="1" selected="0">
            <x v="0"/>
          </reference>
          <reference field="1" count="1" selected="0">
            <x v="4"/>
          </reference>
          <reference field="7" count="1" selected="0">
            <x v="8"/>
          </reference>
        </references>
      </pivotArea>
    </chartFormat>
    <chartFormat chart="12" format="7">
      <pivotArea type="data" outline="0" fieldPosition="0">
        <references count="3">
          <reference field="4294967294" count="1" selected="0">
            <x v="0"/>
          </reference>
          <reference field="1" count="1" selected="0">
            <x v="4"/>
          </reference>
          <reference field="7" count="1" selected="0">
            <x v="9"/>
          </reference>
        </references>
      </pivotArea>
    </chartFormat>
    <chartFormat chart="12" format="8">
      <pivotArea type="data" outline="0" fieldPosition="0">
        <references count="3">
          <reference field="4294967294" count="1" selected="0">
            <x v="0"/>
          </reference>
          <reference field="1" count="1" selected="0">
            <x v="9"/>
          </reference>
          <reference field="7" count="1" selected="0">
            <x v="6"/>
          </reference>
        </references>
      </pivotArea>
    </chartFormat>
    <chartFormat chart="12" format="9">
      <pivotArea type="data" outline="0" fieldPosition="0">
        <references count="3">
          <reference field="4294967294" count="1" selected="0">
            <x v="0"/>
          </reference>
          <reference field="1" count="1" selected="0">
            <x v="9"/>
          </reference>
          <reference field="7" count="1" selected="0">
            <x v="7"/>
          </reference>
        </references>
      </pivotArea>
    </chartFormat>
    <chartFormat chart="12" format="10">
      <pivotArea type="data" outline="0" fieldPosition="0">
        <references count="3">
          <reference field="4294967294" count="1" selected="0">
            <x v="0"/>
          </reference>
          <reference field="1" count="1" selected="0">
            <x v="9"/>
          </reference>
          <reference field="7" count="1" selected="0">
            <x v="8"/>
          </reference>
        </references>
      </pivotArea>
    </chartFormat>
    <chartFormat chart="12" format="11">
      <pivotArea type="data" outline="0" fieldPosition="0">
        <references count="3">
          <reference field="4294967294" count="1" selected="0">
            <x v="0"/>
          </reference>
          <reference field="1" count="1" selected="0">
            <x v="147"/>
          </reference>
          <reference field="7" count="1" selected="0">
            <x v="4"/>
          </reference>
        </references>
      </pivotArea>
    </chartFormat>
    <chartFormat chart="12" format="12">
      <pivotArea type="data" outline="0" fieldPosition="0">
        <references count="3">
          <reference field="4294967294" count="1" selected="0">
            <x v="0"/>
          </reference>
          <reference field="1" count="1" selected="0">
            <x v="151"/>
          </reference>
          <reference field="7"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tist" xr10:uid="{9C98C126-20F6-1843-93B1-93BEBC8DF9B4}" sourceName="Artist">
  <pivotTables>
    <pivotTable tabId="9" name="PivotTable8"/>
    <pivotTable tabId="9" name="PivotTable9"/>
    <pivotTable tabId="9" name="PivotTable4"/>
    <pivotTable tabId="9" name="PivotTable6"/>
  </pivotTables>
  <data>
    <tabular pivotCacheId="288332837">
      <items count="156">
        <i x="140"/>
        <i x="37"/>
        <i x="99"/>
        <i x="148"/>
        <i x="63"/>
        <i x="79"/>
        <i x="11"/>
        <i x="96"/>
        <i x="18"/>
        <i x="12"/>
        <i x="74"/>
        <i x="116"/>
        <i x="109"/>
        <i x="78"/>
        <i x="91"/>
        <i x="8"/>
        <i x="55"/>
        <i x="23"/>
        <i x="17"/>
        <i x="141"/>
        <i x="29"/>
        <i x="138"/>
        <i x="131"/>
        <i x="124"/>
        <i x="40"/>
        <i x="106"/>
        <i x="83"/>
        <i x="115"/>
        <i x="149"/>
        <i x="119"/>
        <i x="50"/>
        <i x="7"/>
        <i x="89"/>
        <i x="15"/>
        <i x="65"/>
        <i x="135"/>
        <i x="2"/>
        <i x="33"/>
        <i x="139"/>
        <i x="136"/>
        <i x="5"/>
        <i x="113"/>
        <i x="56"/>
        <i x="76"/>
        <i x="57"/>
        <i x="10"/>
        <i x="153"/>
        <i x="102"/>
        <i x="46"/>
        <i x="27"/>
        <i x="92"/>
        <i x="103"/>
        <i x="61"/>
        <i x="19"/>
        <i x="85"/>
        <i x="152"/>
        <i x="14"/>
        <i x="143"/>
        <i x="111"/>
        <i x="80"/>
        <i x="59"/>
        <i x="127"/>
        <i x="133"/>
        <i x="58"/>
        <i x="72"/>
        <i x="52"/>
        <i x="144"/>
        <i x="151"/>
        <i x="154"/>
        <i x="16"/>
        <i x="51"/>
        <i x="108"/>
        <i x="67"/>
        <i x="4"/>
        <i x="71"/>
        <i x="117"/>
        <i x="104"/>
        <i x="47"/>
        <i x="1"/>
        <i x="110"/>
        <i x="122"/>
        <i x="42"/>
        <i x="101"/>
        <i x="128"/>
        <i x="90"/>
        <i x="81"/>
        <i x="24"/>
        <i x="3"/>
        <i x="129"/>
        <i x="34"/>
        <i x="84"/>
        <i x="64"/>
        <i x="44"/>
        <i x="35"/>
        <i x="150"/>
        <i x="134"/>
        <i x="82"/>
        <i x="132"/>
        <i x="66"/>
        <i x="73"/>
        <i x="21"/>
        <i x="77"/>
        <i x="20"/>
        <i x="70"/>
        <i x="155"/>
        <i x="121"/>
        <i x="6"/>
        <i x="48"/>
        <i x="105"/>
        <i x="53"/>
        <i x="60"/>
        <i x="95"/>
        <i x="146"/>
        <i x="9"/>
        <i x="31"/>
        <i x="114"/>
        <i x="130"/>
        <i x="98"/>
        <i x="41"/>
        <i x="36"/>
        <i x="28"/>
        <i x="93"/>
        <i x="107"/>
        <i x="32"/>
        <i x="26"/>
        <i x="54"/>
        <i x="22"/>
        <i x="45"/>
        <i x="100"/>
        <i x="145"/>
        <i x="38"/>
        <i x="69"/>
        <i x="49"/>
        <i x="75"/>
        <i x="88"/>
        <i x="123"/>
        <i x="125"/>
        <i x="0"/>
        <i x="142"/>
        <i x="43"/>
        <i x="112"/>
        <i x="13"/>
        <i x="126"/>
        <i x="25"/>
        <i x="39"/>
        <i x="30"/>
        <i x="94"/>
        <i x="62"/>
        <i x="86"/>
        <i x="120"/>
        <i x="97"/>
        <i x="147"/>
        <i x="68"/>
        <i x="118" s="1"/>
        <i x="87"/>
        <i x="137"/>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tist" xr10:uid="{4F1D842E-8E7D-624B-9B9D-7C6157848008}" cache="Slicer_Artist" caption="Artist" startItem="150" showCaption="0" style="proiectSlicer"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89B66-440E-8D4F-B826-3F7156AB0C3A}">
  <sheetPr>
    <tabColor rgb="FFFFFF00"/>
  </sheetPr>
  <dimension ref="A1:J242"/>
  <sheetViews>
    <sheetView topLeftCell="A72" zoomScaleNormal="100" workbookViewId="0">
      <selection activeCell="L20" sqref="L20"/>
    </sheetView>
  </sheetViews>
  <sheetFormatPr baseColWidth="10" defaultColWidth="11" defaultRowHeight="16" x14ac:dyDescent="0.2"/>
  <cols>
    <col min="1" max="1" width="46" bestFit="1" customWidth="1"/>
    <col min="2" max="2" width="19.83203125" bestFit="1" customWidth="1"/>
    <col min="3" max="3" width="25.5" bestFit="1" customWidth="1"/>
    <col min="4" max="4" width="26" bestFit="1" customWidth="1"/>
    <col min="5" max="5" width="11.83203125" bestFit="1" customWidth="1"/>
    <col min="6" max="6" width="15.83203125" bestFit="1" customWidth="1"/>
    <col min="7" max="7" width="14.33203125" bestFit="1" customWidth="1"/>
    <col min="8" max="8" width="16" bestFit="1" customWidth="1"/>
    <col min="9" max="9" width="21.1640625" bestFit="1" customWidth="1"/>
  </cols>
  <sheetData>
    <row r="1" spans="1:10" x14ac:dyDescent="0.2">
      <c r="A1" s="12" t="s">
        <v>404</v>
      </c>
      <c r="B1" s="11" t="s">
        <v>405</v>
      </c>
      <c r="C1" s="13" t="s">
        <v>406</v>
      </c>
      <c r="D1" s="14" t="s">
        <v>466</v>
      </c>
      <c r="E1" s="15" t="s">
        <v>408</v>
      </c>
      <c r="F1" s="16" t="s">
        <v>409</v>
      </c>
      <c r="G1" s="17" t="s">
        <v>412</v>
      </c>
      <c r="H1" s="18" t="s">
        <v>413</v>
      </c>
      <c r="I1" s="19" t="s">
        <v>467</v>
      </c>
      <c r="J1" s="20" t="s">
        <v>421</v>
      </c>
    </row>
    <row r="3" spans="1:10" x14ac:dyDescent="0.2">
      <c r="A3" t="s">
        <v>0</v>
      </c>
      <c r="B3" t="s">
        <v>1</v>
      </c>
      <c r="C3">
        <v>68764542</v>
      </c>
      <c r="D3" s="3">
        <f>(C3/1000*5)</f>
        <v>343822.71</v>
      </c>
      <c r="E3" s="2">
        <v>44386</v>
      </c>
      <c r="F3" s="2">
        <v>44441</v>
      </c>
      <c r="G3" s="8">
        <v>9.7916666666666666E-2</v>
      </c>
      <c r="H3" t="s">
        <v>422</v>
      </c>
      <c r="I3" t="s">
        <v>470</v>
      </c>
      <c r="J3" s="9" t="str">
        <f>IF(ISNUMBER(SEARCH("with",A3)),"Da","Nu")</f>
        <v>Da</v>
      </c>
    </row>
    <row r="4" spans="1:10" x14ac:dyDescent="0.2">
      <c r="A4" t="s">
        <v>436</v>
      </c>
      <c r="B4" t="s">
        <v>2</v>
      </c>
      <c r="C4">
        <v>43663527</v>
      </c>
      <c r="D4" s="3">
        <f t="shared" ref="D4:D67" si="0">(C4/1000*5)</f>
        <v>218317.63500000001</v>
      </c>
      <c r="E4" s="2">
        <v>44400</v>
      </c>
      <c r="F4" s="2">
        <v>44441</v>
      </c>
      <c r="G4" s="8">
        <v>0.14722222222222223</v>
      </c>
      <c r="H4" t="s">
        <v>423</v>
      </c>
      <c r="I4" t="s">
        <v>468</v>
      </c>
      <c r="J4" t="str">
        <f>IF(ISNUMBER(SEARCH("with",A4)),"Da","Nu")</f>
        <v>Da</v>
      </c>
    </row>
    <row r="5" spans="1:10" x14ac:dyDescent="0.2">
      <c r="A5" t="s">
        <v>9</v>
      </c>
      <c r="B5" t="s">
        <v>10</v>
      </c>
      <c r="C5">
        <v>34182580</v>
      </c>
      <c r="D5" s="3">
        <f t="shared" si="0"/>
        <v>170912.90000000002</v>
      </c>
      <c r="E5" s="2">
        <v>44358</v>
      </c>
      <c r="F5" s="2">
        <v>44441</v>
      </c>
      <c r="G5" s="8">
        <v>0.14722222222222223</v>
      </c>
      <c r="H5" t="s">
        <v>422</v>
      </c>
      <c r="I5" t="s">
        <v>469</v>
      </c>
      <c r="J5" t="str">
        <f t="shared" ref="J5:J68" si="1">IF(ISNUMBER(SEARCH("with",A5)),"Da","Nu")</f>
        <v>Nu</v>
      </c>
    </row>
    <row r="6" spans="1:10" x14ac:dyDescent="0.2">
      <c r="A6" t="s">
        <v>15</v>
      </c>
      <c r="B6" t="s">
        <v>415</v>
      </c>
      <c r="C6">
        <v>32620597</v>
      </c>
      <c r="D6" s="3">
        <f t="shared" si="0"/>
        <v>163102.98500000002</v>
      </c>
      <c r="E6" s="2">
        <v>43077</v>
      </c>
      <c r="F6" s="2">
        <v>44441</v>
      </c>
      <c r="G6" s="8">
        <v>0.14652777777777778</v>
      </c>
      <c r="H6" t="s">
        <v>433</v>
      </c>
      <c r="I6" t="s">
        <v>471</v>
      </c>
      <c r="J6" t="str">
        <f t="shared" si="1"/>
        <v>Nu</v>
      </c>
    </row>
    <row r="7" spans="1:10" x14ac:dyDescent="0.2">
      <c r="A7" t="s">
        <v>51</v>
      </c>
      <c r="B7" t="s">
        <v>52</v>
      </c>
      <c r="C7">
        <v>30609671</v>
      </c>
      <c r="D7" s="3">
        <f t="shared" si="0"/>
        <v>153048.35499999998</v>
      </c>
      <c r="E7" s="2">
        <v>44416</v>
      </c>
      <c r="F7" s="2">
        <v>44441</v>
      </c>
      <c r="G7" s="8">
        <v>0.16874999999999998</v>
      </c>
      <c r="H7" t="s">
        <v>423</v>
      </c>
      <c r="I7" t="s">
        <v>468</v>
      </c>
      <c r="J7" t="str">
        <f t="shared" si="1"/>
        <v>Nu</v>
      </c>
    </row>
    <row r="8" spans="1:10" x14ac:dyDescent="0.2">
      <c r="A8" t="s">
        <v>7</v>
      </c>
      <c r="B8" t="s">
        <v>8</v>
      </c>
      <c r="C8">
        <v>29398007</v>
      </c>
      <c r="D8" s="3">
        <f t="shared" si="0"/>
        <v>146990.035</v>
      </c>
      <c r="E8" s="2">
        <v>44538</v>
      </c>
      <c r="F8" s="2">
        <v>44441</v>
      </c>
      <c r="G8" s="8">
        <v>0.19930555555555554</v>
      </c>
      <c r="H8" t="s">
        <v>418</v>
      </c>
      <c r="I8" t="s">
        <v>472</v>
      </c>
      <c r="J8" t="str">
        <f t="shared" si="1"/>
        <v>Nu</v>
      </c>
    </row>
    <row r="9" spans="1:10" x14ac:dyDescent="0.2">
      <c r="A9" t="s">
        <v>16</v>
      </c>
      <c r="B9" t="s">
        <v>17</v>
      </c>
      <c r="C9">
        <v>29366737</v>
      </c>
      <c r="D9" s="3">
        <f t="shared" si="0"/>
        <v>146833.685</v>
      </c>
      <c r="E9" s="2">
        <v>44337</v>
      </c>
      <c r="F9" s="2">
        <v>44441</v>
      </c>
      <c r="G9" s="8">
        <v>0.12361111111111112</v>
      </c>
      <c r="H9" t="s">
        <v>422</v>
      </c>
      <c r="I9" t="s">
        <v>468</v>
      </c>
      <c r="J9" t="str">
        <f t="shared" si="1"/>
        <v>Nu</v>
      </c>
    </row>
    <row r="10" spans="1:10" x14ac:dyDescent="0.2">
      <c r="A10" t="s">
        <v>21</v>
      </c>
      <c r="B10" t="s">
        <v>12</v>
      </c>
      <c r="C10">
        <v>28000403</v>
      </c>
      <c r="D10" s="3">
        <f t="shared" si="0"/>
        <v>140002.01499999998</v>
      </c>
      <c r="E10" s="2">
        <v>44371</v>
      </c>
      <c r="F10" s="2">
        <v>44441</v>
      </c>
      <c r="G10" s="8">
        <v>0.14583333333333334</v>
      </c>
      <c r="H10" t="s">
        <v>422</v>
      </c>
      <c r="I10" t="s">
        <v>468</v>
      </c>
      <c r="J10" t="str">
        <f t="shared" si="1"/>
        <v>Nu</v>
      </c>
    </row>
    <row r="11" spans="1:10" x14ac:dyDescent="0.2">
      <c r="A11" t="s">
        <v>11</v>
      </c>
      <c r="B11" t="s">
        <v>12</v>
      </c>
      <c r="C11">
        <v>26632882</v>
      </c>
      <c r="D11" s="3">
        <f t="shared" si="0"/>
        <v>133164.41</v>
      </c>
      <c r="E11" s="2">
        <v>44374</v>
      </c>
      <c r="F11" s="2">
        <v>44441</v>
      </c>
      <c r="G11" s="8">
        <v>0.10069444444444443</v>
      </c>
      <c r="H11" t="s">
        <v>422</v>
      </c>
      <c r="I11" t="s">
        <v>468</v>
      </c>
      <c r="J11" t="str">
        <f t="shared" si="1"/>
        <v>Nu</v>
      </c>
    </row>
    <row r="12" spans="1:10" x14ac:dyDescent="0.2">
      <c r="A12" t="s">
        <v>313</v>
      </c>
      <c r="B12" t="s">
        <v>52</v>
      </c>
      <c r="C12">
        <v>24792859</v>
      </c>
      <c r="D12" s="3">
        <f t="shared" si="0"/>
        <v>123964.295</v>
      </c>
      <c r="E12" s="2">
        <v>44437</v>
      </c>
      <c r="F12" s="2">
        <v>44441</v>
      </c>
      <c r="G12" s="8">
        <v>0.20625000000000002</v>
      </c>
      <c r="H12" t="s">
        <v>423</v>
      </c>
      <c r="I12" t="s">
        <v>468</v>
      </c>
      <c r="J12" t="str">
        <f t="shared" si="1"/>
        <v>Nu</v>
      </c>
    </row>
    <row r="13" spans="1:10" x14ac:dyDescent="0.2">
      <c r="A13" t="s">
        <v>22</v>
      </c>
      <c r="B13" t="s">
        <v>23</v>
      </c>
      <c r="C13">
        <v>24448545</v>
      </c>
      <c r="D13" s="3">
        <f t="shared" si="0"/>
        <v>122242.72499999999</v>
      </c>
      <c r="E13" s="2">
        <v>44407</v>
      </c>
      <c r="F13" s="2">
        <v>44441</v>
      </c>
      <c r="G13" s="8">
        <v>0.20694444444444446</v>
      </c>
      <c r="H13" t="s">
        <v>434</v>
      </c>
      <c r="I13" t="s">
        <v>468</v>
      </c>
      <c r="J13" t="str">
        <f t="shared" si="1"/>
        <v>Nu</v>
      </c>
    </row>
    <row r="14" spans="1:10" x14ac:dyDescent="0.2">
      <c r="A14" t="s">
        <v>178</v>
      </c>
      <c r="B14" t="s">
        <v>52</v>
      </c>
      <c r="C14">
        <v>24302344</v>
      </c>
      <c r="D14" s="3">
        <f t="shared" si="0"/>
        <v>121511.72</v>
      </c>
      <c r="E14" s="2">
        <v>44437</v>
      </c>
      <c r="F14" s="2">
        <v>44441</v>
      </c>
      <c r="G14" s="8">
        <v>0.23541666666666669</v>
      </c>
      <c r="H14" t="s">
        <v>423</v>
      </c>
      <c r="I14" t="s">
        <v>468</v>
      </c>
      <c r="J14" t="str">
        <f t="shared" si="1"/>
        <v>Nu</v>
      </c>
    </row>
    <row r="15" spans="1:10" x14ac:dyDescent="0.2">
      <c r="A15" t="s">
        <v>18</v>
      </c>
      <c r="B15" t="s">
        <v>2</v>
      </c>
      <c r="C15">
        <v>23040130</v>
      </c>
      <c r="D15" s="3">
        <f t="shared" si="0"/>
        <v>115200.65000000001</v>
      </c>
      <c r="E15" s="2">
        <v>44456</v>
      </c>
      <c r="F15" s="2">
        <v>44441</v>
      </c>
      <c r="G15" s="8">
        <v>9.5138888888888884E-2</v>
      </c>
      <c r="H15" t="s">
        <v>422</v>
      </c>
      <c r="I15" t="s">
        <v>468</v>
      </c>
      <c r="J15" t="str">
        <f t="shared" si="1"/>
        <v>Nu</v>
      </c>
    </row>
    <row r="16" spans="1:10" x14ac:dyDescent="0.2">
      <c r="A16" t="s">
        <v>437</v>
      </c>
      <c r="B16" t="s">
        <v>12</v>
      </c>
      <c r="C16">
        <v>22451916</v>
      </c>
      <c r="D16" s="3">
        <f t="shared" si="0"/>
        <v>112259.58</v>
      </c>
      <c r="E16" s="2">
        <v>44295</v>
      </c>
      <c r="F16" s="2">
        <v>44441</v>
      </c>
      <c r="G16" s="8">
        <v>0.14444444444444446</v>
      </c>
      <c r="H16" t="s">
        <v>422</v>
      </c>
      <c r="I16" t="s">
        <v>468</v>
      </c>
      <c r="J16" t="str">
        <f t="shared" si="1"/>
        <v>Da</v>
      </c>
    </row>
    <row r="17" spans="1:10" x14ac:dyDescent="0.2">
      <c r="A17" t="s">
        <v>33</v>
      </c>
      <c r="B17" t="s">
        <v>34</v>
      </c>
      <c r="C17">
        <v>20724487</v>
      </c>
      <c r="D17" s="3">
        <f t="shared" si="0"/>
        <v>103622.435</v>
      </c>
      <c r="E17" s="2">
        <v>44338</v>
      </c>
      <c r="F17" s="2">
        <v>44441</v>
      </c>
      <c r="G17" s="8">
        <v>0.13819444444444443</v>
      </c>
      <c r="H17" t="s">
        <v>418</v>
      </c>
      <c r="I17" t="s">
        <v>472</v>
      </c>
      <c r="J17" t="str">
        <f t="shared" si="1"/>
        <v>Nu</v>
      </c>
    </row>
    <row r="18" spans="1:10" x14ac:dyDescent="0.2">
      <c r="A18" t="s">
        <v>316</v>
      </c>
      <c r="B18" t="s">
        <v>52</v>
      </c>
      <c r="C18">
        <v>19702684</v>
      </c>
      <c r="D18" s="3">
        <f t="shared" si="0"/>
        <v>98513.420000000013</v>
      </c>
      <c r="E18" s="2">
        <v>44437</v>
      </c>
      <c r="F18" s="2">
        <v>44441</v>
      </c>
      <c r="G18" s="8">
        <v>0.15694444444444444</v>
      </c>
      <c r="H18" t="s">
        <v>423</v>
      </c>
      <c r="I18" t="s">
        <v>468</v>
      </c>
      <c r="J18" t="str">
        <f t="shared" si="1"/>
        <v>Nu</v>
      </c>
    </row>
    <row r="19" spans="1:10" x14ac:dyDescent="0.2">
      <c r="A19" t="s">
        <v>5</v>
      </c>
      <c r="B19" t="s">
        <v>6</v>
      </c>
      <c r="C19">
        <v>19628570</v>
      </c>
      <c r="D19" s="3">
        <f t="shared" si="0"/>
        <v>98142.85</v>
      </c>
      <c r="E19" s="2">
        <v>44050</v>
      </c>
      <c r="F19" s="2">
        <v>44441</v>
      </c>
      <c r="G19" s="8">
        <v>0.16527777777777777</v>
      </c>
      <c r="H19" t="s">
        <v>422</v>
      </c>
      <c r="I19" t="s">
        <v>469</v>
      </c>
      <c r="J19" t="str">
        <f t="shared" si="1"/>
        <v>Nu</v>
      </c>
    </row>
    <row r="20" spans="1:10" x14ac:dyDescent="0.2">
      <c r="A20" t="s">
        <v>414</v>
      </c>
      <c r="B20" t="s">
        <v>36</v>
      </c>
      <c r="C20">
        <v>18925587</v>
      </c>
      <c r="D20" s="3">
        <f t="shared" si="0"/>
        <v>94627.934999999998</v>
      </c>
      <c r="E20" s="2">
        <v>44411</v>
      </c>
      <c r="F20" s="2">
        <v>44441</v>
      </c>
      <c r="G20" s="8">
        <v>0.15972222222222224</v>
      </c>
      <c r="H20" t="s">
        <v>418</v>
      </c>
      <c r="I20" t="s">
        <v>473</v>
      </c>
      <c r="J20" t="str">
        <f t="shared" si="1"/>
        <v>Nu</v>
      </c>
    </row>
    <row r="21" spans="1:10" x14ac:dyDescent="0.2">
      <c r="A21" t="s">
        <v>145</v>
      </c>
      <c r="B21" t="s">
        <v>52</v>
      </c>
      <c r="C21">
        <v>18904930</v>
      </c>
      <c r="D21" s="3">
        <f t="shared" si="0"/>
        <v>94524.65</v>
      </c>
      <c r="E21" s="2">
        <v>44437</v>
      </c>
      <c r="F21" s="2">
        <v>44441</v>
      </c>
      <c r="G21" s="8">
        <v>0.10833333333333334</v>
      </c>
      <c r="H21" t="s">
        <v>423</v>
      </c>
      <c r="I21" t="s">
        <v>468</v>
      </c>
      <c r="J21" t="str">
        <f t="shared" si="1"/>
        <v>Nu</v>
      </c>
    </row>
    <row r="22" spans="1:10" x14ac:dyDescent="0.2">
      <c r="A22" t="s">
        <v>31</v>
      </c>
      <c r="B22" t="s">
        <v>32</v>
      </c>
      <c r="C22">
        <v>18618312</v>
      </c>
      <c r="D22" s="3">
        <f t="shared" si="0"/>
        <v>93091.560000000012</v>
      </c>
      <c r="E22" s="2">
        <v>44351</v>
      </c>
      <c r="F22" s="2">
        <v>44441</v>
      </c>
      <c r="G22" s="8">
        <v>0.14305555555555557</v>
      </c>
      <c r="H22" t="s">
        <v>418</v>
      </c>
      <c r="I22" t="s">
        <v>472</v>
      </c>
      <c r="J22" t="str">
        <f t="shared" si="1"/>
        <v>Nu</v>
      </c>
    </row>
    <row r="23" spans="1:10" x14ac:dyDescent="0.2">
      <c r="A23" t="s">
        <v>53</v>
      </c>
      <c r="B23" t="s">
        <v>415</v>
      </c>
      <c r="C23">
        <v>17808726</v>
      </c>
      <c r="D23" s="3">
        <f t="shared" si="0"/>
        <v>89043.62999999999</v>
      </c>
      <c r="E23" s="2">
        <v>44274</v>
      </c>
      <c r="F23" s="2">
        <v>44441</v>
      </c>
      <c r="G23" s="8">
        <v>0.12013888888888889</v>
      </c>
      <c r="H23" t="s">
        <v>433</v>
      </c>
      <c r="I23" t="s">
        <v>471</v>
      </c>
      <c r="J23" t="str">
        <f t="shared" si="1"/>
        <v>Nu</v>
      </c>
    </row>
    <row r="24" spans="1:10" x14ac:dyDescent="0.2">
      <c r="A24" t="s">
        <v>45</v>
      </c>
      <c r="B24" t="s">
        <v>46</v>
      </c>
      <c r="C24">
        <v>17722841</v>
      </c>
      <c r="D24" s="3">
        <f t="shared" si="0"/>
        <v>88614.205000000002</v>
      </c>
      <c r="E24" s="2">
        <v>44414</v>
      </c>
      <c r="F24" s="2">
        <v>44441</v>
      </c>
      <c r="G24" s="8">
        <v>0.15277777777777776</v>
      </c>
      <c r="H24" t="s">
        <v>416</v>
      </c>
      <c r="I24" t="s">
        <v>420</v>
      </c>
      <c r="J24" t="str">
        <f t="shared" si="1"/>
        <v>Nu</v>
      </c>
    </row>
    <row r="25" spans="1:10" x14ac:dyDescent="0.2">
      <c r="A25" t="s">
        <v>417</v>
      </c>
      <c r="B25" t="s">
        <v>42</v>
      </c>
      <c r="C25">
        <v>17110678</v>
      </c>
      <c r="D25" s="3">
        <f t="shared" si="0"/>
        <v>85553.39</v>
      </c>
      <c r="E25" s="2">
        <v>44344</v>
      </c>
      <c r="F25" s="2">
        <v>44441</v>
      </c>
      <c r="G25" s="8">
        <v>0.15069444444444444</v>
      </c>
      <c r="H25" t="s">
        <v>418</v>
      </c>
      <c r="I25" t="s">
        <v>474</v>
      </c>
      <c r="J25" t="str">
        <f t="shared" si="1"/>
        <v>Nu</v>
      </c>
    </row>
    <row r="26" spans="1:10" x14ac:dyDescent="0.2">
      <c r="A26" t="s">
        <v>439</v>
      </c>
      <c r="B26" t="s">
        <v>38</v>
      </c>
      <c r="C26">
        <v>17032677</v>
      </c>
      <c r="D26" s="3">
        <f t="shared" si="0"/>
        <v>85163.384999999995</v>
      </c>
      <c r="E26" s="2">
        <v>43917</v>
      </c>
      <c r="F26" s="2">
        <v>44441</v>
      </c>
      <c r="G26" s="8">
        <v>0.14097222222222222</v>
      </c>
      <c r="H26" t="s">
        <v>422</v>
      </c>
      <c r="I26" t="s">
        <v>469</v>
      </c>
      <c r="J26" t="str">
        <f t="shared" si="1"/>
        <v>Da</v>
      </c>
    </row>
    <row r="27" spans="1:10" x14ac:dyDescent="0.2">
      <c r="A27" t="s">
        <v>37</v>
      </c>
      <c r="B27" t="s">
        <v>17</v>
      </c>
      <c r="C27">
        <v>16858476</v>
      </c>
      <c r="D27" s="3">
        <f t="shared" si="0"/>
        <v>84292.37999999999</v>
      </c>
      <c r="E27" s="2">
        <v>44337</v>
      </c>
      <c r="F27" s="2">
        <v>44441</v>
      </c>
      <c r="G27" s="8">
        <v>0.15902777777777777</v>
      </c>
      <c r="H27" t="s">
        <v>422</v>
      </c>
      <c r="I27" t="s">
        <v>468</v>
      </c>
      <c r="J27" t="str">
        <f t="shared" si="1"/>
        <v>Nu</v>
      </c>
    </row>
    <row r="28" spans="1:10" x14ac:dyDescent="0.2">
      <c r="A28" t="s">
        <v>319</v>
      </c>
      <c r="B28" t="s">
        <v>52</v>
      </c>
      <c r="C28">
        <v>16052001</v>
      </c>
      <c r="D28" s="3">
        <f t="shared" si="0"/>
        <v>80260.005000000005</v>
      </c>
      <c r="E28" s="2">
        <v>44437</v>
      </c>
      <c r="F28" s="2">
        <v>44441</v>
      </c>
      <c r="G28" s="8">
        <v>0.16805555555555554</v>
      </c>
      <c r="H28" t="s">
        <v>423</v>
      </c>
      <c r="I28" t="s">
        <v>468</v>
      </c>
      <c r="J28" t="str">
        <f t="shared" si="1"/>
        <v>Nu</v>
      </c>
    </row>
    <row r="29" spans="1:10" x14ac:dyDescent="0.2">
      <c r="A29" t="s">
        <v>440</v>
      </c>
      <c r="B29" t="s">
        <v>43</v>
      </c>
      <c r="C29">
        <v>15563753</v>
      </c>
      <c r="D29" s="3">
        <f t="shared" si="0"/>
        <v>77818.764999999999</v>
      </c>
      <c r="E29" s="2">
        <v>44274</v>
      </c>
      <c r="F29" s="2">
        <v>44441</v>
      </c>
      <c r="G29" s="8">
        <v>0.13749999999999998</v>
      </c>
      <c r="H29" t="s">
        <v>422</v>
      </c>
      <c r="I29" t="s">
        <v>420</v>
      </c>
      <c r="J29" t="str">
        <f t="shared" si="1"/>
        <v>Da</v>
      </c>
    </row>
    <row r="30" spans="1:10" x14ac:dyDescent="0.2">
      <c r="A30" t="s">
        <v>320</v>
      </c>
      <c r="B30" t="s">
        <v>52</v>
      </c>
      <c r="C30">
        <v>15535805</v>
      </c>
      <c r="D30" s="3">
        <f t="shared" si="0"/>
        <v>77679.024999999994</v>
      </c>
      <c r="E30" s="2">
        <v>44437</v>
      </c>
      <c r="F30" s="2">
        <v>44441</v>
      </c>
      <c r="G30" s="8">
        <v>0.13541666666666666</v>
      </c>
      <c r="H30" t="s">
        <v>423</v>
      </c>
      <c r="I30" t="s">
        <v>468</v>
      </c>
      <c r="J30" t="str">
        <f t="shared" si="1"/>
        <v>Nu</v>
      </c>
    </row>
    <row r="31" spans="1:10" x14ac:dyDescent="0.2">
      <c r="A31" t="s">
        <v>344</v>
      </c>
      <c r="B31" t="s">
        <v>52</v>
      </c>
      <c r="C31">
        <v>15309684</v>
      </c>
      <c r="D31" s="3">
        <f t="shared" si="0"/>
        <v>76548.42</v>
      </c>
      <c r="E31" s="2">
        <v>44437</v>
      </c>
      <c r="F31" s="2">
        <v>44441</v>
      </c>
      <c r="G31" s="8">
        <v>0.23124999999999998</v>
      </c>
      <c r="H31" t="s">
        <v>423</v>
      </c>
      <c r="I31" t="s">
        <v>468</v>
      </c>
      <c r="J31" t="str">
        <f t="shared" si="1"/>
        <v>Nu</v>
      </c>
    </row>
    <row r="32" spans="1:10" x14ac:dyDescent="0.2">
      <c r="A32" t="s">
        <v>327</v>
      </c>
      <c r="B32" t="s">
        <v>52</v>
      </c>
      <c r="C32">
        <v>14811311</v>
      </c>
      <c r="D32" s="3">
        <f t="shared" si="0"/>
        <v>74056.554999999993</v>
      </c>
      <c r="E32" s="2">
        <v>44437</v>
      </c>
      <c r="F32" s="2">
        <v>44441</v>
      </c>
      <c r="G32" s="8">
        <v>0.14097222222222222</v>
      </c>
      <c r="H32" t="s">
        <v>423</v>
      </c>
      <c r="I32" t="s">
        <v>468</v>
      </c>
      <c r="J32" t="str">
        <f t="shared" si="1"/>
        <v>Nu</v>
      </c>
    </row>
    <row r="33" spans="1:10" x14ac:dyDescent="0.2">
      <c r="A33" t="s">
        <v>54</v>
      </c>
      <c r="B33" t="s">
        <v>55</v>
      </c>
      <c r="C33">
        <v>14565825</v>
      </c>
      <c r="D33" s="3">
        <f t="shared" si="0"/>
        <v>72829.125</v>
      </c>
      <c r="E33" s="2">
        <v>44337</v>
      </c>
      <c r="F33" s="2">
        <v>44441</v>
      </c>
      <c r="G33" s="8">
        <v>0.11388888888888889</v>
      </c>
      <c r="H33" t="s">
        <v>424</v>
      </c>
      <c r="I33" t="s">
        <v>475</v>
      </c>
      <c r="J33" t="str">
        <f t="shared" si="1"/>
        <v>Nu</v>
      </c>
    </row>
    <row r="34" spans="1:10" x14ac:dyDescent="0.2">
      <c r="A34" t="s">
        <v>56</v>
      </c>
      <c r="B34" t="s">
        <v>46</v>
      </c>
      <c r="C34">
        <v>14237777</v>
      </c>
      <c r="D34" s="3">
        <f t="shared" si="0"/>
        <v>71188.884999999995</v>
      </c>
      <c r="E34" s="2">
        <v>43910</v>
      </c>
      <c r="F34" s="2">
        <v>44441</v>
      </c>
      <c r="G34" s="8">
        <v>0.14930555555555555</v>
      </c>
      <c r="H34" t="s">
        <v>416</v>
      </c>
      <c r="I34" t="s">
        <v>420</v>
      </c>
      <c r="J34" t="str">
        <f t="shared" si="1"/>
        <v>Da</v>
      </c>
    </row>
    <row r="35" spans="1:10" x14ac:dyDescent="0.2">
      <c r="A35" t="s">
        <v>450</v>
      </c>
      <c r="B35" t="s">
        <v>55</v>
      </c>
      <c r="C35">
        <v>13960331</v>
      </c>
      <c r="D35" s="3">
        <f t="shared" si="0"/>
        <v>69801.654999999999</v>
      </c>
      <c r="E35" s="2">
        <v>44435</v>
      </c>
      <c r="F35" s="2">
        <v>44441</v>
      </c>
      <c r="G35" s="8">
        <v>0.11388888888888889</v>
      </c>
      <c r="H35" t="s">
        <v>424</v>
      </c>
      <c r="I35" t="s">
        <v>475</v>
      </c>
      <c r="J35" t="str">
        <f t="shared" si="1"/>
        <v>Da</v>
      </c>
    </row>
    <row r="36" spans="1:10" x14ac:dyDescent="0.2">
      <c r="A36" t="s">
        <v>322</v>
      </c>
      <c r="B36" t="s">
        <v>52</v>
      </c>
      <c r="C36">
        <v>13876358</v>
      </c>
      <c r="D36" s="3">
        <f t="shared" si="0"/>
        <v>69381.790000000008</v>
      </c>
      <c r="E36" s="2">
        <v>44437</v>
      </c>
      <c r="F36" s="2">
        <v>44441</v>
      </c>
      <c r="G36" s="8">
        <v>0.10069444444444443</v>
      </c>
      <c r="H36" t="s">
        <v>423</v>
      </c>
      <c r="I36" t="s">
        <v>468</v>
      </c>
      <c r="J36" t="str">
        <f t="shared" si="1"/>
        <v>Nu</v>
      </c>
    </row>
    <row r="37" spans="1:10" x14ac:dyDescent="0.2">
      <c r="A37" t="s">
        <v>49</v>
      </c>
      <c r="B37" t="s">
        <v>46</v>
      </c>
      <c r="C37">
        <v>13820934</v>
      </c>
      <c r="D37" s="3">
        <f t="shared" si="0"/>
        <v>69104.67</v>
      </c>
      <c r="E37" s="2">
        <v>43798</v>
      </c>
      <c r="F37" s="2">
        <v>44441</v>
      </c>
      <c r="G37" s="8">
        <v>0.13958333333333334</v>
      </c>
      <c r="H37" t="s">
        <v>416</v>
      </c>
      <c r="I37" t="s">
        <v>420</v>
      </c>
      <c r="J37" t="str">
        <f t="shared" si="1"/>
        <v>Nu</v>
      </c>
    </row>
    <row r="38" spans="1:10" x14ac:dyDescent="0.2">
      <c r="A38" t="s">
        <v>79</v>
      </c>
      <c r="B38" t="s">
        <v>80</v>
      </c>
      <c r="C38">
        <v>13819716</v>
      </c>
      <c r="D38" s="3">
        <f t="shared" si="0"/>
        <v>69098.58</v>
      </c>
      <c r="E38" s="2">
        <v>44435</v>
      </c>
      <c r="F38" s="2">
        <v>44441</v>
      </c>
      <c r="G38" s="8">
        <v>0.17500000000000002</v>
      </c>
      <c r="H38" t="s">
        <v>423</v>
      </c>
      <c r="I38" t="s">
        <v>468</v>
      </c>
      <c r="J38" t="str">
        <f t="shared" si="1"/>
        <v>Da</v>
      </c>
    </row>
    <row r="39" spans="1:10" x14ac:dyDescent="0.2">
      <c r="A39" t="s">
        <v>321</v>
      </c>
      <c r="B39" t="s">
        <v>52</v>
      </c>
      <c r="C39">
        <v>13621927</v>
      </c>
      <c r="D39" s="3">
        <f t="shared" si="0"/>
        <v>68109.634999999995</v>
      </c>
      <c r="E39" s="2">
        <v>44437</v>
      </c>
      <c r="F39" s="2">
        <v>44441</v>
      </c>
      <c r="G39" s="8">
        <v>0.12361111111111112</v>
      </c>
      <c r="H39" t="s">
        <v>423</v>
      </c>
      <c r="I39" t="s">
        <v>468</v>
      </c>
      <c r="J39" t="str">
        <f t="shared" si="1"/>
        <v>Nu</v>
      </c>
    </row>
    <row r="40" spans="1:10" x14ac:dyDescent="0.2">
      <c r="A40" t="s">
        <v>425</v>
      </c>
      <c r="B40" t="s">
        <v>78</v>
      </c>
      <c r="C40">
        <v>13505979</v>
      </c>
      <c r="D40" s="3">
        <f t="shared" si="0"/>
        <v>67529.89499999999</v>
      </c>
      <c r="E40" s="2">
        <v>44386</v>
      </c>
      <c r="F40" s="2">
        <v>44441</v>
      </c>
      <c r="G40" s="8">
        <v>0.1076388888888889</v>
      </c>
      <c r="H40" t="s">
        <v>426</v>
      </c>
      <c r="I40" t="s">
        <v>476</v>
      </c>
      <c r="J40" t="str">
        <f t="shared" si="1"/>
        <v>Nu</v>
      </c>
    </row>
    <row r="41" spans="1:10" x14ac:dyDescent="0.2">
      <c r="A41" t="s">
        <v>74</v>
      </c>
      <c r="B41" t="s">
        <v>17</v>
      </c>
      <c r="C41">
        <v>13397107</v>
      </c>
      <c r="D41" s="3">
        <f t="shared" si="0"/>
        <v>66985.535000000003</v>
      </c>
      <c r="E41" s="2">
        <v>44337</v>
      </c>
      <c r="F41" s="2">
        <v>44441</v>
      </c>
      <c r="G41" s="8">
        <v>0.14930555555555555</v>
      </c>
      <c r="H41" t="s">
        <v>422</v>
      </c>
      <c r="I41" t="s">
        <v>468</v>
      </c>
      <c r="J41" t="str">
        <f t="shared" si="1"/>
        <v>Nu</v>
      </c>
    </row>
    <row r="42" spans="1:10" x14ac:dyDescent="0.2">
      <c r="A42" t="s">
        <v>75</v>
      </c>
      <c r="B42" t="s">
        <v>55</v>
      </c>
      <c r="C42">
        <v>13372442</v>
      </c>
      <c r="D42" s="3">
        <f t="shared" si="0"/>
        <v>66862.209999999992</v>
      </c>
      <c r="E42" s="2">
        <v>44386</v>
      </c>
      <c r="F42" s="2">
        <v>44441</v>
      </c>
      <c r="G42" s="8">
        <v>0.12986111111111112</v>
      </c>
      <c r="H42" t="s">
        <v>424</v>
      </c>
      <c r="I42" t="s">
        <v>475</v>
      </c>
      <c r="J42" t="str">
        <f t="shared" si="1"/>
        <v>Nu</v>
      </c>
    </row>
    <row r="43" spans="1:10" x14ac:dyDescent="0.2">
      <c r="A43" t="s">
        <v>342</v>
      </c>
      <c r="B43" t="s">
        <v>52</v>
      </c>
      <c r="C43">
        <v>13342949</v>
      </c>
      <c r="D43" s="3">
        <f t="shared" si="0"/>
        <v>66714.744999999995</v>
      </c>
      <c r="E43" s="2">
        <v>44417</v>
      </c>
      <c r="F43" s="2">
        <v>44441</v>
      </c>
      <c r="G43" s="8">
        <v>0.10208333333333335</v>
      </c>
      <c r="H43" t="s">
        <v>423</v>
      </c>
      <c r="I43" t="s">
        <v>468</v>
      </c>
      <c r="J43" t="str">
        <f t="shared" si="1"/>
        <v>Nu</v>
      </c>
    </row>
    <row r="44" spans="1:10" x14ac:dyDescent="0.2">
      <c r="A44" t="s">
        <v>70</v>
      </c>
      <c r="B44" t="s">
        <v>71</v>
      </c>
      <c r="C44">
        <v>13082669</v>
      </c>
      <c r="D44" s="3">
        <f t="shared" si="0"/>
        <v>65413.345000000001</v>
      </c>
      <c r="E44" s="2">
        <v>44371</v>
      </c>
      <c r="F44" s="2">
        <v>44441</v>
      </c>
      <c r="G44" s="8">
        <v>0.18124999999999999</v>
      </c>
      <c r="H44" t="s">
        <v>418</v>
      </c>
      <c r="I44" t="s">
        <v>472</v>
      </c>
      <c r="J44" t="str">
        <f t="shared" si="1"/>
        <v>Nu</v>
      </c>
    </row>
    <row r="45" spans="1:10" x14ac:dyDescent="0.2">
      <c r="A45" s="10">
        <v>24</v>
      </c>
      <c r="B45" t="s">
        <v>52</v>
      </c>
      <c r="C45">
        <v>12955187</v>
      </c>
      <c r="D45" s="3">
        <f t="shared" si="0"/>
        <v>64775.934999999998</v>
      </c>
      <c r="E45" s="2">
        <v>44437</v>
      </c>
      <c r="F45" s="2">
        <v>44441</v>
      </c>
      <c r="G45" s="8">
        <v>0.13680555555555554</v>
      </c>
      <c r="H45" t="s">
        <v>423</v>
      </c>
      <c r="I45" t="s">
        <v>468</v>
      </c>
      <c r="J45" t="str">
        <f t="shared" si="1"/>
        <v>Nu</v>
      </c>
    </row>
    <row r="46" spans="1:10" x14ac:dyDescent="0.2">
      <c r="A46" t="s">
        <v>41</v>
      </c>
      <c r="B46" t="s">
        <v>42</v>
      </c>
      <c r="C46">
        <v>12933235</v>
      </c>
      <c r="D46" s="3">
        <f t="shared" si="0"/>
        <v>64666.175000000003</v>
      </c>
      <c r="E46" s="2">
        <v>44379</v>
      </c>
      <c r="F46" s="2">
        <v>44441</v>
      </c>
      <c r="G46" s="8">
        <v>9.0277777777777776E-2</v>
      </c>
      <c r="H46" t="s">
        <v>418</v>
      </c>
      <c r="I46" t="s">
        <v>474</v>
      </c>
      <c r="J46" t="str">
        <f t="shared" si="1"/>
        <v>Nu</v>
      </c>
    </row>
    <row r="47" spans="1:10" x14ac:dyDescent="0.2">
      <c r="A47" t="s">
        <v>335</v>
      </c>
      <c r="B47" t="s">
        <v>52</v>
      </c>
      <c r="C47">
        <v>12913533</v>
      </c>
      <c r="D47" s="3">
        <f t="shared" si="0"/>
        <v>64567.664999999994</v>
      </c>
      <c r="E47" s="2">
        <v>44437</v>
      </c>
      <c r="F47" s="2">
        <v>44441</v>
      </c>
      <c r="G47" s="8">
        <v>0.13749999999999998</v>
      </c>
      <c r="H47" t="s">
        <v>423</v>
      </c>
      <c r="I47" t="s">
        <v>468</v>
      </c>
      <c r="J47" t="str">
        <f t="shared" si="1"/>
        <v>Nu</v>
      </c>
    </row>
    <row r="48" spans="1:10" x14ac:dyDescent="0.2">
      <c r="A48" t="s">
        <v>57</v>
      </c>
      <c r="B48" t="s">
        <v>17</v>
      </c>
      <c r="C48">
        <v>12878186</v>
      </c>
      <c r="D48" s="3">
        <f t="shared" si="0"/>
        <v>64390.93</v>
      </c>
      <c r="E48" s="2">
        <v>44204</v>
      </c>
      <c r="F48" s="2">
        <v>44441</v>
      </c>
      <c r="G48" s="8">
        <v>0.16805555555555554</v>
      </c>
      <c r="H48" t="s">
        <v>422</v>
      </c>
      <c r="I48" t="s">
        <v>468</v>
      </c>
      <c r="J48" t="str">
        <f t="shared" si="1"/>
        <v>Nu</v>
      </c>
    </row>
    <row r="49" spans="1:10" x14ac:dyDescent="0.2">
      <c r="A49" t="s">
        <v>72</v>
      </c>
      <c r="B49" t="s">
        <v>73</v>
      </c>
      <c r="C49">
        <v>12598210</v>
      </c>
      <c r="D49" s="3">
        <f t="shared" si="0"/>
        <v>62991.049999999996</v>
      </c>
      <c r="E49" s="2">
        <v>44385</v>
      </c>
      <c r="F49" s="2">
        <v>44441</v>
      </c>
      <c r="G49" s="8">
        <v>0.18958333333333333</v>
      </c>
      <c r="H49" t="s">
        <v>426</v>
      </c>
      <c r="I49" t="s">
        <v>472</v>
      </c>
      <c r="J49" t="str">
        <f t="shared" si="1"/>
        <v>Nu</v>
      </c>
    </row>
    <row r="50" spans="1:10" x14ac:dyDescent="0.2">
      <c r="A50" s="10">
        <v>2055</v>
      </c>
      <c r="B50" t="s">
        <v>60</v>
      </c>
      <c r="C50">
        <v>12034127</v>
      </c>
      <c r="D50" s="3">
        <f t="shared" si="0"/>
        <v>60170.635000000002</v>
      </c>
      <c r="E50" s="2">
        <v>44300</v>
      </c>
      <c r="F50" s="2">
        <v>44441</v>
      </c>
      <c r="G50" s="8">
        <v>8.5416666666666655E-2</v>
      </c>
      <c r="H50" t="s">
        <v>423</v>
      </c>
      <c r="I50" t="s">
        <v>477</v>
      </c>
      <c r="J50" t="str">
        <f t="shared" si="1"/>
        <v>Nu</v>
      </c>
    </row>
    <row r="51" spans="1:10" x14ac:dyDescent="0.2">
      <c r="A51" t="s">
        <v>427</v>
      </c>
      <c r="B51" t="s">
        <v>34</v>
      </c>
      <c r="C51">
        <v>11797153</v>
      </c>
      <c r="D51" s="3">
        <f t="shared" si="0"/>
        <v>58985.764999999999</v>
      </c>
      <c r="E51" s="2">
        <v>44372</v>
      </c>
      <c r="F51" s="2">
        <v>44441</v>
      </c>
      <c r="G51" s="8">
        <v>0.11388888888888889</v>
      </c>
      <c r="H51" t="s">
        <v>418</v>
      </c>
      <c r="I51" t="s">
        <v>472</v>
      </c>
      <c r="J51" t="str">
        <f t="shared" si="1"/>
        <v>Nu</v>
      </c>
    </row>
    <row r="52" spans="1:10" x14ac:dyDescent="0.2">
      <c r="A52" t="s">
        <v>332</v>
      </c>
      <c r="B52" t="s">
        <v>52</v>
      </c>
      <c r="C52">
        <v>11585806</v>
      </c>
      <c r="D52" s="3">
        <f t="shared" si="0"/>
        <v>57929.03</v>
      </c>
      <c r="E52" s="2">
        <v>44437</v>
      </c>
      <c r="F52" s="2">
        <v>44441</v>
      </c>
      <c r="G52" s="8">
        <v>0.24861111111111112</v>
      </c>
      <c r="H52" t="s">
        <v>423</v>
      </c>
      <c r="I52" t="s">
        <v>468</v>
      </c>
      <c r="J52" t="str">
        <f t="shared" si="1"/>
        <v>Nu</v>
      </c>
    </row>
    <row r="53" spans="1:10" x14ac:dyDescent="0.2">
      <c r="A53" t="s">
        <v>65</v>
      </c>
      <c r="B53" t="s">
        <v>12</v>
      </c>
      <c r="C53">
        <v>11294620</v>
      </c>
      <c r="D53" s="3">
        <f t="shared" si="0"/>
        <v>56473.100000000006</v>
      </c>
      <c r="E53" s="2">
        <v>44372</v>
      </c>
      <c r="F53" s="2">
        <v>44441</v>
      </c>
      <c r="G53" s="8">
        <v>9.5833333333333326E-2</v>
      </c>
      <c r="H53" t="s">
        <v>422</v>
      </c>
      <c r="I53" t="s">
        <v>468</v>
      </c>
      <c r="J53" t="str">
        <f t="shared" si="1"/>
        <v>Nu</v>
      </c>
    </row>
    <row r="54" spans="1:10" x14ac:dyDescent="0.2">
      <c r="A54" t="s">
        <v>363</v>
      </c>
      <c r="B54" t="s">
        <v>52</v>
      </c>
      <c r="C54">
        <v>11098736</v>
      </c>
      <c r="D54" s="3">
        <f t="shared" si="0"/>
        <v>55493.680000000008</v>
      </c>
      <c r="E54" s="2">
        <v>44437</v>
      </c>
      <c r="F54" s="2">
        <v>44441</v>
      </c>
      <c r="G54" s="8">
        <v>8.8888888888888892E-2</v>
      </c>
      <c r="H54" t="s">
        <v>423</v>
      </c>
      <c r="I54" t="s">
        <v>468</v>
      </c>
      <c r="J54" t="str">
        <f t="shared" si="1"/>
        <v>Nu</v>
      </c>
    </row>
    <row r="55" spans="1:10" x14ac:dyDescent="0.2">
      <c r="A55" t="s">
        <v>87</v>
      </c>
      <c r="B55" t="s">
        <v>88</v>
      </c>
      <c r="C55">
        <v>11085219</v>
      </c>
      <c r="D55" s="3">
        <f t="shared" si="0"/>
        <v>55426.094999999994</v>
      </c>
      <c r="E55" s="2">
        <v>44260</v>
      </c>
      <c r="F55" s="2">
        <v>44441</v>
      </c>
      <c r="G55" s="8">
        <v>0.16805555555555554</v>
      </c>
      <c r="H55" t="s">
        <v>416</v>
      </c>
      <c r="I55" t="s">
        <v>472</v>
      </c>
      <c r="J55" t="str">
        <f t="shared" si="1"/>
        <v>Nu</v>
      </c>
    </row>
    <row r="56" spans="1:10" x14ac:dyDescent="0.2">
      <c r="A56" t="s">
        <v>68</v>
      </c>
      <c r="B56" t="s">
        <v>69</v>
      </c>
      <c r="C56">
        <v>11037322</v>
      </c>
      <c r="D56" s="3">
        <f t="shared" si="0"/>
        <v>55186.61</v>
      </c>
      <c r="E56" s="2">
        <v>44385</v>
      </c>
      <c r="F56" s="2">
        <v>44441</v>
      </c>
      <c r="G56" s="8">
        <v>0.13958333333333334</v>
      </c>
      <c r="H56" t="s">
        <v>418</v>
      </c>
      <c r="I56" t="s">
        <v>474</v>
      </c>
      <c r="J56" t="str">
        <f t="shared" si="1"/>
        <v>Nu</v>
      </c>
    </row>
    <row r="57" spans="1:10" x14ac:dyDescent="0.2">
      <c r="A57" t="s">
        <v>93</v>
      </c>
      <c r="B57" t="s">
        <v>94</v>
      </c>
      <c r="C57">
        <v>10951000</v>
      </c>
      <c r="D57" s="3">
        <f t="shared" si="0"/>
        <v>54755</v>
      </c>
      <c r="E57" s="2">
        <v>44386</v>
      </c>
      <c r="F57" s="2">
        <v>44441</v>
      </c>
      <c r="G57" s="8">
        <v>0.13333333333333333</v>
      </c>
      <c r="H57" t="s">
        <v>428</v>
      </c>
      <c r="I57" t="s">
        <v>478</v>
      </c>
      <c r="J57" t="str">
        <f t="shared" si="1"/>
        <v>Nu</v>
      </c>
    </row>
    <row r="58" spans="1:10" x14ac:dyDescent="0.2">
      <c r="A58" t="s">
        <v>364</v>
      </c>
      <c r="B58" t="s">
        <v>52</v>
      </c>
      <c r="C58">
        <v>10913129</v>
      </c>
      <c r="D58" s="3">
        <f t="shared" si="0"/>
        <v>54565.645000000004</v>
      </c>
      <c r="E58" s="2">
        <v>44437</v>
      </c>
      <c r="F58" s="2">
        <v>44441</v>
      </c>
      <c r="G58" s="8">
        <v>0.15347222222222223</v>
      </c>
      <c r="H58" t="s">
        <v>423</v>
      </c>
      <c r="I58" t="s">
        <v>468</v>
      </c>
      <c r="J58" t="str">
        <f t="shared" si="1"/>
        <v>Nu</v>
      </c>
    </row>
    <row r="59" spans="1:10" x14ac:dyDescent="0.2">
      <c r="A59" t="s">
        <v>365</v>
      </c>
      <c r="B59" t="s">
        <v>52</v>
      </c>
      <c r="C59">
        <v>10900265</v>
      </c>
      <c r="D59" s="3">
        <f t="shared" si="0"/>
        <v>54501.324999999997</v>
      </c>
      <c r="E59" s="2">
        <v>44437</v>
      </c>
      <c r="F59" s="2">
        <v>44441</v>
      </c>
      <c r="G59" s="8">
        <v>0.37361111111111112</v>
      </c>
      <c r="H59" t="s">
        <v>423</v>
      </c>
      <c r="I59" t="s">
        <v>468</v>
      </c>
      <c r="J59" t="str">
        <f t="shared" si="1"/>
        <v>Nu</v>
      </c>
    </row>
    <row r="60" spans="1:10" x14ac:dyDescent="0.2">
      <c r="A60" t="s">
        <v>95</v>
      </c>
      <c r="B60" t="s">
        <v>17</v>
      </c>
      <c r="C60">
        <v>10837112</v>
      </c>
      <c r="D60" s="3">
        <f t="shared" si="0"/>
        <v>54185.56</v>
      </c>
      <c r="E60" s="2">
        <v>44337</v>
      </c>
      <c r="F60" s="2">
        <v>44441</v>
      </c>
      <c r="G60" s="8">
        <v>0.12152777777777778</v>
      </c>
      <c r="H60" t="s">
        <v>422</v>
      </c>
      <c r="I60" t="s">
        <v>468</v>
      </c>
      <c r="J60" t="str">
        <f t="shared" si="1"/>
        <v>Nu</v>
      </c>
    </row>
    <row r="61" spans="1:10" x14ac:dyDescent="0.2">
      <c r="A61" t="s">
        <v>96</v>
      </c>
      <c r="B61" t="s">
        <v>97</v>
      </c>
      <c r="C61">
        <v>10655348</v>
      </c>
      <c r="D61" s="3">
        <f t="shared" si="0"/>
        <v>53276.74</v>
      </c>
      <c r="E61" s="2">
        <v>43083</v>
      </c>
      <c r="F61" s="2">
        <v>44441</v>
      </c>
      <c r="G61" s="8">
        <v>0.1673611111111111</v>
      </c>
      <c r="H61" t="s">
        <v>429</v>
      </c>
      <c r="I61" t="s">
        <v>470</v>
      </c>
      <c r="J61" t="str">
        <f t="shared" si="1"/>
        <v>Nu</v>
      </c>
    </row>
    <row r="62" spans="1:10" x14ac:dyDescent="0.2">
      <c r="A62" t="s">
        <v>83</v>
      </c>
      <c r="B62" t="s">
        <v>84</v>
      </c>
      <c r="C62">
        <v>10454615</v>
      </c>
      <c r="D62" s="3">
        <f t="shared" si="0"/>
        <v>52273.074999999997</v>
      </c>
      <c r="E62" s="2">
        <v>43812</v>
      </c>
      <c r="F62" s="2">
        <v>44441</v>
      </c>
      <c r="G62" s="8">
        <v>0.12013888888888889</v>
      </c>
      <c r="H62" t="s">
        <v>422</v>
      </c>
      <c r="I62" t="s">
        <v>469</v>
      </c>
      <c r="J62" t="str">
        <f t="shared" si="1"/>
        <v>Nu</v>
      </c>
    </row>
    <row r="63" spans="1:10" x14ac:dyDescent="0.2">
      <c r="A63" t="s">
        <v>127</v>
      </c>
      <c r="B63" t="s">
        <v>12</v>
      </c>
      <c r="C63">
        <v>10218950</v>
      </c>
      <c r="D63" s="3">
        <f t="shared" si="0"/>
        <v>51094.75</v>
      </c>
      <c r="E63" s="2">
        <v>44372</v>
      </c>
      <c r="F63" s="2">
        <v>44441</v>
      </c>
      <c r="G63" s="8">
        <v>0.12083333333333333</v>
      </c>
      <c r="H63" t="s">
        <v>422</v>
      </c>
      <c r="I63" t="s">
        <v>468</v>
      </c>
      <c r="J63" t="str">
        <f t="shared" si="1"/>
        <v>Nu</v>
      </c>
    </row>
    <row r="64" spans="1:10" x14ac:dyDescent="0.2">
      <c r="A64" t="s">
        <v>134</v>
      </c>
      <c r="B64" t="s">
        <v>135</v>
      </c>
      <c r="C64">
        <v>10170485</v>
      </c>
      <c r="D64" s="3">
        <f t="shared" si="0"/>
        <v>50852.425000000003</v>
      </c>
      <c r="E64" s="2">
        <v>44386</v>
      </c>
      <c r="F64" s="2">
        <v>44441</v>
      </c>
      <c r="G64" s="8">
        <v>0.14444444444444446</v>
      </c>
      <c r="H64" t="s">
        <v>418</v>
      </c>
      <c r="I64" t="s">
        <v>479</v>
      </c>
      <c r="J64" t="str">
        <f t="shared" si="1"/>
        <v>Nu</v>
      </c>
    </row>
    <row r="65" spans="1:10" x14ac:dyDescent="0.2">
      <c r="A65" t="s">
        <v>81</v>
      </c>
      <c r="B65" t="s">
        <v>82</v>
      </c>
      <c r="C65">
        <v>10168472</v>
      </c>
      <c r="D65" s="3">
        <f t="shared" si="0"/>
        <v>50842.36</v>
      </c>
      <c r="E65" s="2">
        <v>44400</v>
      </c>
      <c r="F65" s="2">
        <v>44441</v>
      </c>
      <c r="G65" s="8">
        <v>0.11388888888888889</v>
      </c>
      <c r="H65" t="s">
        <v>422</v>
      </c>
      <c r="I65" t="s">
        <v>480</v>
      </c>
      <c r="J65" t="str">
        <f t="shared" si="1"/>
        <v>Nu</v>
      </c>
    </row>
    <row r="66" spans="1:10" x14ac:dyDescent="0.2">
      <c r="A66" t="s">
        <v>431</v>
      </c>
      <c r="B66" t="s">
        <v>111</v>
      </c>
      <c r="C66">
        <v>10119289</v>
      </c>
      <c r="D66" s="3">
        <f t="shared" si="0"/>
        <v>50596.445000000007</v>
      </c>
      <c r="E66" s="2">
        <v>44317</v>
      </c>
      <c r="F66" s="2">
        <v>44441</v>
      </c>
      <c r="G66" s="8">
        <v>0.11458333333333333</v>
      </c>
      <c r="H66" t="s">
        <v>418</v>
      </c>
      <c r="I66" t="s">
        <v>478</v>
      </c>
      <c r="J66" t="str">
        <f t="shared" si="1"/>
        <v>Nu</v>
      </c>
    </row>
    <row r="67" spans="1:10" x14ac:dyDescent="0.2">
      <c r="A67" t="s">
        <v>430</v>
      </c>
      <c r="B67" t="s">
        <v>32</v>
      </c>
      <c r="C67">
        <v>10109481</v>
      </c>
      <c r="D67" s="3">
        <f t="shared" si="0"/>
        <v>50547.404999999999</v>
      </c>
      <c r="E67" s="2">
        <v>44134</v>
      </c>
      <c r="F67" s="2">
        <v>44441</v>
      </c>
      <c r="G67" s="8">
        <v>0.1423611111111111</v>
      </c>
      <c r="H67" t="s">
        <v>426</v>
      </c>
      <c r="I67" t="s">
        <v>472</v>
      </c>
      <c r="J67" t="str">
        <f t="shared" si="1"/>
        <v>Nu</v>
      </c>
    </row>
    <row r="68" spans="1:10" x14ac:dyDescent="0.2">
      <c r="A68" t="s">
        <v>443</v>
      </c>
      <c r="B68" t="s">
        <v>116</v>
      </c>
      <c r="C68">
        <v>10104000</v>
      </c>
      <c r="D68" s="3">
        <f t="shared" ref="D68:D93" si="2">(C68/1000*5)</f>
        <v>50520</v>
      </c>
      <c r="E68" s="2">
        <v>44211</v>
      </c>
      <c r="F68" s="2">
        <v>44441</v>
      </c>
      <c r="G68" s="8">
        <v>0.1173611111111111</v>
      </c>
      <c r="H68" t="s">
        <v>432</v>
      </c>
      <c r="I68" t="s">
        <v>469</v>
      </c>
      <c r="J68" t="str">
        <f t="shared" si="1"/>
        <v>Da</v>
      </c>
    </row>
    <row r="69" spans="1:10" x14ac:dyDescent="0.2">
      <c r="A69" t="s">
        <v>137</v>
      </c>
      <c r="B69" t="s">
        <v>138</v>
      </c>
      <c r="C69">
        <v>10086800</v>
      </c>
      <c r="D69" s="3">
        <f t="shared" si="2"/>
        <v>50434</v>
      </c>
      <c r="E69" s="2">
        <v>44428</v>
      </c>
      <c r="F69" s="2">
        <v>44441</v>
      </c>
      <c r="G69" s="8">
        <v>0.1277777777777778</v>
      </c>
      <c r="H69" t="s">
        <v>422</v>
      </c>
      <c r="I69" t="s">
        <v>420</v>
      </c>
      <c r="J69" t="str">
        <f t="shared" ref="J69:J132" si="3">IF(ISNUMBER(SEARCH("with",A69)),"Da","Nu")</f>
        <v>Nu</v>
      </c>
    </row>
    <row r="70" spans="1:10" x14ac:dyDescent="0.2">
      <c r="A70" t="s">
        <v>366</v>
      </c>
      <c r="B70" t="s">
        <v>52</v>
      </c>
      <c r="C70">
        <v>10030218</v>
      </c>
      <c r="D70" s="3">
        <f t="shared" si="2"/>
        <v>50151.090000000004</v>
      </c>
      <c r="E70" s="2">
        <v>44437</v>
      </c>
      <c r="F70" s="2">
        <v>44441</v>
      </c>
      <c r="G70" s="8">
        <v>0.12708333333333333</v>
      </c>
      <c r="H70" t="s">
        <v>423</v>
      </c>
      <c r="I70" t="s">
        <v>468</v>
      </c>
      <c r="J70" t="str">
        <f t="shared" si="3"/>
        <v>Nu</v>
      </c>
    </row>
    <row r="71" spans="1:10" x14ac:dyDescent="0.2">
      <c r="A71" t="s">
        <v>26</v>
      </c>
      <c r="B71" t="s">
        <v>27</v>
      </c>
      <c r="C71">
        <v>9744131</v>
      </c>
      <c r="D71" s="3">
        <f t="shared" si="2"/>
        <v>48720.654999999999</v>
      </c>
      <c r="E71" s="2">
        <v>44421</v>
      </c>
      <c r="F71" s="2">
        <v>44441</v>
      </c>
      <c r="G71" s="8">
        <v>0.14027777777777778</v>
      </c>
      <c r="H71" t="s">
        <v>422</v>
      </c>
      <c r="I71" t="s">
        <v>469</v>
      </c>
      <c r="J71" t="str">
        <f t="shared" si="3"/>
        <v>Nu</v>
      </c>
    </row>
    <row r="72" spans="1:10" x14ac:dyDescent="0.2">
      <c r="A72" t="s">
        <v>117</v>
      </c>
      <c r="B72" t="s">
        <v>435</v>
      </c>
      <c r="C72">
        <v>9541764</v>
      </c>
      <c r="D72" s="3">
        <f t="shared" si="2"/>
        <v>47708.819999999992</v>
      </c>
      <c r="E72" s="2">
        <v>44287</v>
      </c>
      <c r="F72" s="2">
        <v>44441</v>
      </c>
      <c r="G72" s="8">
        <v>0.22291666666666665</v>
      </c>
      <c r="H72" t="s">
        <v>418</v>
      </c>
      <c r="I72" t="s">
        <v>472</v>
      </c>
      <c r="J72" t="str">
        <f t="shared" si="3"/>
        <v>Nu</v>
      </c>
    </row>
    <row r="73" spans="1:10" x14ac:dyDescent="0.2">
      <c r="A73" t="s">
        <v>125</v>
      </c>
      <c r="B73" t="s">
        <v>17</v>
      </c>
      <c r="C73">
        <v>9497239</v>
      </c>
      <c r="D73" s="3">
        <f t="shared" si="2"/>
        <v>47486.195</v>
      </c>
      <c r="E73" s="2">
        <v>44337</v>
      </c>
      <c r="F73" s="2">
        <v>44441</v>
      </c>
      <c r="G73" s="8">
        <v>0.12013888888888889</v>
      </c>
      <c r="H73" t="s">
        <v>422</v>
      </c>
      <c r="I73" t="s">
        <v>468</v>
      </c>
      <c r="J73" t="str">
        <f t="shared" si="3"/>
        <v>Nu</v>
      </c>
    </row>
    <row r="74" spans="1:10" x14ac:dyDescent="0.2">
      <c r="A74" t="s">
        <v>99</v>
      </c>
      <c r="B74" t="s">
        <v>55</v>
      </c>
      <c r="C74">
        <v>9489399</v>
      </c>
      <c r="D74" s="3">
        <f t="shared" si="2"/>
        <v>47446.994999999995</v>
      </c>
      <c r="E74" s="2">
        <v>44459</v>
      </c>
      <c r="F74" s="2">
        <v>44441</v>
      </c>
      <c r="G74" s="8">
        <v>9.7916666666666666E-2</v>
      </c>
      <c r="H74" t="s">
        <v>424</v>
      </c>
      <c r="I74" t="s">
        <v>475</v>
      </c>
      <c r="J74" t="str">
        <f t="shared" si="3"/>
        <v>Nu</v>
      </c>
    </row>
    <row r="75" spans="1:10" x14ac:dyDescent="0.2">
      <c r="A75" t="s">
        <v>119</v>
      </c>
      <c r="B75" t="s">
        <v>120</v>
      </c>
      <c r="C75">
        <v>9374344</v>
      </c>
      <c r="D75" s="3">
        <f t="shared" si="2"/>
        <v>46871.719999999994</v>
      </c>
      <c r="E75" s="2">
        <v>44438</v>
      </c>
      <c r="F75" s="2">
        <v>44441</v>
      </c>
      <c r="G75" s="8">
        <v>0.16874999999999998</v>
      </c>
      <c r="H75" t="s">
        <v>422</v>
      </c>
      <c r="I75" t="s">
        <v>470</v>
      </c>
      <c r="J75" t="str">
        <f t="shared" si="3"/>
        <v>Nu</v>
      </c>
    </row>
    <row r="76" spans="1:10" x14ac:dyDescent="0.2">
      <c r="A76" t="s">
        <v>112</v>
      </c>
      <c r="B76" t="s">
        <v>113</v>
      </c>
      <c r="C76">
        <v>9358037</v>
      </c>
      <c r="D76" s="3">
        <f t="shared" si="2"/>
        <v>46790.184999999998</v>
      </c>
      <c r="E76" s="2">
        <v>44238</v>
      </c>
      <c r="F76" s="2">
        <v>44441</v>
      </c>
      <c r="G76" s="8">
        <v>0.20625000000000002</v>
      </c>
      <c r="H76" t="s">
        <v>418</v>
      </c>
      <c r="I76" t="s">
        <v>474</v>
      </c>
      <c r="J76" t="str">
        <f t="shared" si="3"/>
        <v>Nu</v>
      </c>
    </row>
    <row r="77" spans="1:10" x14ac:dyDescent="0.2">
      <c r="A77" t="s">
        <v>442</v>
      </c>
      <c r="B77" t="s">
        <v>98</v>
      </c>
      <c r="C77">
        <v>9310325</v>
      </c>
      <c r="D77" s="3">
        <f t="shared" si="2"/>
        <v>46551.625</v>
      </c>
      <c r="E77" s="2">
        <v>44336</v>
      </c>
      <c r="F77" s="2">
        <v>44441</v>
      </c>
      <c r="G77" s="8">
        <v>9.5138888888888884E-2</v>
      </c>
      <c r="H77" t="s">
        <v>423</v>
      </c>
      <c r="I77" t="s">
        <v>468</v>
      </c>
      <c r="J77" t="str">
        <f t="shared" si="3"/>
        <v>Da</v>
      </c>
    </row>
    <row r="78" spans="1:10" x14ac:dyDescent="0.2">
      <c r="A78" t="s">
        <v>367</v>
      </c>
      <c r="B78" t="s">
        <v>52</v>
      </c>
      <c r="C78">
        <v>9288349</v>
      </c>
      <c r="D78" s="3">
        <f t="shared" si="2"/>
        <v>46441.745000000003</v>
      </c>
      <c r="E78" s="2">
        <v>44197</v>
      </c>
      <c r="F78" s="2">
        <v>44441</v>
      </c>
      <c r="G78" s="8">
        <v>0.10833333333333334</v>
      </c>
      <c r="H78" t="s">
        <v>423</v>
      </c>
      <c r="I78" t="s">
        <v>468</v>
      </c>
      <c r="J78" t="str">
        <f t="shared" si="3"/>
        <v>Nu</v>
      </c>
    </row>
    <row r="79" spans="1:10" x14ac:dyDescent="0.2">
      <c r="A79" t="s">
        <v>103</v>
      </c>
      <c r="B79" t="s">
        <v>104</v>
      </c>
      <c r="C79">
        <v>9221441</v>
      </c>
      <c r="D79" s="3">
        <f t="shared" si="2"/>
        <v>46107.205000000002</v>
      </c>
      <c r="E79" s="2">
        <v>44229</v>
      </c>
      <c r="F79" s="2">
        <v>44441</v>
      </c>
      <c r="G79" s="8">
        <v>0.14097222222222222</v>
      </c>
      <c r="H79" t="s">
        <v>422</v>
      </c>
      <c r="I79" t="s">
        <v>468</v>
      </c>
      <c r="J79" t="str">
        <f t="shared" si="3"/>
        <v>Nu</v>
      </c>
    </row>
    <row r="80" spans="1:10" x14ac:dyDescent="0.2">
      <c r="A80" t="s">
        <v>368</v>
      </c>
      <c r="B80" t="s">
        <v>52</v>
      </c>
      <c r="C80">
        <v>9221270</v>
      </c>
      <c r="D80" s="3">
        <f t="shared" si="2"/>
        <v>46106.350000000006</v>
      </c>
      <c r="E80" s="2">
        <v>44258</v>
      </c>
      <c r="F80" s="2">
        <v>44441</v>
      </c>
      <c r="G80" s="8">
        <v>0.13749999999999998</v>
      </c>
      <c r="H80" t="s">
        <v>428</v>
      </c>
      <c r="I80" t="s">
        <v>468</v>
      </c>
      <c r="J80" t="str">
        <f t="shared" si="3"/>
        <v>Nu</v>
      </c>
    </row>
    <row r="81" spans="1:10" x14ac:dyDescent="0.2">
      <c r="A81" t="s">
        <v>58</v>
      </c>
      <c r="B81" t="s">
        <v>481</v>
      </c>
      <c r="C81">
        <v>9164205</v>
      </c>
      <c r="D81" s="3">
        <f t="shared" si="2"/>
        <v>45821.025000000001</v>
      </c>
      <c r="E81" s="2">
        <v>44320</v>
      </c>
      <c r="F81" s="2">
        <v>44441</v>
      </c>
      <c r="G81" s="8">
        <v>0.14097222222222222</v>
      </c>
      <c r="H81" t="s">
        <v>416</v>
      </c>
      <c r="I81" t="s">
        <v>482</v>
      </c>
      <c r="J81" t="str">
        <f t="shared" si="3"/>
        <v>Nu</v>
      </c>
    </row>
    <row r="82" spans="1:10" x14ac:dyDescent="0.2">
      <c r="A82" t="s">
        <v>114</v>
      </c>
      <c r="B82" t="s">
        <v>115</v>
      </c>
      <c r="C82">
        <v>8949541</v>
      </c>
      <c r="D82" s="3">
        <f t="shared" si="2"/>
        <v>44747.704999999994</v>
      </c>
      <c r="E82" s="2">
        <v>44352</v>
      </c>
      <c r="F82" s="2">
        <v>44441</v>
      </c>
      <c r="G82" s="8">
        <v>0.11388888888888889</v>
      </c>
      <c r="H82" t="s">
        <v>423</v>
      </c>
      <c r="I82" t="s">
        <v>483</v>
      </c>
      <c r="J82" t="str">
        <f t="shared" si="3"/>
        <v>Nu</v>
      </c>
    </row>
    <row r="83" spans="1:10" x14ac:dyDescent="0.2">
      <c r="A83" t="s">
        <v>91</v>
      </c>
      <c r="B83" t="s">
        <v>92</v>
      </c>
      <c r="C83">
        <v>8898032</v>
      </c>
      <c r="D83" s="3">
        <f t="shared" si="2"/>
        <v>44490.159999999996</v>
      </c>
      <c r="E83" s="2">
        <v>44276</v>
      </c>
      <c r="F83" s="2">
        <v>44441</v>
      </c>
      <c r="G83" s="8">
        <v>0.17500000000000002</v>
      </c>
      <c r="H83" t="s">
        <v>422</v>
      </c>
      <c r="I83" t="s">
        <v>469</v>
      </c>
      <c r="J83" t="str">
        <f t="shared" si="3"/>
        <v>Nu</v>
      </c>
    </row>
    <row r="84" spans="1:10" x14ac:dyDescent="0.2">
      <c r="A84" t="s">
        <v>133</v>
      </c>
      <c r="B84" t="s">
        <v>17</v>
      </c>
      <c r="C84">
        <v>8849812</v>
      </c>
      <c r="D84" s="3">
        <f t="shared" si="2"/>
        <v>44249.06</v>
      </c>
      <c r="E84" s="2">
        <v>44346</v>
      </c>
      <c r="F84" s="2">
        <v>44441</v>
      </c>
      <c r="G84" s="8">
        <v>0.14930555555555555</v>
      </c>
      <c r="H84" t="s">
        <v>434</v>
      </c>
      <c r="I84" t="s">
        <v>468</v>
      </c>
      <c r="J84" t="str">
        <f t="shared" si="3"/>
        <v>Nu</v>
      </c>
    </row>
    <row r="85" spans="1:10" x14ac:dyDescent="0.2">
      <c r="A85" t="s">
        <v>369</v>
      </c>
      <c r="B85" t="s">
        <v>52</v>
      </c>
      <c r="C85">
        <v>8821108</v>
      </c>
      <c r="D85" s="3">
        <f t="shared" si="2"/>
        <v>44105.54</v>
      </c>
      <c r="E85" s="2">
        <v>44439</v>
      </c>
      <c r="F85" s="2">
        <v>44441</v>
      </c>
      <c r="G85" s="8">
        <v>0.10208333333333335</v>
      </c>
      <c r="H85" t="s">
        <v>418</v>
      </c>
      <c r="I85" t="s">
        <v>468</v>
      </c>
      <c r="J85" t="str">
        <f t="shared" si="3"/>
        <v>Nu</v>
      </c>
    </row>
    <row r="86" spans="1:10" x14ac:dyDescent="0.2">
      <c r="A86" t="s">
        <v>370</v>
      </c>
      <c r="B86" t="s">
        <v>52</v>
      </c>
      <c r="C86">
        <v>8799808</v>
      </c>
      <c r="D86" s="3">
        <f t="shared" si="2"/>
        <v>43999.040000000008</v>
      </c>
      <c r="E86" s="2">
        <v>44451</v>
      </c>
      <c r="F86" s="2">
        <v>44441</v>
      </c>
      <c r="G86" s="8">
        <v>9.0277777777777776E-2</v>
      </c>
      <c r="H86" t="s">
        <v>426</v>
      </c>
      <c r="I86" t="s">
        <v>468</v>
      </c>
      <c r="J86" t="str">
        <f t="shared" si="3"/>
        <v>Nu</v>
      </c>
    </row>
    <row r="87" spans="1:10" x14ac:dyDescent="0.2">
      <c r="A87" t="s">
        <v>456</v>
      </c>
      <c r="B87" t="s">
        <v>324</v>
      </c>
      <c r="C87">
        <v>8664176</v>
      </c>
      <c r="D87" s="3">
        <f t="shared" si="2"/>
        <v>43320.88</v>
      </c>
      <c r="E87" s="2">
        <v>44409</v>
      </c>
      <c r="F87" s="2">
        <v>44441</v>
      </c>
      <c r="G87" s="8">
        <v>8.5416666666666655E-2</v>
      </c>
      <c r="H87" t="s">
        <v>433</v>
      </c>
      <c r="I87" t="s">
        <v>468</v>
      </c>
      <c r="J87" t="str">
        <f t="shared" si="3"/>
        <v>Da</v>
      </c>
    </row>
    <row r="88" spans="1:10" x14ac:dyDescent="0.2">
      <c r="A88" t="s">
        <v>85</v>
      </c>
      <c r="B88" t="s">
        <v>86</v>
      </c>
      <c r="C88">
        <v>8653162</v>
      </c>
      <c r="D88" s="3">
        <f t="shared" si="2"/>
        <v>43265.81</v>
      </c>
      <c r="E88" s="2">
        <v>44230</v>
      </c>
      <c r="F88" s="2">
        <v>44441</v>
      </c>
      <c r="G88" s="8">
        <v>9.5833333333333326E-2</v>
      </c>
      <c r="H88" t="s">
        <v>416</v>
      </c>
      <c r="I88" t="s">
        <v>468</v>
      </c>
      <c r="J88" t="str">
        <f t="shared" si="3"/>
        <v>Nu</v>
      </c>
    </row>
    <row r="89" spans="1:10" x14ac:dyDescent="0.2">
      <c r="A89" t="s">
        <v>107</v>
      </c>
      <c r="B89" t="s">
        <v>108</v>
      </c>
      <c r="C89">
        <v>8647549</v>
      </c>
      <c r="D89" s="3">
        <f t="shared" si="2"/>
        <v>43237.745000000003</v>
      </c>
      <c r="E89" s="2">
        <v>44466</v>
      </c>
      <c r="F89" s="2">
        <v>44441</v>
      </c>
      <c r="G89" s="8">
        <v>0.16805555555555554</v>
      </c>
      <c r="H89" t="s">
        <v>433</v>
      </c>
      <c r="I89" t="s">
        <v>468</v>
      </c>
      <c r="J89" t="str">
        <f t="shared" si="3"/>
        <v>Da</v>
      </c>
    </row>
    <row r="90" spans="1:10" x14ac:dyDescent="0.2">
      <c r="A90" t="s">
        <v>101</v>
      </c>
      <c r="B90" t="s">
        <v>102</v>
      </c>
      <c r="C90">
        <v>8613553</v>
      </c>
      <c r="D90" s="3">
        <f t="shared" si="2"/>
        <v>43067.764999999999</v>
      </c>
      <c r="E90" s="2">
        <v>44306</v>
      </c>
      <c r="F90" s="2">
        <v>44441</v>
      </c>
      <c r="G90" s="8">
        <v>0.15347222222222223</v>
      </c>
      <c r="H90" t="s">
        <v>432</v>
      </c>
      <c r="I90" t="s">
        <v>468</v>
      </c>
      <c r="J90" t="str">
        <f t="shared" si="3"/>
        <v>Nu</v>
      </c>
    </row>
    <row r="91" spans="1:10" x14ac:dyDescent="0.2">
      <c r="A91" t="s">
        <v>122</v>
      </c>
      <c r="B91" t="s">
        <v>481</v>
      </c>
      <c r="C91">
        <v>8470336</v>
      </c>
      <c r="D91" s="3">
        <f t="shared" si="2"/>
        <v>42351.679999999993</v>
      </c>
      <c r="E91" s="2">
        <v>44336</v>
      </c>
      <c r="F91" s="2">
        <v>44441</v>
      </c>
      <c r="G91" s="8">
        <v>0.12152777777777778</v>
      </c>
      <c r="H91" t="s">
        <v>432</v>
      </c>
      <c r="I91" t="s">
        <v>482</v>
      </c>
      <c r="J91" t="str">
        <f t="shared" si="3"/>
        <v>Nu</v>
      </c>
    </row>
    <row r="92" spans="1:10" x14ac:dyDescent="0.2">
      <c r="A92" t="s">
        <v>371</v>
      </c>
      <c r="B92" t="s">
        <v>372</v>
      </c>
      <c r="C92">
        <v>8420550</v>
      </c>
      <c r="D92" s="3">
        <f t="shared" si="2"/>
        <v>42102.75</v>
      </c>
      <c r="E92" s="2">
        <v>44460</v>
      </c>
      <c r="F92" s="2">
        <v>44441</v>
      </c>
      <c r="G92" s="8">
        <v>0.12013888888888889</v>
      </c>
      <c r="H92" t="s">
        <v>432</v>
      </c>
      <c r="I92" t="s">
        <v>468</v>
      </c>
      <c r="J92" t="str">
        <f t="shared" si="3"/>
        <v>Nu</v>
      </c>
    </row>
    <row r="93" spans="1:10" x14ac:dyDescent="0.2">
      <c r="A93" t="s">
        <v>105</v>
      </c>
      <c r="B93" t="s">
        <v>106</v>
      </c>
      <c r="C93">
        <v>8373451</v>
      </c>
      <c r="D93" s="3">
        <f t="shared" si="2"/>
        <v>41867.254999999997</v>
      </c>
      <c r="E93" s="2">
        <v>44377</v>
      </c>
      <c r="F93" s="2">
        <v>44441</v>
      </c>
      <c r="G93" s="8">
        <v>0.14444444444444446</v>
      </c>
      <c r="H93" t="s">
        <v>423</v>
      </c>
      <c r="I93" t="s">
        <v>484</v>
      </c>
      <c r="J93" t="str">
        <f t="shared" si="3"/>
        <v>Nu</v>
      </c>
    </row>
    <row r="94" spans="1:10" x14ac:dyDescent="0.2">
      <c r="A94" t="s">
        <v>109</v>
      </c>
      <c r="B94" t="s">
        <v>38</v>
      </c>
      <c r="C94">
        <v>8309988</v>
      </c>
      <c r="D94" s="3">
        <f>(C94/1000*5)</f>
        <v>41549.939999999995</v>
      </c>
      <c r="E94" s="2">
        <v>44248</v>
      </c>
      <c r="F94" s="2">
        <v>44441</v>
      </c>
      <c r="G94" s="8">
        <v>0.1173611111111111</v>
      </c>
      <c r="H94" t="s">
        <v>424</v>
      </c>
      <c r="I94" t="s">
        <v>469</v>
      </c>
      <c r="J94" t="str">
        <f t="shared" si="3"/>
        <v>Nu</v>
      </c>
    </row>
    <row r="95" spans="1:10" x14ac:dyDescent="0.2">
      <c r="A95" t="s">
        <v>126</v>
      </c>
      <c r="B95" t="s">
        <v>38</v>
      </c>
      <c r="C95">
        <v>8216633</v>
      </c>
      <c r="D95" s="3">
        <f t="shared" ref="D95:D107" si="4">(C95/1000*5)</f>
        <v>41083.165000000001</v>
      </c>
      <c r="E95" s="2">
        <v>44259</v>
      </c>
      <c r="F95" s="2">
        <v>44441</v>
      </c>
      <c r="G95" s="8">
        <v>0.14027777777777778</v>
      </c>
      <c r="H95" t="s">
        <v>429</v>
      </c>
      <c r="I95" t="s">
        <v>469</v>
      </c>
      <c r="J95" t="str">
        <f t="shared" si="3"/>
        <v>Nu</v>
      </c>
    </row>
    <row r="96" spans="1:10" x14ac:dyDescent="0.2">
      <c r="A96" t="s">
        <v>181</v>
      </c>
      <c r="B96" t="s">
        <v>42</v>
      </c>
      <c r="C96">
        <v>8164992</v>
      </c>
      <c r="D96" s="3">
        <f t="shared" si="4"/>
        <v>40824.959999999999</v>
      </c>
      <c r="E96" s="2">
        <v>44316</v>
      </c>
      <c r="F96" s="2">
        <v>44441</v>
      </c>
      <c r="G96" s="8">
        <v>0.12013888888888889</v>
      </c>
      <c r="H96" t="s">
        <v>429</v>
      </c>
      <c r="I96" t="s">
        <v>474</v>
      </c>
      <c r="J96" t="str">
        <f t="shared" si="3"/>
        <v>Nu</v>
      </c>
    </row>
    <row r="97" spans="1:10" x14ac:dyDescent="0.2">
      <c r="A97" t="s">
        <v>248</v>
      </c>
      <c r="B97" t="s">
        <v>211</v>
      </c>
      <c r="C97">
        <v>8138053</v>
      </c>
      <c r="D97" s="3">
        <f t="shared" si="4"/>
        <v>40690.264999999999</v>
      </c>
      <c r="E97" s="2">
        <v>44282</v>
      </c>
      <c r="F97" s="2">
        <v>44441</v>
      </c>
      <c r="G97" s="21">
        <v>9.7916666666666666E-2</v>
      </c>
      <c r="H97" t="s">
        <v>416</v>
      </c>
      <c r="I97" t="s">
        <v>468</v>
      </c>
      <c r="J97" t="str">
        <f t="shared" si="3"/>
        <v>Nu</v>
      </c>
    </row>
    <row r="98" spans="1:10" x14ac:dyDescent="0.2">
      <c r="A98" t="s">
        <v>330</v>
      </c>
      <c r="B98" t="s">
        <v>10</v>
      </c>
      <c r="C98">
        <v>8102174</v>
      </c>
      <c r="D98" s="3">
        <f t="shared" si="4"/>
        <v>40510.870000000003</v>
      </c>
      <c r="E98" s="2">
        <v>44254</v>
      </c>
      <c r="F98" s="2">
        <v>44441</v>
      </c>
      <c r="G98" s="21">
        <v>0.14722222222222223</v>
      </c>
      <c r="H98" t="s">
        <v>422</v>
      </c>
      <c r="I98" t="s">
        <v>469</v>
      </c>
      <c r="J98" t="str">
        <f t="shared" si="3"/>
        <v>Nu</v>
      </c>
    </row>
    <row r="99" spans="1:10" x14ac:dyDescent="0.2">
      <c r="A99" t="s">
        <v>205</v>
      </c>
      <c r="B99" t="s">
        <v>206</v>
      </c>
      <c r="C99">
        <v>8066320</v>
      </c>
      <c r="D99" s="3">
        <f t="shared" si="4"/>
        <v>40331.599999999999</v>
      </c>
      <c r="E99" s="2">
        <v>44308</v>
      </c>
      <c r="F99" s="2">
        <v>44441</v>
      </c>
      <c r="G99" s="21">
        <v>0.14722222222222223</v>
      </c>
      <c r="H99" t="s">
        <v>423</v>
      </c>
      <c r="I99" t="s">
        <v>485</v>
      </c>
      <c r="J99" t="str">
        <f t="shared" si="3"/>
        <v>Nu</v>
      </c>
    </row>
    <row r="100" spans="1:10" x14ac:dyDescent="0.2">
      <c r="A100" t="s">
        <v>165</v>
      </c>
      <c r="B100" t="s">
        <v>166</v>
      </c>
      <c r="C100">
        <v>7991231</v>
      </c>
      <c r="D100" s="3">
        <f t="shared" si="4"/>
        <v>39956.154999999999</v>
      </c>
      <c r="E100" s="2">
        <v>44406</v>
      </c>
      <c r="F100" s="2">
        <v>44441</v>
      </c>
      <c r="G100" s="21">
        <v>0.14652777777777778</v>
      </c>
      <c r="H100" t="s">
        <v>426</v>
      </c>
      <c r="I100" t="s">
        <v>485</v>
      </c>
      <c r="J100" t="str">
        <f t="shared" si="3"/>
        <v>Nu</v>
      </c>
    </row>
    <row r="101" spans="1:10" x14ac:dyDescent="0.2">
      <c r="A101" t="s">
        <v>139</v>
      </c>
      <c r="B101" t="s">
        <v>46</v>
      </c>
      <c r="C101">
        <v>7943160</v>
      </c>
      <c r="D101" s="3">
        <f t="shared" si="4"/>
        <v>39715.800000000003</v>
      </c>
      <c r="E101" s="2">
        <v>44209</v>
      </c>
      <c r="F101" s="2">
        <v>44441</v>
      </c>
      <c r="G101" s="21">
        <v>0.16874999999999998</v>
      </c>
      <c r="H101" t="s">
        <v>429</v>
      </c>
      <c r="I101" t="s">
        <v>420</v>
      </c>
      <c r="J101" t="str">
        <f t="shared" si="3"/>
        <v>Nu</v>
      </c>
    </row>
    <row r="102" spans="1:10" x14ac:dyDescent="0.2">
      <c r="A102" t="s">
        <v>148</v>
      </c>
      <c r="B102" t="s">
        <v>149</v>
      </c>
      <c r="C102">
        <v>7942778</v>
      </c>
      <c r="D102" s="3">
        <f t="shared" si="4"/>
        <v>39713.89</v>
      </c>
      <c r="E102" s="2">
        <v>44309</v>
      </c>
      <c r="F102" s="2">
        <v>44441</v>
      </c>
      <c r="G102" s="21">
        <v>0.19930555555555554</v>
      </c>
      <c r="H102" t="s">
        <v>424</v>
      </c>
      <c r="I102" t="s">
        <v>468</v>
      </c>
      <c r="J102" t="str">
        <f t="shared" si="3"/>
        <v>Nu</v>
      </c>
    </row>
    <row r="103" spans="1:10" x14ac:dyDescent="0.2">
      <c r="A103" t="s">
        <v>373</v>
      </c>
      <c r="B103" t="s">
        <v>52</v>
      </c>
      <c r="C103">
        <v>7880253</v>
      </c>
      <c r="D103" s="3">
        <f t="shared" si="4"/>
        <v>39401.264999999999</v>
      </c>
      <c r="E103" s="2">
        <v>44256</v>
      </c>
      <c r="F103" s="2">
        <v>44441</v>
      </c>
      <c r="G103" s="21">
        <v>0.12361111111111112</v>
      </c>
      <c r="H103" t="s">
        <v>433</v>
      </c>
      <c r="I103" t="s">
        <v>468</v>
      </c>
      <c r="J103" t="str">
        <f t="shared" si="3"/>
        <v>Nu</v>
      </c>
    </row>
    <row r="104" spans="1:10" x14ac:dyDescent="0.2">
      <c r="A104" t="s">
        <v>256</v>
      </c>
      <c r="B104" t="s">
        <v>257</v>
      </c>
      <c r="C104">
        <v>7666991</v>
      </c>
      <c r="D104" s="3">
        <f t="shared" si="4"/>
        <v>38334.955000000002</v>
      </c>
      <c r="E104" s="2">
        <v>44307</v>
      </c>
      <c r="F104" s="2">
        <v>44441</v>
      </c>
      <c r="G104" s="21">
        <v>0.14583333333333334</v>
      </c>
      <c r="H104" t="s">
        <v>416</v>
      </c>
      <c r="I104" t="s">
        <v>486</v>
      </c>
      <c r="J104" t="str">
        <f t="shared" si="3"/>
        <v>Nu</v>
      </c>
    </row>
    <row r="105" spans="1:10" x14ac:dyDescent="0.2">
      <c r="A105" t="s">
        <v>155</v>
      </c>
      <c r="B105" t="s">
        <v>156</v>
      </c>
      <c r="C105">
        <v>7655152</v>
      </c>
      <c r="D105" s="3">
        <f t="shared" si="4"/>
        <v>38275.760000000002</v>
      </c>
      <c r="E105" s="2">
        <v>44245</v>
      </c>
      <c r="F105" s="2">
        <v>44441</v>
      </c>
      <c r="G105" s="21">
        <v>0.10069444444444443</v>
      </c>
      <c r="H105" t="s">
        <v>428</v>
      </c>
      <c r="I105" t="s">
        <v>468</v>
      </c>
      <c r="J105" t="str">
        <f t="shared" si="3"/>
        <v>Nu</v>
      </c>
    </row>
    <row r="106" spans="1:10" x14ac:dyDescent="0.2">
      <c r="A106" t="s">
        <v>338</v>
      </c>
      <c r="B106" t="s">
        <v>339</v>
      </c>
      <c r="C106">
        <v>7641025</v>
      </c>
      <c r="D106" s="3">
        <f t="shared" si="4"/>
        <v>38205.125</v>
      </c>
      <c r="E106" s="2">
        <v>44427</v>
      </c>
      <c r="F106" s="2">
        <v>44441</v>
      </c>
      <c r="G106" s="21">
        <v>0.20625000000000002</v>
      </c>
      <c r="H106" t="s">
        <v>434</v>
      </c>
      <c r="I106" t="s">
        <v>468</v>
      </c>
      <c r="J106" t="str">
        <f t="shared" si="3"/>
        <v>Da</v>
      </c>
    </row>
    <row r="107" spans="1:10" x14ac:dyDescent="0.2">
      <c r="A107" t="s">
        <v>445</v>
      </c>
      <c r="B107" t="s">
        <v>140</v>
      </c>
      <c r="C107">
        <v>7601207</v>
      </c>
      <c r="D107" s="3">
        <f t="shared" si="4"/>
        <v>38006.035000000003</v>
      </c>
      <c r="E107" s="2">
        <v>44389</v>
      </c>
      <c r="F107" s="2">
        <v>44441</v>
      </c>
      <c r="G107" s="21">
        <v>0.20694444444444446</v>
      </c>
      <c r="H107" t="s">
        <v>434</v>
      </c>
      <c r="I107" t="s">
        <v>468</v>
      </c>
      <c r="J107" t="str">
        <f t="shared" si="3"/>
        <v>Da</v>
      </c>
    </row>
    <row r="108" spans="1:10" x14ac:dyDescent="0.2">
      <c r="A108" t="s">
        <v>249</v>
      </c>
      <c r="B108" t="s">
        <v>250</v>
      </c>
      <c r="C108">
        <v>7551849</v>
      </c>
      <c r="D108" s="3">
        <f>(C108/1000*5)</f>
        <v>37759.245000000003</v>
      </c>
      <c r="E108" s="2">
        <v>44340</v>
      </c>
      <c r="F108" s="2">
        <v>44441</v>
      </c>
      <c r="G108" s="21">
        <v>0.23541666666666669</v>
      </c>
      <c r="H108" t="s">
        <v>418</v>
      </c>
      <c r="I108" t="s">
        <v>487</v>
      </c>
      <c r="J108" t="str">
        <f t="shared" si="3"/>
        <v>Da</v>
      </c>
    </row>
    <row r="109" spans="1:10" x14ac:dyDescent="0.2">
      <c r="A109" t="s">
        <v>170</v>
      </c>
      <c r="B109" t="s">
        <v>171</v>
      </c>
      <c r="C109">
        <v>7454420</v>
      </c>
      <c r="D109" s="3">
        <f t="shared" ref="D109:D123" si="5">(C109/1000*5)</f>
        <v>37272.1</v>
      </c>
      <c r="E109" s="2">
        <v>44446</v>
      </c>
      <c r="F109" s="2">
        <v>44441</v>
      </c>
      <c r="G109" s="21">
        <v>9.5138888888888884E-2</v>
      </c>
      <c r="H109" t="s">
        <v>434</v>
      </c>
      <c r="I109" t="s">
        <v>468</v>
      </c>
      <c r="J109" t="str">
        <f t="shared" si="3"/>
        <v>Nu</v>
      </c>
    </row>
    <row r="110" spans="1:10" x14ac:dyDescent="0.2">
      <c r="A110" t="s">
        <v>374</v>
      </c>
      <c r="B110" t="s">
        <v>52</v>
      </c>
      <c r="C110">
        <v>7405936</v>
      </c>
      <c r="D110" s="3">
        <f t="shared" si="5"/>
        <v>37029.68</v>
      </c>
      <c r="E110" s="2">
        <v>44357</v>
      </c>
      <c r="F110" s="2">
        <v>44441</v>
      </c>
      <c r="G110" s="21">
        <v>0.14444444444444446</v>
      </c>
      <c r="H110" t="s">
        <v>422</v>
      </c>
      <c r="I110" t="s">
        <v>468</v>
      </c>
      <c r="J110" t="str">
        <f t="shared" si="3"/>
        <v>Nu</v>
      </c>
    </row>
    <row r="111" spans="1:10" x14ac:dyDescent="0.2">
      <c r="A111" t="s">
        <v>208</v>
      </c>
      <c r="B111" t="s">
        <v>488</v>
      </c>
      <c r="C111">
        <v>7403450</v>
      </c>
      <c r="D111" s="3">
        <f t="shared" si="5"/>
        <v>37017.25</v>
      </c>
      <c r="E111" s="2">
        <v>44452</v>
      </c>
      <c r="F111" s="2">
        <v>44441</v>
      </c>
      <c r="G111" s="21">
        <v>0.13819444444444443</v>
      </c>
      <c r="H111" t="s">
        <v>423</v>
      </c>
      <c r="I111" t="s">
        <v>486</v>
      </c>
      <c r="J111" t="str">
        <f t="shared" si="3"/>
        <v>Nu</v>
      </c>
    </row>
    <row r="112" spans="1:10" x14ac:dyDescent="0.2">
      <c r="A112" t="s">
        <v>272</v>
      </c>
      <c r="B112" t="s">
        <v>273</v>
      </c>
      <c r="C112">
        <v>7346918</v>
      </c>
      <c r="D112" s="3">
        <f t="shared" si="5"/>
        <v>36734.589999999997</v>
      </c>
      <c r="E112" s="2">
        <v>44360</v>
      </c>
      <c r="F112" s="2">
        <v>44441</v>
      </c>
      <c r="G112" s="21">
        <v>0.15694444444444444</v>
      </c>
      <c r="H112" t="s">
        <v>422</v>
      </c>
      <c r="I112" t="s">
        <v>485</v>
      </c>
      <c r="J112" t="str">
        <f t="shared" si="3"/>
        <v>Nu</v>
      </c>
    </row>
    <row r="113" spans="1:10" x14ac:dyDescent="0.2">
      <c r="A113" t="s">
        <v>290</v>
      </c>
      <c r="B113" t="s">
        <v>158</v>
      </c>
      <c r="C113">
        <v>7311942</v>
      </c>
      <c r="D113" s="3">
        <f t="shared" si="5"/>
        <v>36559.71</v>
      </c>
      <c r="E113" s="2">
        <v>44208</v>
      </c>
      <c r="F113" s="2">
        <v>44441</v>
      </c>
      <c r="G113" s="21">
        <v>0.16527777777777777</v>
      </c>
      <c r="H113" t="s">
        <v>433</v>
      </c>
      <c r="I113" t="s">
        <v>468</v>
      </c>
      <c r="J113" t="str">
        <f t="shared" si="3"/>
        <v>Nu</v>
      </c>
    </row>
    <row r="114" spans="1:10" x14ac:dyDescent="0.2">
      <c r="A114" t="s">
        <v>146</v>
      </c>
      <c r="B114" t="s">
        <v>147</v>
      </c>
      <c r="C114">
        <v>7163894</v>
      </c>
      <c r="D114" s="3">
        <f t="shared" si="5"/>
        <v>35819.47</v>
      </c>
      <c r="E114" s="2">
        <v>44370</v>
      </c>
      <c r="F114" s="2">
        <v>44441</v>
      </c>
      <c r="G114" s="21">
        <v>0.15972222222222224</v>
      </c>
      <c r="H114" t="s">
        <v>423</v>
      </c>
      <c r="I114" t="s">
        <v>468</v>
      </c>
      <c r="J114" t="str">
        <f t="shared" si="3"/>
        <v>Nu</v>
      </c>
    </row>
    <row r="115" spans="1:10" x14ac:dyDescent="0.2">
      <c r="A115" t="s">
        <v>194</v>
      </c>
      <c r="B115" t="s">
        <v>12</v>
      </c>
      <c r="C115">
        <v>7105986</v>
      </c>
      <c r="D115" s="3">
        <f t="shared" si="5"/>
        <v>35529.93</v>
      </c>
      <c r="E115" s="2">
        <v>44262</v>
      </c>
      <c r="F115" s="2">
        <v>44441</v>
      </c>
      <c r="G115" s="21">
        <v>0.10833333333333334</v>
      </c>
      <c r="H115" t="s">
        <v>418</v>
      </c>
      <c r="I115" t="s">
        <v>468</v>
      </c>
      <c r="J115" t="str">
        <f t="shared" si="3"/>
        <v>Nu</v>
      </c>
    </row>
    <row r="116" spans="1:10" x14ac:dyDescent="0.2">
      <c r="A116" t="s">
        <v>157</v>
      </c>
      <c r="B116" t="s">
        <v>158</v>
      </c>
      <c r="C116">
        <v>7085474</v>
      </c>
      <c r="D116" s="3">
        <f t="shared" si="5"/>
        <v>35427.370000000003</v>
      </c>
      <c r="E116" s="2">
        <v>44245</v>
      </c>
      <c r="F116" s="2">
        <v>44441</v>
      </c>
      <c r="G116" s="21">
        <v>0.14305555555555557</v>
      </c>
      <c r="H116" t="s">
        <v>422</v>
      </c>
      <c r="I116" t="s">
        <v>468</v>
      </c>
      <c r="J116" t="str">
        <f t="shared" si="3"/>
        <v>Nu</v>
      </c>
    </row>
    <row r="117" spans="1:10" x14ac:dyDescent="0.2">
      <c r="A117" t="s">
        <v>236</v>
      </c>
      <c r="B117" t="s">
        <v>17</v>
      </c>
      <c r="C117">
        <v>7045689</v>
      </c>
      <c r="D117" s="3">
        <f t="shared" si="5"/>
        <v>35228.445</v>
      </c>
      <c r="E117" s="2">
        <v>44347</v>
      </c>
      <c r="F117" s="2">
        <v>44441</v>
      </c>
      <c r="G117" s="21">
        <v>0.12013888888888889</v>
      </c>
      <c r="H117" t="s">
        <v>423</v>
      </c>
      <c r="I117" t="s">
        <v>468</v>
      </c>
      <c r="J117" t="str">
        <f t="shared" si="3"/>
        <v>Nu</v>
      </c>
    </row>
    <row r="118" spans="1:10" x14ac:dyDescent="0.2">
      <c r="A118" t="s">
        <v>161</v>
      </c>
      <c r="B118" t="s">
        <v>162</v>
      </c>
      <c r="C118">
        <v>7034700</v>
      </c>
      <c r="D118" s="3">
        <f t="shared" si="5"/>
        <v>35173.5</v>
      </c>
      <c r="E118" s="2">
        <v>44408</v>
      </c>
      <c r="F118" s="2">
        <v>44441</v>
      </c>
      <c r="G118" s="21">
        <v>0.15277777777777776</v>
      </c>
      <c r="H118" t="s">
        <v>423</v>
      </c>
      <c r="I118" t="s">
        <v>470</v>
      </c>
      <c r="J118" t="str">
        <f t="shared" si="3"/>
        <v>Nu</v>
      </c>
    </row>
    <row r="119" spans="1:10" x14ac:dyDescent="0.2">
      <c r="A119" t="s">
        <v>153</v>
      </c>
      <c r="B119" t="s">
        <v>154</v>
      </c>
      <c r="C119">
        <v>6995145</v>
      </c>
      <c r="D119" s="3">
        <f t="shared" si="5"/>
        <v>34975.725000000006</v>
      </c>
      <c r="E119" s="2">
        <v>44307</v>
      </c>
      <c r="F119" s="2">
        <v>44441</v>
      </c>
      <c r="G119" s="21">
        <v>0.15069444444444444</v>
      </c>
      <c r="H119" t="s">
        <v>422</v>
      </c>
      <c r="I119" t="s">
        <v>468</v>
      </c>
      <c r="J119" t="str">
        <f t="shared" si="3"/>
        <v>Nu</v>
      </c>
    </row>
    <row r="120" spans="1:10" x14ac:dyDescent="0.2">
      <c r="A120" t="s">
        <v>452</v>
      </c>
      <c r="B120" t="s">
        <v>233</v>
      </c>
      <c r="C120">
        <v>6982261</v>
      </c>
      <c r="D120" s="3">
        <f t="shared" si="5"/>
        <v>34911.305</v>
      </c>
      <c r="E120" s="2">
        <v>44341</v>
      </c>
      <c r="F120" s="2">
        <v>44441</v>
      </c>
      <c r="G120" s="21">
        <v>0.14097222222222222</v>
      </c>
      <c r="H120" t="s">
        <v>423</v>
      </c>
      <c r="I120" t="s">
        <v>468</v>
      </c>
      <c r="J120" t="str">
        <f t="shared" si="3"/>
        <v>Da</v>
      </c>
    </row>
    <row r="121" spans="1:10" x14ac:dyDescent="0.2">
      <c r="A121" t="s">
        <v>179</v>
      </c>
      <c r="B121" t="s">
        <v>180</v>
      </c>
      <c r="C121">
        <v>6934161</v>
      </c>
      <c r="D121" s="3">
        <f t="shared" si="5"/>
        <v>34670.805</v>
      </c>
      <c r="E121" s="2">
        <v>44303</v>
      </c>
      <c r="F121" s="2">
        <v>44441</v>
      </c>
      <c r="G121" s="21">
        <v>0.15902777777777777</v>
      </c>
      <c r="H121" t="s">
        <v>423</v>
      </c>
      <c r="I121" t="s">
        <v>482</v>
      </c>
      <c r="J121" t="str">
        <f t="shared" si="3"/>
        <v>Nu</v>
      </c>
    </row>
    <row r="122" spans="1:10" x14ac:dyDescent="0.2">
      <c r="A122" t="s">
        <v>130</v>
      </c>
      <c r="B122" t="s">
        <v>23</v>
      </c>
      <c r="C122">
        <v>6914663</v>
      </c>
      <c r="D122" s="3">
        <f t="shared" si="5"/>
        <v>34573.314999999995</v>
      </c>
      <c r="E122" s="2">
        <v>44385</v>
      </c>
      <c r="F122" s="2">
        <v>44441</v>
      </c>
      <c r="G122" s="21">
        <v>0.16805555555555554</v>
      </c>
      <c r="H122" t="s">
        <v>418</v>
      </c>
      <c r="I122" t="s">
        <v>468</v>
      </c>
      <c r="J122" t="str">
        <f t="shared" si="3"/>
        <v>Da</v>
      </c>
    </row>
    <row r="123" spans="1:10" x14ac:dyDescent="0.2">
      <c r="A123" t="s">
        <v>460</v>
      </c>
      <c r="B123" t="s">
        <v>375</v>
      </c>
      <c r="C123">
        <v>6894638</v>
      </c>
      <c r="D123" s="3">
        <f t="shared" si="5"/>
        <v>34473.19</v>
      </c>
      <c r="E123" s="2">
        <v>44427</v>
      </c>
      <c r="F123" s="2">
        <v>44441</v>
      </c>
      <c r="G123" s="21">
        <v>0.13749999999999998</v>
      </c>
      <c r="H123" t="s">
        <v>424</v>
      </c>
      <c r="I123" t="s">
        <v>468</v>
      </c>
      <c r="J123" t="str">
        <f t="shared" si="3"/>
        <v>Da</v>
      </c>
    </row>
    <row r="124" spans="1:10" x14ac:dyDescent="0.2">
      <c r="A124" t="s">
        <v>152</v>
      </c>
      <c r="B124" t="s">
        <v>106</v>
      </c>
      <c r="C124">
        <v>6886210</v>
      </c>
      <c r="D124" s="3">
        <f>(C124/1000*5)</f>
        <v>34431.050000000003</v>
      </c>
      <c r="E124" s="2">
        <v>44226</v>
      </c>
      <c r="F124" s="2">
        <v>44441</v>
      </c>
      <c r="G124" s="21">
        <v>0.13541666666666666</v>
      </c>
      <c r="H124" t="s">
        <v>423</v>
      </c>
      <c r="I124" t="s">
        <v>484</v>
      </c>
      <c r="J124" t="str">
        <f t="shared" si="3"/>
        <v>Nu</v>
      </c>
    </row>
    <row r="125" spans="1:10" x14ac:dyDescent="0.2">
      <c r="A125" t="s">
        <v>172</v>
      </c>
      <c r="B125" t="s">
        <v>173</v>
      </c>
      <c r="C125">
        <v>6845694</v>
      </c>
      <c r="D125" s="3">
        <f t="shared" ref="D125:D139" si="6">(C125/1000*5)</f>
        <v>34228.47</v>
      </c>
      <c r="E125" s="2">
        <v>44227</v>
      </c>
      <c r="F125" s="2">
        <v>44441</v>
      </c>
      <c r="G125" s="21">
        <v>0.23124999999999998</v>
      </c>
      <c r="H125" t="s">
        <v>423</v>
      </c>
      <c r="I125" t="s">
        <v>468</v>
      </c>
      <c r="J125" t="str">
        <f t="shared" si="3"/>
        <v>Nu</v>
      </c>
    </row>
    <row r="126" spans="1:10" x14ac:dyDescent="0.2">
      <c r="A126" t="s">
        <v>186</v>
      </c>
      <c r="B126" t="s">
        <v>38</v>
      </c>
      <c r="C126">
        <v>6790759</v>
      </c>
      <c r="D126" s="3">
        <f t="shared" si="6"/>
        <v>33953.794999999998</v>
      </c>
      <c r="E126" s="2">
        <v>44315</v>
      </c>
      <c r="F126" s="2">
        <v>44441</v>
      </c>
      <c r="G126" s="21">
        <v>0.14097222222222222</v>
      </c>
      <c r="H126" t="s">
        <v>418</v>
      </c>
      <c r="I126" t="s">
        <v>469</v>
      </c>
      <c r="J126" t="str">
        <f t="shared" si="3"/>
        <v>Nu</v>
      </c>
    </row>
    <row r="127" spans="1:10" x14ac:dyDescent="0.2">
      <c r="A127" t="s">
        <v>197</v>
      </c>
      <c r="B127" t="s">
        <v>1</v>
      </c>
      <c r="C127">
        <v>6753205</v>
      </c>
      <c r="D127" s="3">
        <f t="shared" si="6"/>
        <v>33766.025000000001</v>
      </c>
      <c r="E127" s="2">
        <v>44243</v>
      </c>
      <c r="F127" s="2">
        <v>44441</v>
      </c>
      <c r="G127" s="21">
        <v>0.11388888888888889</v>
      </c>
      <c r="H127" t="s">
        <v>418</v>
      </c>
      <c r="I127" t="s">
        <v>470</v>
      </c>
      <c r="J127" t="str">
        <f t="shared" si="3"/>
        <v>Da</v>
      </c>
    </row>
    <row r="128" spans="1:10" x14ac:dyDescent="0.2">
      <c r="A128" t="s">
        <v>336</v>
      </c>
      <c r="B128" t="s">
        <v>337</v>
      </c>
      <c r="C128">
        <v>6661269</v>
      </c>
      <c r="D128" s="3">
        <f t="shared" si="6"/>
        <v>33306.345000000001</v>
      </c>
      <c r="E128" s="2">
        <v>44304</v>
      </c>
      <c r="F128" s="2">
        <v>44441</v>
      </c>
      <c r="G128" s="21">
        <v>0.14930555555555555</v>
      </c>
      <c r="H128" t="s">
        <v>423</v>
      </c>
      <c r="I128" t="s">
        <v>472</v>
      </c>
      <c r="J128" t="str">
        <f t="shared" si="3"/>
        <v>Nu</v>
      </c>
    </row>
    <row r="129" spans="1:10" x14ac:dyDescent="0.2">
      <c r="A129" t="s">
        <v>376</v>
      </c>
      <c r="B129" t="s">
        <v>52</v>
      </c>
      <c r="C129">
        <v>6621001</v>
      </c>
      <c r="D129" s="3">
        <f t="shared" si="6"/>
        <v>33105.005000000005</v>
      </c>
      <c r="E129" s="2">
        <v>44275</v>
      </c>
      <c r="F129" s="2">
        <v>44441</v>
      </c>
      <c r="G129" s="21">
        <v>0.11388888888888889</v>
      </c>
      <c r="H129" t="s">
        <v>418</v>
      </c>
      <c r="I129" t="s">
        <v>468</v>
      </c>
      <c r="J129" t="str">
        <f t="shared" si="3"/>
        <v>Nu</v>
      </c>
    </row>
    <row r="130" spans="1:10" x14ac:dyDescent="0.2">
      <c r="A130" t="s">
        <v>163</v>
      </c>
      <c r="B130" t="s">
        <v>164</v>
      </c>
      <c r="C130">
        <v>6574515</v>
      </c>
      <c r="D130" s="3">
        <f t="shared" si="6"/>
        <v>32872.575000000004</v>
      </c>
      <c r="E130" s="2">
        <v>44412</v>
      </c>
      <c r="F130" s="2">
        <v>44441</v>
      </c>
      <c r="G130" s="21">
        <v>0.10069444444444443</v>
      </c>
      <c r="H130" t="s">
        <v>423</v>
      </c>
      <c r="I130" t="s">
        <v>468</v>
      </c>
      <c r="J130" t="str">
        <f t="shared" si="3"/>
        <v>Nu</v>
      </c>
    </row>
    <row r="131" spans="1:10" x14ac:dyDescent="0.2">
      <c r="A131" t="s">
        <v>136</v>
      </c>
      <c r="B131" t="s">
        <v>10</v>
      </c>
      <c r="C131">
        <v>6548141</v>
      </c>
      <c r="D131" s="3">
        <f t="shared" si="6"/>
        <v>32740.704999999998</v>
      </c>
      <c r="E131" s="2">
        <v>44240</v>
      </c>
      <c r="F131" s="2">
        <v>44441</v>
      </c>
      <c r="G131" s="21">
        <v>0.13958333333333334</v>
      </c>
      <c r="H131" t="s">
        <v>422</v>
      </c>
      <c r="I131" t="s">
        <v>469</v>
      </c>
      <c r="J131" t="str">
        <f t="shared" si="3"/>
        <v>Nu</v>
      </c>
    </row>
    <row r="132" spans="1:10" x14ac:dyDescent="0.2">
      <c r="A132" t="s">
        <v>253</v>
      </c>
      <c r="B132" t="s">
        <v>34</v>
      </c>
      <c r="C132">
        <v>6547678</v>
      </c>
      <c r="D132" s="3">
        <f t="shared" si="6"/>
        <v>32738.39</v>
      </c>
      <c r="E132" s="2">
        <v>44454</v>
      </c>
      <c r="F132" s="2">
        <v>44441</v>
      </c>
      <c r="G132" s="21">
        <v>0.17500000000000002</v>
      </c>
      <c r="H132" t="s">
        <v>432</v>
      </c>
      <c r="I132" t="s">
        <v>472</v>
      </c>
      <c r="J132" t="str">
        <f t="shared" si="3"/>
        <v>Nu</v>
      </c>
    </row>
    <row r="133" spans="1:10" x14ac:dyDescent="0.2">
      <c r="A133" t="s">
        <v>168</v>
      </c>
      <c r="B133" t="s">
        <v>158</v>
      </c>
      <c r="C133">
        <v>6545416</v>
      </c>
      <c r="D133" s="3">
        <f t="shared" si="6"/>
        <v>32727.08</v>
      </c>
      <c r="E133" s="2">
        <v>44464</v>
      </c>
      <c r="F133" s="2">
        <v>44441</v>
      </c>
      <c r="G133" s="21">
        <v>0.12361111111111112</v>
      </c>
      <c r="H133" t="s">
        <v>418</v>
      </c>
      <c r="I133" t="s">
        <v>468</v>
      </c>
      <c r="J133" t="str">
        <f t="shared" ref="J133:J196" si="7">IF(ISNUMBER(SEARCH("with",A133)),"Da","Nu")</f>
        <v>Nu</v>
      </c>
    </row>
    <row r="134" spans="1:10" x14ac:dyDescent="0.2">
      <c r="A134" t="s">
        <v>169</v>
      </c>
      <c r="B134" t="s">
        <v>10</v>
      </c>
      <c r="C134">
        <v>6506168</v>
      </c>
      <c r="D134" s="3">
        <f t="shared" si="6"/>
        <v>32530.839999999997</v>
      </c>
      <c r="E134" s="2">
        <v>44309</v>
      </c>
      <c r="F134" s="2">
        <v>44441</v>
      </c>
      <c r="G134" s="21">
        <v>0.1076388888888889</v>
      </c>
      <c r="H134" t="s">
        <v>418</v>
      </c>
      <c r="I134" t="s">
        <v>469</v>
      </c>
      <c r="J134" t="str">
        <f t="shared" si="7"/>
        <v>Nu</v>
      </c>
    </row>
    <row r="135" spans="1:10" x14ac:dyDescent="0.2">
      <c r="A135" t="s">
        <v>159</v>
      </c>
      <c r="B135" t="s">
        <v>160</v>
      </c>
      <c r="C135">
        <v>6496714</v>
      </c>
      <c r="D135" s="3">
        <f t="shared" si="6"/>
        <v>32483.57</v>
      </c>
      <c r="E135" s="2">
        <v>44329</v>
      </c>
      <c r="F135" s="2">
        <v>44441</v>
      </c>
      <c r="G135" s="21">
        <v>0.14930555555555555</v>
      </c>
      <c r="H135" t="s">
        <v>428</v>
      </c>
      <c r="I135" t="s">
        <v>468</v>
      </c>
      <c r="J135" t="str">
        <f t="shared" si="7"/>
        <v>Nu</v>
      </c>
    </row>
    <row r="136" spans="1:10" x14ac:dyDescent="0.2">
      <c r="A136" t="s">
        <v>341</v>
      </c>
      <c r="B136" t="s">
        <v>132</v>
      </c>
      <c r="C136">
        <v>6495643</v>
      </c>
      <c r="D136" s="3">
        <f t="shared" si="6"/>
        <v>32478.215</v>
      </c>
      <c r="E136" s="2">
        <v>44370</v>
      </c>
      <c r="F136" s="2">
        <v>44441</v>
      </c>
      <c r="G136" s="21">
        <v>0.12986111111111112</v>
      </c>
      <c r="H136" t="s">
        <v>422</v>
      </c>
      <c r="I136" t="s">
        <v>474</v>
      </c>
      <c r="J136" t="str">
        <f t="shared" si="7"/>
        <v>Nu</v>
      </c>
    </row>
    <row r="137" spans="1:10" x14ac:dyDescent="0.2">
      <c r="A137" t="s">
        <v>449</v>
      </c>
      <c r="B137" t="s">
        <v>76</v>
      </c>
      <c r="C137">
        <v>6469004</v>
      </c>
      <c r="D137" s="3">
        <f t="shared" si="6"/>
        <v>32345.02</v>
      </c>
      <c r="E137" s="2">
        <v>44391</v>
      </c>
      <c r="F137" s="2">
        <v>44441</v>
      </c>
      <c r="G137" s="21">
        <v>0.10208333333333335</v>
      </c>
      <c r="H137" t="s">
        <v>418</v>
      </c>
      <c r="I137" t="s">
        <v>469</v>
      </c>
      <c r="J137" t="str">
        <f t="shared" si="7"/>
        <v>Da</v>
      </c>
    </row>
    <row r="138" spans="1:10" x14ac:dyDescent="0.2">
      <c r="A138" t="s">
        <v>441</v>
      </c>
      <c r="B138" t="s">
        <v>76</v>
      </c>
      <c r="C138">
        <v>6413378</v>
      </c>
      <c r="D138" s="3">
        <f t="shared" si="6"/>
        <v>32066.89</v>
      </c>
      <c r="E138" s="2">
        <v>44370</v>
      </c>
      <c r="F138" s="2">
        <v>44441</v>
      </c>
      <c r="G138" s="21">
        <v>0.18124999999999999</v>
      </c>
      <c r="H138" t="s">
        <v>433</v>
      </c>
      <c r="I138" t="s">
        <v>469</v>
      </c>
      <c r="J138" t="str">
        <f t="shared" si="7"/>
        <v>Da</v>
      </c>
    </row>
    <row r="139" spans="1:10" x14ac:dyDescent="0.2">
      <c r="A139" t="s">
        <v>377</v>
      </c>
      <c r="B139" t="s">
        <v>378</v>
      </c>
      <c r="C139">
        <v>6350650</v>
      </c>
      <c r="D139" s="3">
        <f t="shared" si="6"/>
        <v>31753.25</v>
      </c>
      <c r="E139" s="2">
        <v>43882</v>
      </c>
      <c r="F139" s="2">
        <v>44441</v>
      </c>
      <c r="G139" s="21">
        <v>0.13680555555555554</v>
      </c>
      <c r="H139" t="s">
        <v>433</v>
      </c>
      <c r="I139" t="s">
        <v>468</v>
      </c>
      <c r="J139" t="str">
        <f t="shared" si="7"/>
        <v>Nu</v>
      </c>
    </row>
    <row r="140" spans="1:10" x14ac:dyDescent="0.2">
      <c r="A140" t="s">
        <v>444</v>
      </c>
      <c r="B140" t="s">
        <v>121</v>
      </c>
      <c r="C140">
        <v>6326405</v>
      </c>
      <c r="D140" s="3">
        <f>(C140/1000*5)</f>
        <v>31632.024999999998</v>
      </c>
      <c r="E140" s="2">
        <v>43945</v>
      </c>
      <c r="F140" s="2">
        <v>44441</v>
      </c>
      <c r="G140" s="21">
        <v>9.0277777777777776E-2</v>
      </c>
      <c r="H140" t="s">
        <v>416</v>
      </c>
      <c r="I140" t="s">
        <v>420</v>
      </c>
      <c r="J140" t="str">
        <f t="shared" si="7"/>
        <v>Da</v>
      </c>
    </row>
    <row r="141" spans="1:10" x14ac:dyDescent="0.2">
      <c r="A141" t="s">
        <v>325</v>
      </c>
      <c r="B141" t="s">
        <v>326</v>
      </c>
      <c r="C141">
        <v>6298038</v>
      </c>
      <c r="D141" s="3">
        <f t="shared" ref="D141:D147" si="8">(C141/1000*5)</f>
        <v>31490.19</v>
      </c>
      <c r="E141" s="2">
        <v>42909</v>
      </c>
      <c r="F141" s="2">
        <v>44441</v>
      </c>
      <c r="G141" s="21">
        <v>0.13749999999999998</v>
      </c>
      <c r="H141" t="s">
        <v>428</v>
      </c>
      <c r="I141" t="s">
        <v>486</v>
      </c>
      <c r="J141" t="str">
        <f t="shared" si="7"/>
        <v>Nu</v>
      </c>
    </row>
    <row r="142" spans="1:10" x14ac:dyDescent="0.2">
      <c r="A142" t="s">
        <v>230</v>
      </c>
      <c r="B142" t="s">
        <v>231</v>
      </c>
      <c r="C142">
        <v>6276595</v>
      </c>
      <c r="D142" s="3">
        <f t="shared" si="8"/>
        <v>31382.975000000002</v>
      </c>
      <c r="E142" s="2">
        <v>44339</v>
      </c>
      <c r="F142" s="2">
        <v>44441</v>
      </c>
      <c r="G142" s="21">
        <v>0.16805555555555554</v>
      </c>
      <c r="H142" t="s">
        <v>423</v>
      </c>
      <c r="I142" t="s">
        <v>476</v>
      </c>
      <c r="J142" t="str">
        <f t="shared" si="7"/>
        <v>Nu</v>
      </c>
    </row>
    <row r="143" spans="1:10" x14ac:dyDescent="0.2">
      <c r="A143" t="s">
        <v>218</v>
      </c>
      <c r="B143" t="s">
        <v>219</v>
      </c>
      <c r="C143">
        <v>6233421</v>
      </c>
      <c r="D143" s="3">
        <f t="shared" si="8"/>
        <v>31167.105000000003</v>
      </c>
      <c r="E143" s="2">
        <v>44320</v>
      </c>
      <c r="F143" s="2">
        <v>44441</v>
      </c>
      <c r="G143" s="21">
        <v>0.18958333333333333</v>
      </c>
      <c r="H143" t="s">
        <v>422</v>
      </c>
      <c r="I143" t="s">
        <v>472</v>
      </c>
      <c r="J143" t="str">
        <f t="shared" si="7"/>
        <v>Nu</v>
      </c>
    </row>
    <row r="144" spans="1:10" x14ac:dyDescent="0.2">
      <c r="A144" t="s">
        <v>379</v>
      </c>
      <c r="B144" t="s">
        <v>380</v>
      </c>
      <c r="C144">
        <v>6231650</v>
      </c>
      <c r="D144" s="3">
        <f t="shared" si="8"/>
        <v>31158.25</v>
      </c>
      <c r="E144" s="2">
        <v>44417</v>
      </c>
      <c r="F144" s="2">
        <v>44441</v>
      </c>
      <c r="G144" s="21">
        <v>8.5416666666666655E-2</v>
      </c>
      <c r="H144" t="s">
        <v>433</v>
      </c>
      <c r="I144" t="s">
        <v>489</v>
      </c>
      <c r="J144" t="str">
        <f t="shared" si="7"/>
        <v>Nu</v>
      </c>
    </row>
    <row r="145" spans="1:10" x14ac:dyDescent="0.2">
      <c r="A145" t="s">
        <v>295</v>
      </c>
      <c r="B145" t="s">
        <v>296</v>
      </c>
      <c r="C145">
        <v>6157058</v>
      </c>
      <c r="D145" s="3">
        <f t="shared" si="8"/>
        <v>30785.29</v>
      </c>
      <c r="E145" s="2">
        <v>44214</v>
      </c>
      <c r="F145" s="2">
        <v>44441</v>
      </c>
      <c r="G145" s="21">
        <v>0.11388888888888889</v>
      </c>
      <c r="H145" t="s">
        <v>423</v>
      </c>
      <c r="I145" t="s">
        <v>490</v>
      </c>
      <c r="J145" t="str">
        <f t="shared" si="7"/>
        <v>Nu</v>
      </c>
    </row>
    <row r="146" spans="1:10" x14ac:dyDescent="0.2">
      <c r="A146" t="s">
        <v>254</v>
      </c>
      <c r="B146" t="s">
        <v>255</v>
      </c>
      <c r="C146">
        <v>6153223</v>
      </c>
      <c r="D146" s="3">
        <f t="shared" si="8"/>
        <v>30766.114999999998</v>
      </c>
      <c r="E146" s="2">
        <v>44339</v>
      </c>
      <c r="F146" s="2">
        <v>44441</v>
      </c>
      <c r="G146" s="21">
        <v>0.24861111111111112</v>
      </c>
      <c r="H146" t="s">
        <v>433</v>
      </c>
      <c r="I146" t="s">
        <v>491</v>
      </c>
      <c r="J146" t="str">
        <f t="shared" si="7"/>
        <v>Nu</v>
      </c>
    </row>
    <row r="147" spans="1:10" x14ac:dyDescent="0.2">
      <c r="A147" t="s">
        <v>285</v>
      </c>
      <c r="B147" t="s">
        <v>286</v>
      </c>
      <c r="C147">
        <v>6121532</v>
      </c>
      <c r="D147" s="3">
        <f t="shared" si="8"/>
        <v>30607.66</v>
      </c>
      <c r="E147" s="2">
        <v>44439</v>
      </c>
      <c r="F147" s="2">
        <v>44441</v>
      </c>
      <c r="G147" s="21">
        <v>9.5833333333333326E-2</v>
      </c>
      <c r="H147" t="s">
        <v>423</v>
      </c>
      <c r="I147" t="s">
        <v>469</v>
      </c>
      <c r="J147" t="str">
        <f t="shared" si="7"/>
        <v>Nu</v>
      </c>
    </row>
    <row r="148" spans="1:10" x14ac:dyDescent="0.2">
      <c r="A148" t="s">
        <v>221</v>
      </c>
      <c r="B148" t="s">
        <v>492</v>
      </c>
      <c r="C148">
        <v>6120237</v>
      </c>
      <c r="D148" s="3">
        <f>(C148/1000*5)</f>
        <v>30601.185000000001</v>
      </c>
      <c r="E148" s="2">
        <v>44286</v>
      </c>
      <c r="F148" s="2">
        <v>44441</v>
      </c>
      <c r="G148" s="21">
        <v>8.8888888888888892E-2</v>
      </c>
      <c r="H148" t="s">
        <v>423</v>
      </c>
      <c r="I148" t="s">
        <v>486</v>
      </c>
      <c r="J148" t="str">
        <f t="shared" si="7"/>
        <v>Nu</v>
      </c>
    </row>
    <row r="149" spans="1:10" x14ac:dyDescent="0.2">
      <c r="A149" t="s">
        <v>184</v>
      </c>
      <c r="B149" t="s">
        <v>185</v>
      </c>
      <c r="C149">
        <v>6114059</v>
      </c>
      <c r="D149" s="3">
        <f t="shared" ref="D149:D202" si="9">(C149/1000*5)</f>
        <v>30570.295000000002</v>
      </c>
      <c r="E149" s="2">
        <v>44321</v>
      </c>
      <c r="F149" s="2">
        <v>44441</v>
      </c>
      <c r="G149" s="21">
        <v>0.16805555555555554</v>
      </c>
      <c r="H149" t="s">
        <v>423</v>
      </c>
      <c r="I149" t="s">
        <v>468</v>
      </c>
      <c r="J149" t="str">
        <f t="shared" si="7"/>
        <v>Nu</v>
      </c>
    </row>
    <row r="150" spans="1:10" x14ac:dyDescent="0.2">
      <c r="A150" t="s">
        <v>454</v>
      </c>
      <c r="B150" t="s">
        <v>279</v>
      </c>
      <c r="C150">
        <v>6105892</v>
      </c>
      <c r="D150" s="3">
        <f t="shared" si="9"/>
        <v>30529.46</v>
      </c>
      <c r="E150" s="2">
        <v>44383</v>
      </c>
      <c r="F150" s="2">
        <v>44441</v>
      </c>
      <c r="G150" s="21">
        <v>0.13958333333333334</v>
      </c>
      <c r="H150" t="s">
        <v>423</v>
      </c>
      <c r="I150" t="s">
        <v>478</v>
      </c>
      <c r="J150" t="str">
        <f t="shared" si="7"/>
        <v>Da</v>
      </c>
    </row>
    <row r="151" spans="1:10" x14ac:dyDescent="0.2">
      <c r="A151" t="s">
        <v>448</v>
      </c>
      <c r="B151" t="s">
        <v>207</v>
      </c>
      <c r="C151">
        <v>6082394</v>
      </c>
      <c r="D151" s="3">
        <f t="shared" si="9"/>
        <v>30411.97</v>
      </c>
      <c r="E151" s="2">
        <v>44309</v>
      </c>
      <c r="F151" s="2">
        <v>44441</v>
      </c>
      <c r="G151" s="21">
        <v>0.13333333333333333</v>
      </c>
      <c r="H151" t="s">
        <v>426</v>
      </c>
      <c r="I151" t="s">
        <v>468</v>
      </c>
      <c r="J151" t="str">
        <f t="shared" si="7"/>
        <v>Da</v>
      </c>
    </row>
    <row r="152" spans="1:10" x14ac:dyDescent="0.2">
      <c r="A152" t="s">
        <v>223</v>
      </c>
      <c r="B152" t="s">
        <v>88</v>
      </c>
      <c r="C152">
        <v>6074364</v>
      </c>
      <c r="D152" s="3">
        <f t="shared" si="9"/>
        <v>30371.82</v>
      </c>
      <c r="E152" s="2">
        <v>44351</v>
      </c>
      <c r="F152" s="2">
        <v>44441</v>
      </c>
      <c r="G152" s="21">
        <v>0.15347222222222223</v>
      </c>
      <c r="H152" t="s">
        <v>422</v>
      </c>
      <c r="I152" t="s">
        <v>468</v>
      </c>
      <c r="J152" t="str">
        <f t="shared" si="7"/>
        <v>Nu</v>
      </c>
    </row>
    <row r="153" spans="1:10" x14ac:dyDescent="0.2">
      <c r="A153" t="s">
        <v>198</v>
      </c>
      <c r="B153" t="s">
        <v>138</v>
      </c>
      <c r="C153">
        <v>6005385</v>
      </c>
      <c r="D153" s="3">
        <f t="shared" si="9"/>
        <v>30026.925000000003</v>
      </c>
      <c r="E153" s="2">
        <v>44295</v>
      </c>
      <c r="F153" s="2">
        <v>44441</v>
      </c>
      <c r="G153" s="21">
        <v>0.37361111111111112</v>
      </c>
      <c r="H153" t="s">
        <v>424</v>
      </c>
      <c r="I153" t="s">
        <v>420</v>
      </c>
      <c r="J153" t="str">
        <f t="shared" si="7"/>
        <v>Nu</v>
      </c>
    </row>
    <row r="154" spans="1:10" x14ac:dyDescent="0.2">
      <c r="A154" t="s">
        <v>251</v>
      </c>
      <c r="B154" t="s">
        <v>229</v>
      </c>
      <c r="C154">
        <v>6004042</v>
      </c>
      <c r="D154" s="3">
        <f t="shared" si="9"/>
        <v>30020.210000000003</v>
      </c>
      <c r="E154" s="2">
        <v>44413</v>
      </c>
      <c r="F154" s="2">
        <v>44441</v>
      </c>
      <c r="G154" s="21">
        <v>0.12152777777777778</v>
      </c>
      <c r="H154" t="s">
        <v>423</v>
      </c>
      <c r="I154" t="s">
        <v>468</v>
      </c>
      <c r="J154" t="str">
        <f t="shared" si="7"/>
        <v>Nu</v>
      </c>
    </row>
    <row r="155" spans="1:10" x14ac:dyDescent="0.2">
      <c r="A155" t="s">
        <v>220</v>
      </c>
      <c r="B155" t="s">
        <v>215</v>
      </c>
      <c r="C155">
        <v>6003966</v>
      </c>
      <c r="D155" s="3">
        <f t="shared" si="9"/>
        <v>30019.83</v>
      </c>
      <c r="E155" s="2">
        <v>44412</v>
      </c>
      <c r="F155" s="2">
        <v>44441</v>
      </c>
      <c r="G155" s="21">
        <v>0.1673611111111111</v>
      </c>
      <c r="H155" t="s">
        <v>422</v>
      </c>
      <c r="I155" t="s">
        <v>472</v>
      </c>
      <c r="J155" t="str">
        <f t="shared" si="7"/>
        <v>Nu</v>
      </c>
    </row>
    <row r="156" spans="1:10" x14ac:dyDescent="0.2">
      <c r="A156" t="s">
        <v>191</v>
      </c>
      <c r="B156" t="s">
        <v>192</v>
      </c>
      <c r="C156">
        <v>5998403</v>
      </c>
      <c r="D156" s="3">
        <f t="shared" si="9"/>
        <v>29992.014999999999</v>
      </c>
      <c r="E156" s="2">
        <v>44413</v>
      </c>
      <c r="F156" s="2">
        <v>44441</v>
      </c>
      <c r="G156" s="21">
        <v>0.12013888888888889</v>
      </c>
      <c r="H156" t="s">
        <v>426</v>
      </c>
      <c r="I156" t="s">
        <v>420</v>
      </c>
      <c r="J156" t="str">
        <f t="shared" si="7"/>
        <v>Nu</v>
      </c>
    </row>
    <row r="157" spans="1:10" x14ac:dyDescent="0.2">
      <c r="A157" t="s">
        <v>193</v>
      </c>
      <c r="B157" t="s">
        <v>86</v>
      </c>
      <c r="C157">
        <v>5993917</v>
      </c>
      <c r="D157" s="3">
        <f t="shared" si="9"/>
        <v>29969.585000000003</v>
      </c>
      <c r="E157" s="2">
        <v>44230</v>
      </c>
      <c r="F157" s="2">
        <v>44441</v>
      </c>
      <c r="G157" s="21">
        <v>0.12083333333333333</v>
      </c>
      <c r="H157" t="s">
        <v>423</v>
      </c>
      <c r="I157" t="s">
        <v>468</v>
      </c>
      <c r="J157" t="str">
        <f t="shared" si="7"/>
        <v>Nu</v>
      </c>
    </row>
    <row r="158" spans="1:10" x14ac:dyDescent="0.2">
      <c r="A158" t="s">
        <v>453</v>
      </c>
      <c r="B158" t="s">
        <v>20</v>
      </c>
      <c r="C158">
        <v>5972305</v>
      </c>
      <c r="D158" s="3">
        <f t="shared" si="9"/>
        <v>29861.525000000001</v>
      </c>
      <c r="E158" s="2">
        <v>44381</v>
      </c>
      <c r="F158" s="2">
        <v>44441</v>
      </c>
      <c r="G158" s="21">
        <v>0.14444444444444446</v>
      </c>
      <c r="H158" t="s">
        <v>423</v>
      </c>
      <c r="I158" t="s">
        <v>420</v>
      </c>
      <c r="J158" t="str">
        <f t="shared" si="7"/>
        <v>Da</v>
      </c>
    </row>
    <row r="159" spans="1:10" x14ac:dyDescent="0.2">
      <c r="A159" t="s">
        <v>381</v>
      </c>
      <c r="B159" t="s">
        <v>52</v>
      </c>
      <c r="C159">
        <v>5958383</v>
      </c>
      <c r="D159" s="3">
        <f t="shared" si="9"/>
        <v>29791.915000000001</v>
      </c>
      <c r="E159" s="2">
        <v>44441</v>
      </c>
      <c r="F159" s="2">
        <v>44441</v>
      </c>
      <c r="G159" s="21">
        <v>0.11388888888888889</v>
      </c>
      <c r="H159" t="s">
        <v>422</v>
      </c>
      <c r="I159" t="s">
        <v>468</v>
      </c>
      <c r="J159" t="str">
        <f t="shared" si="7"/>
        <v>Nu</v>
      </c>
    </row>
    <row r="160" spans="1:10" x14ac:dyDescent="0.2">
      <c r="A160" t="s">
        <v>333</v>
      </c>
      <c r="B160" t="s">
        <v>334</v>
      </c>
      <c r="C160">
        <v>5951649</v>
      </c>
      <c r="D160" s="3">
        <f t="shared" si="9"/>
        <v>29758.245000000003</v>
      </c>
      <c r="E160" s="2">
        <v>44351</v>
      </c>
      <c r="F160" s="2">
        <v>44441</v>
      </c>
      <c r="G160" s="21">
        <v>0.11458333333333333</v>
      </c>
      <c r="H160" t="s">
        <v>423</v>
      </c>
      <c r="I160" t="s">
        <v>486</v>
      </c>
      <c r="J160" t="str">
        <f t="shared" si="7"/>
        <v>Nu</v>
      </c>
    </row>
    <row r="161" spans="1:10" x14ac:dyDescent="0.2">
      <c r="A161" t="s">
        <v>382</v>
      </c>
      <c r="B161" t="s">
        <v>383</v>
      </c>
      <c r="C161">
        <v>5924965</v>
      </c>
      <c r="D161" s="3">
        <f t="shared" si="9"/>
        <v>29624.825000000001</v>
      </c>
      <c r="E161" s="2">
        <v>44319</v>
      </c>
      <c r="F161" s="2">
        <v>44441</v>
      </c>
      <c r="G161" s="21">
        <v>0.1423611111111111</v>
      </c>
      <c r="H161" t="s">
        <v>423</v>
      </c>
      <c r="I161" t="s">
        <v>468</v>
      </c>
      <c r="J161" t="str">
        <f t="shared" si="7"/>
        <v>Nu</v>
      </c>
    </row>
    <row r="162" spans="1:10" x14ac:dyDescent="0.2">
      <c r="A162" t="s">
        <v>150</v>
      </c>
      <c r="B162" t="s">
        <v>151</v>
      </c>
      <c r="C162">
        <v>5894508</v>
      </c>
      <c r="D162" s="3">
        <f t="shared" si="9"/>
        <v>29472.54</v>
      </c>
      <c r="E162" s="2">
        <v>44244</v>
      </c>
      <c r="F162" s="2">
        <v>44441</v>
      </c>
      <c r="G162" s="21">
        <v>0.1173611111111111</v>
      </c>
      <c r="H162" t="s">
        <v>418</v>
      </c>
      <c r="I162" t="s">
        <v>486</v>
      </c>
      <c r="J162" t="str">
        <f t="shared" si="7"/>
        <v>Nu</v>
      </c>
    </row>
    <row r="163" spans="1:10" x14ac:dyDescent="0.2">
      <c r="A163" t="s">
        <v>384</v>
      </c>
      <c r="B163" t="s">
        <v>385</v>
      </c>
      <c r="C163">
        <v>5882287</v>
      </c>
      <c r="D163" s="3">
        <f t="shared" si="9"/>
        <v>29411.435000000001</v>
      </c>
      <c r="E163" s="2">
        <v>44227</v>
      </c>
      <c r="F163" s="2">
        <v>44441</v>
      </c>
      <c r="G163" s="21">
        <v>0.1277777777777778</v>
      </c>
      <c r="H163" t="s">
        <v>424</v>
      </c>
      <c r="I163" t="s">
        <v>493</v>
      </c>
      <c r="J163" t="str">
        <f t="shared" si="7"/>
        <v>Nu</v>
      </c>
    </row>
    <row r="164" spans="1:10" x14ac:dyDescent="0.2">
      <c r="A164" t="s">
        <v>234</v>
      </c>
      <c r="B164" t="s">
        <v>235</v>
      </c>
      <c r="C164">
        <v>5878089</v>
      </c>
      <c r="D164" s="3">
        <f t="shared" si="9"/>
        <v>29390.445</v>
      </c>
      <c r="E164" s="2">
        <v>44285</v>
      </c>
      <c r="F164" s="2">
        <v>44441</v>
      </c>
      <c r="G164" s="21">
        <v>0.12708333333333333</v>
      </c>
      <c r="H164" t="s">
        <v>423</v>
      </c>
      <c r="I164" t="s">
        <v>469</v>
      </c>
      <c r="J164" t="str">
        <f t="shared" si="7"/>
        <v>Nu</v>
      </c>
    </row>
    <row r="165" spans="1:10" x14ac:dyDescent="0.2">
      <c r="A165" t="s">
        <v>187</v>
      </c>
      <c r="B165" t="s">
        <v>188</v>
      </c>
      <c r="C165">
        <v>5872293</v>
      </c>
      <c r="D165" s="3">
        <f t="shared" si="9"/>
        <v>29361.464999999997</v>
      </c>
      <c r="E165" s="2">
        <v>44362</v>
      </c>
      <c r="F165" s="2">
        <v>44441</v>
      </c>
      <c r="G165" s="21">
        <v>0.14027777777777778</v>
      </c>
      <c r="H165" t="s">
        <v>423</v>
      </c>
      <c r="I165" t="s">
        <v>469</v>
      </c>
      <c r="J165" t="str">
        <f t="shared" si="7"/>
        <v>Nu</v>
      </c>
    </row>
    <row r="166" spans="1:10" x14ac:dyDescent="0.2">
      <c r="A166" t="s">
        <v>212</v>
      </c>
      <c r="B166" t="s">
        <v>213</v>
      </c>
      <c r="C166">
        <v>5851282</v>
      </c>
      <c r="D166" s="3">
        <f t="shared" si="9"/>
        <v>29256.41</v>
      </c>
      <c r="E166" s="2">
        <v>44337</v>
      </c>
      <c r="F166" s="2">
        <v>44441</v>
      </c>
      <c r="G166" s="21">
        <v>0.22291666666666665</v>
      </c>
      <c r="H166" t="s">
        <v>418</v>
      </c>
      <c r="I166" t="s">
        <v>487</v>
      </c>
      <c r="J166" t="str">
        <f t="shared" si="7"/>
        <v>Nu</v>
      </c>
    </row>
    <row r="167" spans="1:10" x14ac:dyDescent="0.2">
      <c r="A167" t="s">
        <v>245</v>
      </c>
      <c r="B167" t="s">
        <v>246</v>
      </c>
      <c r="C167">
        <v>5838830</v>
      </c>
      <c r="D167" s="3">
        <f t="shared" si="9"/>
        <v>29194.15</v>
      </c>
      <c r="E167" s="2">
        <v>44244</v>
      </c>
      <c r="F167" s="2">
        <v>44441</v>
      </c>
      <c r="G167" s="21">
        <v>0.12013888888888889</v>
      </c>
      <c r="H167" t="s">
        <v>418</v>
      </c>
      <c r="I167" t="s">
        <v>470</v>
      </c>
      <c r="J167" t="str">
        <f t="shared" si="7"/>
        <v>Nu</v>
      </c>
    </row>
    <row r="168" spans="1:10" x14ac:dyDescent="0.2">
      <c r="A168" t="s">
        <v>268</v>
      </c>
      <c r="B168" t="s">
        <v>269</v>
      </c>
      <c r="C168">
        <v>5829947</v>
      </c>
      <c r="D168" s="3">
        <f t="shared" si="9"/>
        <v>29149.735000000001</v>
      </c>
      <c r="E168" s="2">
        <v>44350</v>
      </c>
      <c r="F168" s="2">
        <v>44441</v>
      </c>
      <c r="G168" s="8">
        <v>0.14444444444444446</v>
      </c>
      <c r="H168" t="s">
        <v>423</v>
      </c>
      <c r="I168" t="s">
        <v>468</v>
      </c>
      <c r="J168" t="str">
        <f t="shared" si="7"/>
        <v>Nu</v>
      </c>
    </row>
    <row r="169" spans="1:10" x14ac:dyDescent="0.2">
      <c r="A169" t="s">
        <v>264</v>
      </c>
      <c r="B169" t="s">
        <v>265</v>
      </c>
      <c r="C169">
        <v>5822755</v>
      </c>
      <c r="D169" s="3">
        <f t="shared" si="9"/>
        <v>29113.775000000001</v>
      </c>
      <c r="E169" s="2">
        <v>44414</v>
      </c>
      <c r="F169" s="2">
        <v>44441</v>
      </c>
      <c r="G169" s="8">
        <v>0.12013888888888889</v>
      </c>
      <c r="H169" t="s">
        <v>418</v>
      </c>
      <c r="I169" t="s">
        <v>470</v>
      </c>
      <c r="J169" t="str">
        <f t="shared" si="7"/>
        <v>Nu</v>
      </c>
    </row>
    <row r="170" spans="1:10" x14ac:dyDescent="0.2">
      <c r="A170" t="s">
        <v>386</v>
      </c>
      <c r="B170" t="s">
        <v>387</v>
      </c>
      <c r="C170">
        <v>5812990</v>
      </c>
      <c r="D170" s="3">
        <f t="shared" si="9"/>
        <v>29064.949999999997</v>
      </c>
      <c r="E170" s="2">
        <v>44240</v>
      </c>
      <c r="F170" s="2">
        <v>44441</v>
      </c>
      <c r="G170" s="8">
        <v>0.13749999999999998</v>
      </c>
      <c r="H170" t="s">
        <v>423</v>
      </c>
      <c r="I170" t="s">
        <v>475</v>
      </c>
      <c r="J170" t="str">
        <f t="shared" si="7"/>
        <v>Nu</v>
      </c>
    </row>
    <row r="171" spans="1:10" x14ac:dyDescent="0.2">
      <c r="A171" t="s">
        <v>232</v>
      </c>
      <c r="B171" t="s">
        <v>233</v>
      </c>
      <c r="C171">
        <v>5809131</v>
      </c>
      <c r="D171" s="3">
        <f t="shared" si="9"/>
        <v>29045.655000000002</v>
      </c>
      <c r="E171" s="2">
        <v>44389</v>
      </c>
      <c r="F171" s="2">
        <v>44441</v>
      </c>
      <c r="G171" s="8">
        <v>0.14097222222222222</v>
      </c>
      <c r="H171" t="s">
        <v>422</v>
      </c>
      <c r="I171" t="s">
        <v>468</v>
      </c>
      <c r="J171" t="str">
        <f t="shared" si="7"/>
        <v>Nu</v>
      </c>
    </row>
    <row r="172" spans="1:10" x14ac:dyDescent="0.2">
      <c r="A172" t="s">
        <v>228</v>
      </c>
      <c r="B172" t="s">
        <v>229</v>
      </c>
      <c r="C172">
        <v>5797515</v>
      </c>
      <c r="D172" s="3">
        <f t="shared" si="9"/>
        <v>28987.575000000001</v>
      </c>
      <c r="E172" s="2">
        <v>44336</v>
      </c>
      <c r="F172" s="2">
        <v>44441</v>
      </c>
      <c r="G172" s="21">
        <v>9.7916666666666666E-2</v>
      </c>
      <c r="H172" t="s">
        <v>432</v>
      </c>
      <c r="I172" t="s">
        <v>468</v>
      </c>
      <c r="J172" t="str">
        <f t="shared" si="7"/>
        <v>Nu</v>
      </c>
    </row>
    <row r="173" spans="1:10" x14ac:dyDescent="0.2">
      <c r="A173" t="s">
        <v>347</v>
      </c>
      <c r="B173" t="s">
        <v>348</v>
      </c>
      <c r="C173">
        <v>5764745</v>
      </c>
      <c r="D173" s="3">
        <f t="shared" si="9"/>
        <v>28823.724999999999</v>
      </c>
      <c r="E173" s="2">
        <v>44238</v>
      </c>
      <c r="F173" s="2">
        <v>44441</v>
      </c>
      <c r="G173" s="21">
        <v>0.14722222222222223</v>
      </c>
      <c r="H173" t="s">
        <v>418</v>
      </c>
      <c r="I173" t="s">
        <v>472</v>
      </c>
      <c r="J173" t="str">
        <f t="shared" si="7"/>
        <v>Nu</v>
      </c>
    </row>
    <row r="174" spans="1:10" x14ac:dyDescent="0.2">
      <c r="A174" t="s">
        <v>331</v>
      </c>
      <c r="B174" t="s">
        <v>288</v>
      </c>
      <c r="C174">
        <v>5762698</v>
      </c>
      <c r="D174" s="3">
        <f t="shared" si="9"/>
        <v>28813.49</v>
      </c>
      <c r="E174" s="2">
        <v>44346</v>
      </c>
      <c r="F174" s="2">
        <v>44441</v>
      </c>
      <c r="G174" s="21">
        <v>0.14722222222222223</v>
      </c>
      <c r="H174" t="s">
        <v>418</v>
      </c>
      <c r="I174" t="s">
        <v>486</v>
      </c>
      <c r="J174" t="str">
        <f t="shared" si="7"/>
        <v>Nu</v>
      </c>
    </row>
    <row r="175" spans="1:10" x14ac:dyDescent="0.2">
      <c r="A175" t="s">
        <v>292</v>
      </c>
      <c r="B175" t="s">
        <v>43</v>
      </c>
      <c r="C175">
        <v>5738552</v>
      </c>
      <c r="D175" s="3">
        <f t="shared" si="9"/>
        <v>28692.76</v>
      </c>
      <c r="E175" s="2">
        <v>44242</v>
      </c>
      <c r="F175" s="2">
        <v>44441</v>
      </c>
      <c r="G175" s="21">
        <v>0.14652777777777778</v>
      </c>
      <c r="H175" t="s">
        <v>428</v>
      </c>
      <c r="I175" t="s">
        <v>420</v>
      </c>
      <c r="J175" t="str">
        <f t="shared" si="7"/>
        <v>Nu</v>
      </c>
    </row>
    <row r="176" spans="1:10" x14ac:dyDescent="0.2">
      <c r="A176" t="s">
        <v>239</v>
      </c>
      <c r="B176" t="s">
        <v>240</v>
      </c>
      <c r="C176">
        <v>5721405</v>
      </c>
      <c r="D176" s="3">
        <f t="shared" si="9"/>
        <v>28607.024999999998</v>
      </c>
      <c r="E176" s="2">
        <v>44407</v>
      </c>
      <c r="F176" s="2">
        <v>44441</v>
      </c>
      <c r="G176" s="21">
        <v>0.16874999999999998</v>
      </c>
      <c r="H176" t="s">
        <v>422</v>
      </c>
      <c r="I176" t="s">
        <v>494</v>
      </c>
      <c r="J176" t="str">
        <f t="shared" si="7"/>
        <v>Nu</v>
      </c>
    </row>
    <row r="177" spans="1:10" x14ac:dyDescent="0.2">
      <c r="A177" t="s">
        <v>226</v>
      </c>
      <c r="B177" t="s">
        <v>227</v>
      </c>
      <c r="C177">
        <v>5690198</v>
      </c>
      <c r="D177" s="3">
        <f t="shared" si="9"/>
        <v>28450.99</v>
      </c>
      <c r="E177" s="2">
        <v>44437</v>
      </c>
      <c r="F177" s="2">
        <v>44441</v>
      </c>
      <c r="G177" s="21">
        <v>0.19930555555555554</v>
      </c>
      <c r="H177" t="s">
        <v>418</v>
      </c>
      <c r="I177" t="s">
        <v>468</v>
      </c>
      <c r="J177" t="str">
        <f t="shared" si="7"/>
        <v>Nu</v>
      </c>
    </row>
    <row r="178" spans="1:10" x14ac:dyDescent="0.2">
      <c r="A178" t="s">
        <v>210</v>
      </c>
      <c r="B178" t="s">
        <v>211</v>
      </c>
      <c r="C178">
        <v>5663659</v>
      </c>
      <c r="D178" s="3">
        <f t="shared" si="9"/>
        <v>28318.294999999998</v>
      </c>
      <c r="E178" s="2">
        <v>44456</v>
      </c>
      <c r="F178" s="2">
        <v>44441</v>
      </c>
      <c r="G178" s="21">
        <v>0.12361111111111112</v>
      </c>
      <c r="H178" t="s">
        <v>433</v>
      </c>
      <c r="I178" t="s">
        <v>468</v>
      </c>
      <c r="J178" t="str">
        <f t="shared" si="7"/>
        <v>Nu</v>
      </c>
    </row>
    <row r="179" spans="1:10" x14ac:dyDescent="0.2">
      <c r="A179" t="s">
        <v>388</v>
      </c>
      <c r="B179" t="s">
        <v>389</v>
      </c>
      <c r="C179">
        <v>5643695</v>
      </c>
      <c r="D179" s="3">
        <f t="shared" si="9"/>
        <v>28218.474999999999</v>
      </c>
      <c r="E179" s="2">
        <v>44295</v>
      </c>
      <c r="F179" s="2">
        <v>44441</v>
      </c>
      <c r="G179" s="21">
        <v>0.14583333333333334</v>
      </c>
      <c r="H179" t="s">
        <v>433</v>
      </c>
      <c r="I179" t="s">
        <v>469</v>
      </c>
      <c r="J179" t="str">
        <f t="shared" si="7"/>
        <v>Nu</v>
      </c>
    </row>
    <row r="180" spans="1:10" x14ac:dyDescent="0.2">
      <c r="A180" t="s">
        <v>252</v>
      </c>
      <c r="B180" t="s">
        <v>154</v>
      </c>
      <c r="C180">
        <v>5635533</v>
      </c>
      <c r="D180" s="3">
        <f t="shared" si="9"/>
        <v>28177.665000000001</v>
      </c>
      <c r="E180" s="2">
        <v>44338</v>
      </c>
      <c r="F180" s="2">
        <v>44441</v>
      </c>
      <c r="G180" s="21">
        <v>0.10069444444444443</v>
      </c>
      <c r="H180" t="s">
        <v>416</v>
      </c>
      <c r="I180" t="s">
        <v>468</v>
      </c>
      <c r="J180" t="str">
        <f t="shared" si="7"/>
        <v>Nu</v>
      </c>
    </row>
    <row r="181" spans="1:10" x14ac:dyDescent="0.2">
      <c r="A181" t="s">
        <v>167</v>
      </c>
      <c r="B181" t="s">
        <v>4</v>
      </c>
      <c r="C181">
        <v>5610966</v>
      </c>
      <c r="D181" s="3">
        <f t="shared" si="9"/>
        <v>28054.83</v>
      </c>
      <c r="E181" s="2">
        <v>44437</v>
      </c>
      <c r="F181" s="2">
        <v>44441</v>
      </c>
      <c r="G181" s="21">
        <v>0.20625000000000002</v>
      </c>
      <c r="H181" t="s">
        <v>428</v>
      </c>
      <c r="I181" t="s">
        <v>469</v>
      </c>
      <c r="J181" t="str">
        <f t="shared" si="7"/>
        <v>Nu</v>
      </c>
    </row>
    <row r="182" spans="1:10" x14ac:dyDescent="0.2">
      <c r="A182" t="s">
        <v>390</v>
      </c>
      <c r="B182" t="s">
        <v>391</v>
      </c>
      <c r="C182">
        <v>5599395</v>
      </c>
      <c r="D182" s="3">
        <f t="shared" si="9"/>
        <v>27996.975000000002</v>
      </c>
      <c r="E182" s="2">
        <v>44050</v>
      </c>
      <c r="F182" s="2">
        <v>44441</v>
      </c>
      <c r="G182" s="21">
        <v>0.20694444444444446</v>
      </c>
      <c r="H182" t="s">
        <v>423</v>
      </c>
      <c r="I182" t="s">
        <v>468</v>
      </c>
      <c r="J182" t="str">
        <f t="shared" si="7"/>
        <v>Da</v>
      </c>
    </row>
    <row r="183" spans="1:10" x14ac:dyDescent="0.2">
      <c r="A183" t="s">
        <v>392</v>
      </c>
      <c r="B183" t="s">
        <v>393</v>
      </c>
      <c r="C183">
        <v>5593786</v>
      </c>
      <c r="D183" s="3">
        <f t="shared" si="9"/>
        <v>27968.93</v>
      </c>
      <c r="E183" s="2">
        <v>44411</v>
      </c>
      <c r="F183" s="2">
        <v>44441</v>
      </c>
      <c r="G183" s="21">
        <v>0.23541666666666669</v>
      </c>
      <c r="H183" t="s">
        <v>422</v>
      </c>
      <c r="I183" t="s">
        <v>495</v>
      </c>
      <c r="J183" t="str">
        <f t="shared" si="7"/>
        <v>Nu</v>
      </c>
    </row>
    <row r="184" spans="1:10" x14ac:dyDescent="0.2">
      <c r="A184" s="22">
        <v>512</v>
      </c>
      <c r="B184" t="s">
        <v>73</v>
      </c>
      <c r="C184">
        <v>5574638</v>
      </c>
      <c r="D184" s="3">
        <f t="shared" si="9"/>
        <v>27873.19</v>
      </c>
      <c r="E184" s="2">
        <v>44437</v>
      </c>
      <c r="F184" s="2">
        <v>44441</v>
      </c>
      <c r="G184" s="21">
        <v>9.5138888888888884E-2</v>
      </c>
      <c r="H184" t="s">
        <v>433</v>
      </c>
      <c r="I184" t="s">
        <v>472</v>
      </c>
      <c r="J184" t="str">
        <f t="shared" si="7"/>
        <v>Nu</v>
      </c>
    </row>
    <row r="185" spans="1:10" x14ac:dyDescent="0.2">
      <c r="A185" t="s">
        <v>349</v>
      </c>
      <c r="B185" t="s">
        <v>350</v>
      </c>
      <c r="C185">
        <v>5557982</v>
      </c>
      <c r="D185" s="3">
        <f t="shared" si="9"/>
        <v>27789.91</v>
      </c>
      <c r="E185" s="2">
        <v>44351</v>
      </c>
      <c r="F185" s="2">
        <v>44441</v>
      </c>
      <c r="G185" s="21">
        <v>0.14444444444444446</v>
      </c>
      <c r="H185" t="s">
        <v>423</v>
      </c>
      <c r="I185" t="s">
        <v>469</v>
      </c>
      <c r="J185" t="str">
        <f t="shared" si="7"/>
        <v>Nu</v>
      </c>
    </row>
    <row r="186" spans="1:10" x14ac:dyDescent="0.2">
      <c r="A186" t="s">
        <v>394</v>
      </c>
      <c r="B186" t="s">
        <v>395</v>
      </c>
      <c r="C186">
        <v>5547450</v>
      </c>
      <c r="D186" s="3">
        <f t="shared" si="9"/>
        <v>27737.25</v>
      </c>
      <c r="E186" s="2">
        <v>44274</v>
      </c>
      <c r="F186" s="2">
        <v>44441</v>
      </c>
      <c r="G186" s="21">
        <v>0.13819444444444443</v>
      </c>
      <c r="H186" t="s">
        <v>433</v>
      </c>
      <c r="I186" t="s">
        <v>468</v>
      </c>
      <c r="J186" t="str">
        <f t="shared" si="7"/>
        <v>Da</v>
      </c>
    </row>
    <row r="187" spans="1:10" x14ac:dyDescent="0.2">
      <c r="A187" t="s">
        <v>224</v>
      </c>
      <c r="B187" t="s">
        <v>225</v>
      </c>
      <c r="C187">
        <v>5547420</v>
      </c>
      <c r="D187" s="3">
        <f t="shared" si="9"/>
        <v>27737.1</v>
      </c>
      <c r="E187" s="2">
        <v>44460</v>
      </c>
      <c r="F187" s="2">
        <v>44441</v>
      </c>
      <c r="G187" s="21">
        <v>0.15694444444444444</v>
      </c>
      <c r="H187" t="s">
        <v>423</v>
      </c>
      <c r="I187" t="s">
        <v>469</v>
      </c>
      <c r="J187" t="str">
        <f t="shared" si="7"/>
        <v>Nu</v>
      </c>
    </row>
    <row r="188" spans="1:10" x14ac:dyDescent="0.2">
      <c r="A188" t="s">
        <v>241</v>
      </c>
      <c r="B188" t="s">
        <v>242</v>
      </c>
      <c r="C188">
        <v>5520749</v>
      </c>
      <c r="D188" s="3">
        <f t="shared" si="9"/>
        <v>27603.744999999999</v>
      </c>
      <c r="E188" s="2">
        <v>44377</v>
      </c>
      <c r="F188" s="2">
        <v>44441</v>
      </c>
      <c r="G188" s="21">
        <v>0.16527777777777777</v>
      </c>
      <c r="H188" t="s">
        <v>423</v>
      </c>
      <c r="I188" t="s">
        <v>469</v>
      </c>
      <c r="J188" t="str">
        <f t="shared" si="7"/>
        <v>Nu</v>
      </c>
    </row>
    <row r="189" spans="1:10" x14ac:dyDescent="0.2">
      <c r="A189" t="s">
        <v>277</v>
      </c>
      <c r="B189" t="s">
        <v>69</v>
      </c>
      <c r="C189">
        <v>5502543</v>
      </c>
      <c r="D189" s="3">
        <f t="shared" si="9"/>
        <v>27512.714999999997</v>
      </c>
      <c r="E189" s="2">
        <v>44248</v>
      </c>
      <c r="F189" s="2">
        <v>44441</v>
      </c>
      <c r="G189" s="21">
        <v>0.15972222222222224</v>
      </c>
      <c r="H189" t="s">
        <v>423</v>
      </c>
      <c r="I189" t="s">
        <v>474</v>
      </c>
      <c r="J189" t="str">
        <f t="shared" si="7"/>
        <v>Nu</v>
      </c>
    </row>
    <row r="190" spans="1:10" x14ac:dyDescent="0.2">
      <c r="A190" t="s">
        <v>261</v>
      </c>
      <c r="B190" t="s">
        <v>262</v>
      </c>
      <c r="C190">
        <v>5477944</v>
      </c>
      <c r="D190" s="3">
        <f t="shared" si="9"/>
        <v>27389.72</v>
      </c>
      <c r="E190" s="2">
        <v>44259</v>
      </c>
      <c r="F190" s="2">
        <v>44441</v>
      </c>
      <c r="G190" s="21">
        <v>0.10833333333333334</v>
      </c>
      <c r="H190" t="s">
        <v>423</v>
      </c>
      <c r="I190" t="s">
        <v>469</v>
      </c>
      <c r="J190" t="str">
        <f t="shared" si="7"/>
        <v>Nu</v>
      </c>
    </row>
    <row r="191" spans="1:10" x14ac:dyDescent="0.2">
      <c r="A191" t="s">
        <v>216</v>
      </c>
      <c r="B191" t="s">
        <v>217</v>
      </c>
      <c r="C191">
        <v>5468079</v>
      </c>
      <c r="D191" s="3">
        <f t="shared" si="9"/>
        <v>27340.394999999997</v>
      </c>
      <c r="E191" s="2">
        <v>44316</v>
      </c>
      <c r="F191" s="2">
        <v>44441</v>
      </c>
      <c r="G191" s="21">
        <v>0.14305555555555557</v>
      </c>
      <c r="H191" t="s">
        <v>426</v>
      </c>
      <c r="I191" t="s">
        <v>420</v>
      </c>
      <c r="J191" t="str">
        <f t="shared" si="7"/>
        <v>Nu</v>
      </c>
    </row>
    <row r="192" spans="1:10" x14ac:dyDescent="0.2">
      <c r="A192" t="s">
        <v>396</v>
      </c>
      <c r="B192" t="s">
        <v>12</v>
      </c>
      <c r="C192">
        <v>5460982</v>
      </c>
      <c r="D192" s="3">
        <f t="shared" si="9"/>
        <v>27304.91</v>
      </c>
      <c r="E192" s="2">
        <v>44282</v>
      </c>
      <c r="F192" s="2">
        <v>44441</v>
      </c>
      <c r="G192" s="21">
        <v>0.12013888888888889</v>
      </c>
      <c r="H192" t="s">
        <v>422</v>
      </c>
      <c r="I192" t="s">
        <v>468</v>
      </c>
      <c r="J192" t="str">
        <f t="shared" si="7"/>
        <v>Nu</v>
      </c>
    </row>
    <row r="193" spans="1:10" x14ac:dyDescent="0.2">
      <c r="A193" t="s">
        <v>203</v>
      </c>
      <c r="B193" t="s">
        <v>204</v>
      </c>
      <c r="C193">
        <v>5459053</v>
      </c>
      <c r="D193" s="3">
        <f t="shared" si="9"/>
        <v>27295.264999999999</v>
      </c>
      <c r="E193" s="2">
        <v>44254</v>
      </c>
      <c r="F193" s="2">
        <v>44441</v>
      </c>
      <c r="G193" s="21">
        <v>0.15277777777777776</v>
      </c>
      <c r="H193" t="s">
        <v>424</v>
      </c>
      <c r="I193" t="s">
        <v>468</v>
      </c>
      <c r="J193" t="str">
        <f t="shared" si="7"/>
        <v>Nu</v>
      </c>
    </row>
    <row r="194" spans="1:10" x14ac:dyDescent="0.2">
      <c r="A194" t="s">
        <v>397</v>
      </c>
      <c r="B194" t="s">
        <v>398</v>
      </c>
      <c r="C194">
        <v>5452012</v>
      </c>
      <c r="D194" s="3">
        <f t="shared" si="9"/>
        <v>27260.059999999998</v>
      </c>
      <c r="E194" s="2">
        <v>44308</v>
      </c>
      <c r="F194" s="2">
        <v>44441</v>
      </c>
      <c r="G194" s="21">
        <v>0.15069444444444444</v>
      </c>
      <c r="H194" t="s">
        <v>423</v>
      </c>
      <c r="I194" t="s">
        <v>468</v>
      </c>
      <c r="J194" t="str">
        <f t="shared" si="7"/>
        <v>Nu</v>
      </c>
    </row>
    <row r="195" spans="1:10" x14ac:dyDescent="0.2">
      <c r="A195" t="s">
        <v>399</v>
      </c>
      <c r="B195" t="s">
        <v>389</v>
      </c>
      <c r="C195">
        <v>5430793</v>
      </c>
      <c r="D195" s="3">
        <f t="shared" si="9"/>
        <v>27153.964999999997</v>
      </c>
      <c r="E195" s="2">
        <v>44406</v>
      </c>
      <c r="F195" s="2">
        <v>44441</v>
      </c>
      <c r="G195" s="21">
        <v>0.14097222222222222</v>
      </c>
      <c r="H195" t="s">
        <v>422</v>
      </c>
      <c r="I195" t="s">
        <v>469</v>
      </c>
      <c r="J195" t="str">
        <f t="shared" si="7"/>
        <v>Nu</v>
      </c>
    </row>
    <row r="196" spans="1:10" x14ac:dyDescent="0.2">
      <c r="A196" t="s">
        <v>275</v>
      </c>
      <c r="B196" t="s">
        <v>276</v>
      </c>
      <c r="C196">
        <v>5415878</v>
      </c>
      <c r="D196" s="3">
        <f t="shared" si="9"/>
        <v>27079.39</v>
      </c>
      <c r="E196" s="2">
        <v>44209</v>
      </c>
      <c r="F196" s="2">
        <v>44441</v>
      </c>
      <c r="G196" s="21">
        <v>0.15902777777777777</v>
      </c>
      <c r="H196" t="s">
        <v>426</v>
      </c>
      <c r="I196" t="s">
        <v>496</v>
      </c>
      <c r="J196" t="str">
        <f t="shared" si="7"/>
        <v>Nu</v>
      </c>
    </row>
    <row r="197" spans="1:10" x14ac:dyDescent="0.2">
      <c r="A197" t="s">
        <v>270</v>
      </c>
      <c r="B197" t="s">
        <v>271</v>
      </c>
      <c r="C197">
        <v>5408080</v>
      </c>
      <c r="D197" s="3">
        <f t="shared" si="9"/>
        <v>27040.400000000001</v>
      </c>
      <c r="E197" s="2">
        <v>44309</v>
      </c>
      <c r="F197" s="2">
        <v>44441</v>
      </c>
      <c r="G197" s="21">
        <v>0.16805555555555554</v>
      </c>
      <c r="H197" t="s">
        <v>423</v>
      </c>
      <c r="I197" t="s">
        <v>468</v>
      </c>
      <c r="J197" t="str">
        <f t="shared" ref="J197:J202" si="10">IF(ISNUMBER(SEARCH("with",A197)),"Da","Nu")</f>
        <v>Nu</v>
      </c>
    </row>
    <row r="198" spans="1:10" x14ac:dyDescent="0.2">
      <c r="A198" t="s">
        <v>263</v>
      </c>
      <c r="B198" t="s">
        <v>213</v>
      </c>
      <c r="C198">
        <v>5406193</v>
      </c>
      <c r="D198" s="3">
        <f t="shared" si="9"/>
        <v>27030.965</v>
      </c>
      <c r="E198" s="2">
        <v>44256</v>
      </c>
      <c r="F198" s="2">
        <v>44441</v>
      </c>
      <c r="G198" s="21">
        <v>0.13749999999999998</v>
      </c>
      <c r="H198" t="s">
        <v>423</v>
      </c>
      <c r="I198" t="s">
        <v>487</v>
      </c>
      <c r="J198" t="str">
        <f t="shared" si="10"/>
        <v>Nu</v>
      </c>
    </row>
    <row r="199" spans="1:10" x14ac:dyDescent="0.2">
      <c r="A199" t="s">
        <v>400</v>
      </c>
      <c r="B199" t="s">
        <v>32</v>
      </c>
      <c r="C199">
        <v>5389195</v>
      </c>
      <c r="D199" s="3">
        <f t="shared" si="9"/>
        <v>26945.974999999999</v>
      </c>
      <c r="E199" s="2">
        <v>44307</v>
      </c>
      <c r="F199" s="2">
        <v>44441</v>
      </c>
      <c r="G199" s="21">
        <v>0.13541666666666666</v>
      </c>
      <c r="H199" t="s">
        <v>422</v>
      </c>
      <c r="I199" t="s">
        <v>472</v>
      </c>
      <c r="J199" t="str">
        <f t="shared" si="10"/>
        <v>Nu</v>
      </c>
    </row>
    <row r="200" spans="1:10" x14ac:dyDescent="0.2">
      <c r="A200" t="s">
        <v>461</v>
      </c>
      <c r="B200" t="s">
        <v>401</v>
      </c>
      <c r="C200">
        <v>5388870</v>
      </c>
      <c r="D200" s="3">
        <f t="shared" si="9"/>
        <v>26944.35</v>
      </c>
      <c r="E200" s="2">
        <v>44277</v>
      </c>
      <c r="F200" s="2">
        <v>44441</v>
      </c>
      <c r="G200" s="21">
        <v>0.23124999999999998</v>
      </c>
      <c r="H200" t="s">
        <v>423</v>
      </c>
      <c r="I200" t="s">
        <v>468</v>
      </c>
      <c r="J200" t="str">
        <f t="shared" si="10"/>
        <v>Da</v>
      </c>
    </row>
    <row r="201" spans="1:10" x14ac:dyDescent="0.2">
      <c r="A201" t="s">
        <v>455</v>
      </c>
      <c r="B201" t="s">
        <v>297</v>
      </c>
      <c r="C201">
        <v>5385078</v>
      </c>
      <c r="D201" s="3">
        <f t="shared" si="9"/>
        <v>26925.390000000003</v>
      </c>
      <c r="E201" s="2">
        <v>44371</v>
      </c>
      <c r="F201" s="2">
        <v>44441</v>
      </c>
      <c r="G201" s="21">
        <v>0.14097222222222222</v>
      </c>
      <c r="H201" t="s">
        <v>423</v>
      </c>
      <c r="I201" t="s">
        <v>468</v>
      </c>
      <c r="J201" t="str">
        <f t="shared" si="10"/>
        <v>Da</v>
      </c>
    </row>
    <row r="202" spans="1:10" x14ac:dyDescent="0.2">
      <c r="A202" t="s">
        <v>258</v>
      </c>
      <c r="B202" t="s">
        <v>23</v>
      </c>
      <c r="C202">
        <v>5363281</v>
      </c>
      <c r="D202" s="3">
        <f t="shared" si="9"/>
        <v>26816.404999999999</v>
      </c>
      <c r="E202" s="2">
        <v>44245</v>
      </c>
      <c r="F202" s="2">
        <v>44441</v>
      </c>
      <c r="G202" s="21">
        <v>0.11388888888888889</v>
      </c>
      <c r="H202" t="s">
        <v>418</v>
      </c>
      <c r="I202" t="s">
        <v>468</v>
      </c>
      <c r="J202" t="str">
        <f t="shared" si="10"/>
        <v>Nu</v>
      </c>
    </row>
    <row r="203" spans="1:10" x14ac:dyDescent="0.2">
      <c r="G203" s="21"/>
    </row>
    <row r="204" spans="1:10" x14ac:dyDescent="0.2">
      <c r="G204" s="21"/>
    </row>
    <row r="205" spans="1:10" x14ac:dyDescent="0.2">
      <c r="C205" s="1" t="s">
        <v>402</v>
      </c>
      <c r="D205" s="1" t="s">
        <v>411</v>
      </c>
      <c r="G205" s="21"/>
    </row>
    <row r="206" spans="1:10" x14ac:dyDescent="0.2">
      <c r="C206" s="1">
        <f>AVERAGE(C3:C202)</f>
        <v>10402631.23</v>
      </c>
      <c r="D206" s="4">
        <f>SUM(D3:D202)/200</f>
        <v>52013.156149999966</v>
      </c>
      <c r="G206" s="21"/>
    </row>
    <row r="207" spans="1:10" x14ac:dyDescent="0.2">
      <c r="C207" s="1"/>
      <c r="D207" s="1"/>
      <c r="G207" s="21"/>
    </row>
    <row r="208" spans="1:10" x14ac:dyDescent="0.2">
      <c r="C208" s="1" t="s">
        <v>403</v>
      </c>
      <c r="D208" s="1" t="s">
        <v>410</v>
      </c>
      <c r="G208" s="21"/>
    </row>
    <row r="209" spans="3:7" x14ac:dyDescent="0.2">
      <c r="C209" s="1">
        <f>SUM(C3:C202)</f>
        <v>2080526246</v>
      </c>
      <c r="D209" s="4">
        <v>9507704.2249999996</v>
      </c>
      <c r="G209" s="21"/>
    </row>
    <row r="210" spans="3:7" x14ac:dyDescent="0.2">
      <c r="G210" s="21"/>
    </row>
    <row r="211" spans="3:7" x14ac:dyDescent="0.2">
      <c r="G211" s="21"/>
    </row>
    <row r="212" spans="3:7" x14ac:dyDescent="0.2">
      <c r="G212" s="21"/>
    </row>
    <row r="213" spans="3:7" x14ac:dyDescent="0.2">
      <c r="G213" s="21"/>
    </row>
    <row r="214" spans="3:7" x14ac:dyDescent="0.2">
      <c r="G214" s="21"/>
    </row>
    <row r="215" spans="3:7" x14ac:dyDescent="0.2">
      <c r="G215" s="21"/>
    </row>
    <row r="216" spans="3:7" x14ac:dyDescent="0.2">
      <c r="G216" s="21"/>
    </row>
    <row r="217" spans="3:7" x14ac:dyDescent="0.2">
      <c r="G217" s="21"/>
    </row>
    <row r="218" spans="3:7" x14ac:dyDescent="0.2">
      <c r="G218" s="21"/>
    </row>
    <row r="219" spans="3:7" x14ac:dyDescent="0.2">
      <c r="G219" s="21"/>
    </row>
    <row r="220" spans="3:7" x14ac:dyDescent="0.2">
      <c r="G220" s="21"/>
    </row>
    <row r="221" spans="3:7" x14ac:dyDescent="0.2">
      <c r="G221" s="21"/>
    </row>
    <row r="222" spans="3:7" x14ac:dyDescent="0.2">
      <c r="G222" s="21"/>
    </row>
    <row r="223" spans="3:7" x14ac:dyDescent="0.2">
      <c r="G223" s="21"/>
    </row>
    <row r="224" spans="3:7" x14ac:dyDescent="0.2">
      <c r="G224" s="21"/>
    </row>
    <row r="225" spans="7:7" x14ac:dyDescent="0.2">
      <c r="G225" s="21"/>
    </row>
    <row r="226" spans="7:7" x14ac:dyDescent="0.2">
      <c r="G226" s="21"/>
    </row>
    <row r="227" spans="7:7" x14ac:dyDescent="0.2">
      <c r="G227" s="21"/>
    </row>
    <row r="228" spans="7:7" x14ac:dyDescent="0.2">
      <c r="G228" s="21"/>
    </row>
    <row r="229" spans="7:7" x14ac:dyDescent="0.2">
      <c r="G229" s="21"/>
    </row>
    <row r="230" spans="7:7" x14ac:dyDescent="0.2">
      <c r="G230" s="21"/>
    </row>
    <row r="231" spans="7:7" x14ac:dyDescent="0.2">
      <c r="G231" s="21"/>
    </row>
    <row r="232" spans="7:7" x14ac:dyDescent="0.2">
      <c r="G232" s="21"/>
    </row>
    <row r="233" spans="7:7" x14ac:dyDescent="0.2">
      <c r="G233" s="21"/>
    </row>
    <row r="234" spans="7:7" x14ac:dyDescent="0.2">
      <c r="G234" s="21"/>
    </row>
    <row r="235" spans="7:7" x14ac:dyDescent="0.2">
      <c r="G235" s="21"/>
    </row>
    <row r="236" spans="7:7" x14ac:dyDescent="0.2">
      <c r="G236" s="21"/>
    </row>
    <row r="237" spans="7:7" x14ac:dyDescent="0.2">
      <c r="G237" s="21"/>
    </row>
    <row r="238" spans="7:7" x14ac:dyDescent="0.2">
      <c r="G238" s="21"/>
    </row>
    <row r="239" spans="7:7" x14ac:dyDescent="0.2">
      <c r="G239" s="21"/>
    </row>
    <row r="240" spans="7:7" x14ac:dyDescent="0.2">
      <c r="G240" s="21"/>
    </row>
    <row r="241" spans="7:7" x14ac:dyDescent="0.2">
      <c r="G241" s="21"/>
    </row>
    <row r="242" spans="7:7" x14ac:dyDescent="0.2">
      <c r="G242" s="21"/>
    </row>
  </sheetData>
  <conditionalFormatting sqref="J3">
    <cfRule type="containsText" dxfId="21" priority="3" operator="containsText" text="Da">
      <formula>NOT(ISERROR(SEARCH("Da",J3)))</formula>
    </cfRule>
  </conditionalFormatting>
  <conditionalFormatting sqref="J3:J202">
    <cfRule type="containsText" dxfId="20" priority="1" operator="containsText" text="Nu">
      <formula>NOT(ISERROR(SEARCH("Nu",J3)))</formula>
    </cfRule>
    <cfRule type="containsText" dxfId="19" priority="2" operator="containsText" text="Da">
      <formula>NOT(ISERROR(SEARCH("Da",J3)))</formula>
    </cfRule>
  </conditionalFormatting>
  <pageMargins left="0.7" right="0.7" top="0.75" bottom="0.75" header="0.3" footer="0.3"/>
  <pageSetup paperSize="9" orientation="portrait" horizontalDpi="0" verticalDpi="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A144D-7B5C-4D46-B50E-1BDBD2DF335B}">
  <sheetPr>
    <tabColor rgb="FFFFFF00"/>
  </sheetPr>
  <dimension ref="A1:J209"/>
  <sheetViews>
    <sheetView topLeftCell="A77" workbookViewId="0">
      <selection activeCell="G204" sqref="G204"/>
    </sheetView>
  </sheetViews>
  <sheetFormatPr baseColWidth="10" defaultColWidth="11" defaultRowHeight="16" x14ac:dyDescent="0.2"/>
  <cols>
    <col min="1" max="1" width="49" bestFit="1" customWidth="1"/>
    <col min="2" max="2" width="19" bestFit="1" customWidth="1"/>
    <col min="3" max="3" width="25.5" bestFit="1" customWidth="1"/>
    <col min="4" max="4" width="26" bestFit="1" customWidth="1"/>
    <col min="5" max="5" width="11.83203125" bestFit="1" customWidth="1"/>
    <col min="6" max="6" width="15.83203125" bestFit="1" customWidth="1"/>
    <col min="7" max="7" width="14.33203125" bestFit="1" customWidth="1"/>
    <col min="8" max="8" width="14.83203125" bestFit="1" customWidth="1"/>
    <col min="9" max="9" width="21.1640625" bestFit="1" customWidth="1"/>
    <col min="10" max="10" width="10" bestFit="1" customWidth="1"/>
  </cols>
  <sheetData>
    <row r="1" spans="1:10" x14ac:dyDescent="0.2">
      <c r="A1" s="12" t="s">
        <v>404</v>
      </c>
      <c r="B1" s="11" t="s">
        <v>405</v>
      </c>
      <c r="C1" s="13" t="s">
        <v>406</v>
      </c>
      <c r="D1" s="14" t="s">
        <v>407</v>
      </c>
      <c r="E1" s="15" t="s">
        <v>408</v>
      </c>
      <c r="F1" s="16" t="s">
        <v>409</v>
      </c>
      <c r="G1" s="17" t="s">
        <v>412</v>
      </c>
      <c r="H1" s="18" t="s">
        <v>413</v>
      </c>
      <c r="I1" s="19" t="s">
        <v>419</v>
      </c>
      <c r="J1" s="20" t="s">
        <v>421</v>
      </c>
    </row>
    <row r="3" spans="1:10" x14ac:dyDescent="0.2">
      <c r="A3" t="s">
        <v>0</v>
      </c>
      <c r="B3" t="s">
        <v>1</v>
      </c>
      <c r="C3">
        <v>61385396</v>
      </c>
      <c r="D3" s="5">
        <f t="shared" ref="D3:D34" si="0">(C3/1000*5)</f>
        <v>306926.98</v>
      </c>
      <c r="E3" s="2">
        <f>VLOOKUP(A3,'2.09.2021'!A$3:'2.09.2021'!I$202,5,)</f>
        <v>44386</v>
      </c>
      <c r="F3" s="2">
        <v>44448</v>
      </c>
      <c r="G3" s="23">
        <f>VLOOKUP(A3,'2.09.2021'!A$3:'2.09.2021'!I$202,7,)</f>
        <v>9.7916666666666666E-2</v>
      </c>
      <c r="H3" t="str">
        <f>VLOOKUP(A3,'2.09.2021'!A$3:'2.09.2021'!I$202,8,)</f>
        <v>POP</v>
      </c>
      <c r="I3" t="str">
        <f>VLOOKUP(A3,'2.09.2021'!A$3:'2.09.2021'!I$202,9,)</f>
        <v>Australia</v>
      </c>
      <c r="J3" t="str">
        <f>IF(ISNUMBER(SEARCH("with",A3)),"Da","Nu")</f>
        <v>Da</v>
      </c>
    </row>
    <row r="4" spans="1:10" x14ac:dyDescent="0.2">
      <c r="A4" t="s">
        <v>436</v>
      </c>
      <c r="B4" t="s">
        <v>2</v>
      </c>
      <c r="C4">
        <v>53085371</v>
      </c>
      <c r="D4" s="5">
        <f t="shared" si="0"/>
        <v>265426.85499999998</v>
      </c>
      <c r="E4" s="2">
        <f>VLOOKUP(A4,'2.09.2021'!A$3:'2.09.2021'!I$202,5,)</f>
        <v>44400</v>
      </c>
      <c r="F4" s="2">
        <v>44448</v>
      </c>
      <c r="G4" s="23">
        <f>VLOOKUP(A4,'2.09.2021'!A$3:'2.09.2021'!I$202,7,)</f>
        <v>0.14722222222222223</v>
      </c>
      <c r="H4" t="str">
        <f>VLOOKUP(A4,'2.09.2021'!A$3:'2.09.2021'!I$202,8,)</f>
        <v>HIP-HOP/RAP</v>
      </c>
      <c r="I4" t="str">
        <f>VLOOKUP(A4,'2.09.2021'!A$3:'2.09.2021'!I$202,9,)</f>
        <v>SUA</v>
      </c>
      <c r="J4" t="str">
        <f>IF(ISNUMBER(SEARCH("with",A4)),"Da","Nu")</f>
        <v>Da</v>
      </c>
    </row>
    <row r="5" spans="1:10" x14ac:dyDescent="0.2">
      <c r="A5" t="s">
        <v>14</v>
      </c>
      <c r="B5" t="s">
        <v>2</v>
      </c>
      <c r="C5">
        <v>32546474</v>
      </c>
      <c r="D5" s="5">
        <f t="shared" si="0"/>
        <v>162732.37</v>
      </c>
      <c r="E5" s="2">
        <f>VLOOKUP(A5,'30.09.2021'!A$3:'30.09.2021'!I$202,5,)</f>
        <v>44316</v>
      </c>
      <c r="F5" s="2">
        <v>44448</v>
      </c>
      <c r="G5" s="23">
        <f>VLOOKUP(A5,'30.09.2021'!A$3:'30.09.2021'!I$202,7,)</f>
        <v>0.18124999999999999</v>
      </c>
      <c r="H5" t="str">
        <f>VLOOKUP(A5,'30.09.2021'!A$3:'30.09.2021'!I$202,8,)</f>
        <v>POP</v>
      </c>
      <c r="I5" t="str">
        <f>VLOOKUP(A5,'30.09.2021'!A$3:'30.09.2021'!I$202,9,)</f>
        <v>SUA</v>
      </c>
      <c r="J5" t="str">
        <f t="shared" ref="J5:J67" si="1">IF(ISNUMBER(SEARCH("with",A5)),"Da","Nu")</f>
        <v>Nu</v>
      </c>
    </row>
    <row r="6" spans="1:10" x14ac:dyDescent="0.2">
      <c r="A6" t="s">
        <v>5</v>
      </c>
      <c r="B6" t="s">
        <v>6</v>
      </c>
      <c r="C6">
        <v>31103477</v>
      </c>
      <c r="D6" s="5">
        <f t="shared" si="0"/>
        <v>155517.38500000001</v>
      </c>
      <c r="E6" s="2">
        <f>VLOOKUP(A6,'2.09.2021'!A$3:'2.09.2021'!I$202,5,)</f>
        <v>44050</v>
      </c>
      <c r="F6" s="2">
        <v>44448</v>
      </c>
      <c r="G6" s="23">
        <f>VLOOKUP(A6,'2.09.2021'!A$3:'2.09.2021'!I$202,7,)</f>
        <v>0.16527777777777777</v>
      </c>
      <c r="H6" t="str">
        <f>VLOOKUP(A6,'2.09.2021'!A$3:'2.09.2021'!I$202,8,)</f>
        <v>POP</v>
      </c>
      <c r="I6" t="str">
        <f>VLOOKUP(A6,'2.09.2021'!A$3:'2.09.2021'!I$202,9,)</f>
        <v>Marea Britanie</v>
      </c>
      <c r="J6" t="str">
        <f t="shared" si="1"/>
        <v>Nu</v>
      </c>
    </row>
    <row r="7" spans="1:10" x14ac:dyDescent="0.2">
      <c r="A7" t="s">
        <v>9</v>
      </c>
      <c r="B7" t="s">
        <v>10</v>
      </c>
      <c r="C7">
        <v>30276896</v>
      </c>
      <c r="D7" s="5">
        <f t="shared" si="0"/>
        <v>151384.48000000001</v>
      </c>
      <c r="E7" s="2">
        <f>VLOOKUP(A7,'2.09.2021'!A$3:'2.09.2021'!I$202,5,)</f>
        <v>44358</v>
      </c>
      <c r="F7" s="2">
        <v>44448</v>
      </c>
      <c r="G7" s="23">
        <f>VLOOKUP(A7,'2.09.2021'!A$3:'2.09.2021'!I$202,7,)</f>
        <v>0.14722222222222223</v>
      </c>
      <c r="H7" t="str">
        <f>VLOOKUP(A7,'2.09.2021'!A$3:'2.09.2021'!I$202,8,)</f>
        <v>POP</v>
      </c>
      <c r="I7" t="str">
        <f>VLOOKUP(A7,'2.09.2021'!A$3:'2.09.2021'!I$202,9,)</f>
        <v>Marea Britanie</v>
      </c>
      <c r="J7" t="str">
        <f t="shared" si="1"/>
        <v>Nu</v>
      </c>
    </row>
    <row r="8" spans="1:10" x14ac:dyDescent="0.2">
      <c r="A8" t="s">
        <v>7</v>
      </c>
      <c r="B8" t="s">
        <v>8</v>
      </c>
      <c r="C8">
        <v>30119703</v>
      </c>
      <c r="D8" s="5">
        <f t="shared" si="0"/>
        <v>150598.51500000001</v>
      </c>
      <c r="E8" s="2">
        <f>VLOOKUP(A8,'2.09.2021'!A$3:'2.09.2021'!I$202,5,)</f>
        <v>44538</v>
      </c>
      <c r="F8" s="2">
        <v>44448</v>
      </c>
      <c r="G8" s="23">
        <f>VLOOKUP(A8,'2.09.2021'!A$3:'2.09.2021'!I$202,7,)</f>
        <v>0.19930555555555554</v>
      </c>
      <c r="H8" t="str">
        <f>VLOOKUP(A8,'2.09.2021'!A$3:'2.09.2021'!I$202,8,)</f>
        <v>LATIN URBAN</v>
      </c>
      <c r="I8" t="str">
        <f>VLOOKUP(A8,'2.09.2021'!A$3:'2.09.2021'!I$202,9,)</f>
        <v>Puerto Rico</v>
      </c>
      <c r="J8" t="str">
        <f t="shared" si="1"/>
        <v>Nu</v>
      </c>
    </row>
    <row r="9" spans="1:10" x14ac:dyDescent="0.2">
      <c r="A9" t="s">
        <v>11</v>
      </c>
      <c r="B9" t="s">
        <v>12</v>
      </c>
      <c r="C9">
        <v>29648304</v>
      </c>
      <c r="D9" s="5">
        <f t="shared" si="0"/>
        <v>148241.51999999999</v>
      </c>
      <c r="E9" s="2">
        <f>VLOOKUP(A9,'2.09.2021'!A$3:'2.09.2021'!I$202,5,)</f>
        <v>44374</v>
      </c>
      <c r="F9" s="2">
        <v>44448</v>
      </c>
      <c r="G9" s="23">
        <f>VLOOKUP(A9,'2.09.2021'!A$3:'2.09.2021'!I$202,7,)</f>
        <v>0.10069444444444443</v>
      </c>
      <c r="H9" t="str">
        <f>VLOOKUP(A9,'2.09.2021'!A$3:'2.09.2021'!I$202,8,)</f>
        <v>POP</v>
      </c>
      <c r="I9" t="str">
        <f>VLOOKUP(A9,'2.09.2021'!A$3:'2.09.2021'!I$202,9,)</f>
        <v>SUA</v>
      </c>
      <c r="J9" t="str">
        <f t="shared" si="1"/>
        <v>Nu</v>
      </c>
    </row>
    <row r="10" spans="1:10" x14ac:dyDescent="0.2">
      <c r="A10" t="s">
        <v>18</v>
      </c>
      <c r="B10" t="s">
        <v>2</v>
      </c>
      <c r="C10">
        <v>28933084</v>
      </c>
      <c r="D10" s="5">
        <f t="shared" si="0"/>
        <v>144665.41999999998</v>
      </c>
      <c r="E10" s="2">
        <f>VLOOKUP(A10,'2.09.2021'!A$3:'2.09.2021'!I$202,5,)</f>
        <v>44456</v>
      </c>
      <c r="F10" s="2">
        <v>44448</v>
      </c>
      <c r="G10" s="23">
        <f>VLOOKUP(A10,'2.09.2021'!A$3:'2.09.2021'!I$202,7,)</f>
        <v>9.5138888888888884E-2</v>
      </c>
      <c r="H10" t="str">
        <f>VLOOKUP(A10,'2.09.2021'!A$3:'2.09.2021'!I$202,8,)</f>
        <v>POP</v>
      </c>
      <c r="I10" t="str">
        <f>VLOOKUP(A10,'2.09.2021'!A$3:'2.09.2021'!I$202,9,)</f>
        <v>SUA</v>
      </c>
      <c r="J10" t="str">
        <f t="shared" si="1"/>
        <v>Nu</v>
      </c>
    </row>
    <row r="11" spans="1:10" x14ac:dyDescent="0.2">
      <c r="A11" t="s">
        <v>13</v>
      </c>
      <c r="B11" t="s">
        <v>10</v>
      </c>
      <c r="C11">
        <v>27138539</v>
      </c>
      <c r="D11" s="5">
        <f t="shared" si="0"/>
        <v>135692.69500000001</v>
      </c>
      <c r="E11" s="2">
        <f>VLOOKUP(A11,'16.09.2021'!A$3:'16.09.2021'!I$202,5,)</f>
        <v>44315</v>
      </c>
      <c r="F11" s="2">
        <v>44448</v>
      </c>
      <c r="G11" s="23">
        <f>VLOOKUP(A11,'16.09.2021'!A$3:'16.09.2021'!I$202,7,)</f>
        <v>0.10555555555555556</v>
      </c>
      <c r="H11" t="str">
        <f>VLOOKUP(A11,'16.09.2021'!A$3:'16.09.2021'!I$202,8,)</f>
        <v>POP</v>
      </c>
      <c r="I11" t="str">
        <f>VLOOKUP(A11,'16.09.2021'!A$3:'16.09.2021'!I$202,9,)</f>
        <v>Marea Britanie</v>
      </c>
      <c r="J11" t="str">
        <f t="shared" si="1"/>
        <v>Nu</v>
      </c>
    </row>
    <row r="12" spans="1:10" x14ac:dyDescent="0.2">
      <c r="A12" t="s">
        <v>15</v>
      </c>
      <c r="B12" t="s">
        <v>415</v>
      </c>
      <c r="C12">
        <v>26309445</v>
      </c>
      <c r="D12" s="5">
        <f t="shared" si="0"/>
        <v>131547.22500000001</v>
      </c>
      <c r="E12" s="2">
        <f>VLOOKUP(A12,'2.09.2021'!A$3:'2.09.2021'!I$202,5,)</f>
        <v>43077</v>
      </c>
      <c r="F12" s="2">
        <v>44448</v>
      </c>
      <c r="G12" s="23">
        <f>VLOOKUP(A12,'2.09.2021'!A$3:'2.09.2021'!I$202,7,)</f>
        <v>0.14652777777777778</v>
      </c>
      <c r="H12" t="str">
        <f>VLOOKUP(A12,'2.09.2021'!A$3:'2.09.2021'!I$202,8,)</f>
        <v>ROCK</v>
      </c>
      <c r="I12" t="str">
        <f>VLOOKUP(A12,'2.09.2021'!A$3:'2.09.2021'!I$202,9,)</f>
        <v>Italia</v>
      </c>
      <c r="J12" t="str">
        <f t="shared" si="1"/>
        <v>Nu</v>
      </c>
    </row>
    <row r="13" spans="1:10" x14ac:dyDescent="0.2">
      <c r="A13" t="s">
        <v>16</v>
      </c>
      <c r="B13" t="s">
        <v>17</v>
      </c>
      <c r="C13">
        <v>24943366</v>
      </c>
      <c r="D13" s="5">
        <f t="shared" si="0"/>
        <v>124716.83000000002</v>
      </c>
      <c r="E13" s="2">
        <f>VLOOKUP(A13,'2.09.2021'!A$3:'2.09.2021'!I$202,5,)</f>
        <v>44337</v>
      </c>
      <c r="F13" s="2">
        <v>44448</v>
      </c>
      <c r="G13" s="23">
        <f>VLOOKUP(A13,'2.09.2021'!A$3:'2.09.2021'!I$202,7,)</f>
        <v>0.12361111111111112</v>
      </c>
      <c r="H13" t="str">
        <f>VLOOKUP(A13,'2.09.2021'!A$3:'2.09.2021'!I$202,8,)</f>
        <v>POP</v>
      </c>
      <c r="I13" t="str">
        <f>VLOOKUP(A13,'2.09.2021'!A$3:'2.09.2021'!I$202,9,)</f>
        <v>SUA</v>
      </c>
      <c r="J13" t="str">
        <f t="shared" si="1"/>
        <v>Nu</v>
      </c>
    </row>
    <row r="14" spans="1:10" x14ac:dyDescent="0.2">
      <c r="A14" t="s">
        <v>19</v>
      </c>
      <c r="B14" t="s">
        <v>20</v>
      </c>
      <c r="C14">
        <v>23088866</v>
      </c>
      <c r="D14" s="5">
        <f t="shared" si="0"/>
        <v>115444.33000000002</v>
      </c>
      <c r="E14" s="2">
        <f>VLOOKUP(A14,'16.09.2021'!A$3:'16.09.2021'!I$202,5,)</f>
        <v>44460</v>
      </c>
      <c r="F14" s="2">
        <v>44448</v>
      </c>
      <c r="G14" s="23">
        <f>VLOOKUP(A14,'16.09.2021'!A$3:'16.09.2021'!I$202,7,)</f>
        <v>5.5555555555555552E-2</v>
      </c>
      <c r="H14" t="str">
        <f>VLOOKUP(A14,'16.09.2021'!A$3:'16.09.2021'!I$202,8,)</f>
        <v>HIP-HOP/RAP</v>
      </c>
      <c r="I14" t="str">
        <f>VLOOKUP(A14,'16.09.2021'!A$3:'16.09.2021'!I$202,9,)</f>
        <v>Canada</v>
      </c>
      <c r="J14" t="str">
        <f t="shared" si="1"/>
        <v>Da</v>
      </c>
    </row>
    <row r="15" spans="1:10" x14ac:dyDescent="0.2">
      <c r="A15" t="s">
        <v>21</v>
      </c>
      <c r="B15" t="s">
        <v>12</v>
      </c>
      <c r="C15">
        <v>22506534</v>
      </c>
      <c r="D15" s="5">
        <f t="shared" si="0"/>
        <v>112532.67</v>
      </c>
      <c r="E15" s="2">
        <f>VLOOKUP(A15,'2.09.2021'!A$3:'2.09.2021'!I$202,5,)</f>
        <v>44371</v>
      </c>
      <c r="F15" s="2">
        <v>44448</v>
      </c>
      <c r="G15" s="23">
        <f>VLOOKUP(A15,'2.09.2021'!A$3:'2.09.2021'!I$202,7,)</f>
        <v>0.14583333333333334</v>
      </c>
      <c r="H15" t="str">
        <f>VLOOKUP(A15,'2.09.2021'!A$3:'2.09.2021'!I$202,8,)</f>
        <v>POP</v>
      </c>
      <c r="I15" t="str">
        <f>VLOOKUP(A15,'2.09.2021'!A$3:'2.09.2021'!I$202,9,)</f>
        <v>SUA</v>
      </c>
      <c r="J15" t="str">
        <f t="shared" si="1"/>
        <v>Nu</v>
      </c>
    </row>
    <row r="16" spans="1:10" x14ac:dyDescent="0.2">
      <c r="A16" t="s">
        <v>30</v>
      </c>
      <c r="B16" t="s">
        <v>20</v>
      </c>
      <c r="C16">
        <v>20658947</v>
      </c>
      <c r="D16" s="5">
        <f t="shared" si="0"/>
        <v>103294.735</v>
      </c>
      <c r="E16" s="2">
        <f>VLOOKUP(A16,'16.09.2021'!A$3:'16.09.2021'!I$202,5,)</f>
        <v>44460</v>
      </c>
      <c r="F16" s="2">
        <v>44448</v>
      </c>
      <c r="G16" s="23">
        <f>VLOOKUP(A16,'16.09.2021'!A$3:'16.09.2021'!I$202,7,)</f>
        <v>0.14097222222222222</v>
      </c>
      <c r="H16" t="str">
        <f>VLOOKUP(A16,'16.09.2021'!A$3:'16.09.2021'!I$202,8,)</f>
        <v>hIP-HOP/RAP</v>
      </c>
      <c r="I16" t="str">
        <f>VLOOKUP(A16,'16.09.2021'!A$3:'16.09.2021'!I$202,9,)</f>
        <v>Canada</v>
      </c>
      <c r="J16" t="str">
        <f t="shared" si="1"/>
        <v>Da</v>
      </c>
    </row>
    <row r="17" spans="1:10" x14ac:dyDescent="0.2">
      <c r="A17" t="s">
        <v>437</v>
      </c>
      <c r="B17" t="s">
        <v>12</v>
      </c>
      <c r="C17">
        <v>19826752</v>
      </c>
      <c r="D17" s="5">
        <f t="shared" si="0"/>
        <v>99133.760000000009</v>
      </c>
      <c r="E17" s="2">
        <f>VLOOKUP(A17,'2.09.2021'!A$3:'2.09.2021'!I$202,5,)</f>
        <v>44295</v>
      </c>
      <c r="F17" s="2">
        <v>44448</v>
      </c>
      <c r="G17" s="23">
        <f>VLOOKUP(A17,'2.09.2021'!A$3:'2.09.2021'!I$202,7,)</f>
        <v>0.14444444444444446</v>
      </c>
      <c r="H17" t="str">
        <f>VLOOKUP(A17,'2.09.2021'!A$3:'2.09.2021'!I$202,8,)</f>
        <v>POP</v>
      </c>
      <c r="I17" t="str">
        <f>VLOOKUP(A17,'2.09.2021'!A$3:'2.09.2021'!I$202,9,)</f>
        <v>SUA</v>
      </c>
      <c r="J17" t="str">
        <f t="shared" si="1"/>
        <v>Da</v>
      </c>
    </row>
    <row r="18" spans="1:10" x14ac:dyDescent="0.2">
      <c r="A18" t="s">
        <v>22</v>
      </c>
      <c r="B18" t="s">
        <v>23</v>
      </c>
      <c r="C18">
        <v>19263184</v>
      </c>
      <c r="D18" s="5">
        <f t="shared" si="0"/>
        <v>96315.920000000013</v>
      </c>
      <c r="E18" s="2">
        <f>VLOOKUP(A18,'2.09.2021'!A$3:'2.09.2021'!I$202,5,)</f>
        <v>44407</v>
      </c>
      <c r="F18" s="2">
        <v>44448</v>
      </c>
      <c r="G18" s="23">
        <f>VLOOKUP(A18,'2.09.2021'!A$3:'2.09.2021'!I$202,7,)</f>
        <v>0.20694444444444446</v>
      </c>
      <c r="H18" t="str">
        <f>VLOOKUP(A18,'2.09.2021'!A$3:'2.09.2021'!I$202,8,)</f>
        <v>ALTERNATIVE</v>
      </c>
      <c r="I18" t="str">
        <f>VLOOKUP(A18,'2.09.2021'!A$3:'2.09.2021'!I$202,9,)</f>
        <v>SUA</v>
      </c>
      <c r="J18" t="str">
        <f t="shared" si="1"/>
        <v>Nu</v>
      </c>
    </row>
    <row r="19" spans="1:10" x14ac:dyDescent="0.2">
      <c r="A19" t="s">
        <v>28</v>
      </c>
      <c r="B19" t="s">
        <v>29</v>
      </c>
      <c r="C19">
        <v>18234742</v>
      </c>
      <c r="D19" s="5">
        <f t="shared" si="0"/>
        <v>91173.709999999992</v>
      </c>
      <c r="E19" s="2">
        <f>VLOOKUP(A19,'16.09.2021'!A$3:'16.09.2021'!I$202,5,)</f>
        <v>44460</v>
      </c>
      <c r="F19" s="2">
        <v>44448</v>
      </c>
      <c r="G19" s="23">
        <f>VLOOKUP(A19,'16.09.2021'!A$3:'16.09.2021'!I$202,7,)</f>
        <v>0.13958333333333334</v>
      </c>
      <c r="H19" t="str">
        <f>VLOOKUP(A19,'16.09.2021'!A$3:'16.09.2021'!I$202,8,)</f>
        <v>POP</v>
      </c>
      <c r="I19" t="str">
        <f>VLOOKUP(A19,'16.09.2021'!A$3:'16.09.2021'!I$202,9,)</f>
        <v>SUA</v>
      </c>
      <c r="J19" t="str">
        <f t="shared" si="1"/>
        <v>Nu</v>
      </c>
    </row>
    <row r="20" spans="1:10" x14ac:dyDescent="0.2">
      <c r="A20" t="s">
        <v>26</v>
      </c>
      <c r="B20" t="s">
        <v>27</v>
      </c>
      <c r="C20">
        <v>17171664</v>
      </c>
      <c r="D20" s="5">
        <f t="shared" si="0"/>
        <v>85858.32</v>
      </c>
      <c r="E20" s="2">
        <f>VLOOKUP(A20,'2.09.2021'!A$3:'2.09.2021'!I$202,5,)</f>
        <v>44421</v>
      </c>
      <c r="F20" s="2">
        <v>44448</v>
      </c>
      <c r="G20" s="23">
        <f>VLOOKUP(A20,'2.09.2021'!A$3:'2.09.2021'!I$202,7,)</f>
        <v>0.14027777777777778</v>
      </c>
      <c r="H20" t="str">
        <f>VLOOKUP(A20,'2.09.2021'!A$3:'2.09.2021'!I$202,8,)</f>
        <v>POP</v>
      </c>
      <c r="I20" t="str">
        <f>VLOOKUP(A20,'2.09.2021'!A$3:'2.09.2021'!I$202,9,)</f>
        <v>Marea Britanie</v>
      </c>
      <c r="J20" t="str">
        <f t="shared" si="1"/>
        <v>Nu</v>
      </c>
    </row>
    <row r="21" spans="1:10" x14ac:dyDescent="0.2">
      <c r="A21" t="s">
        <v>31</v>
      </c>
      <c r="B21" t="s">
        <v>32</v>
      </c>
      <c r="C21">
        <v>16613967</v>
      </c>
      <c r="D21" s="5">
        <f t="shared" si="0"/>
        <v>83069.835000000006</v>
      </c>
      <c r="E21" s="2">
        <f>VLOOKUP(A21,'2.09.2021'!A$3:'2.09.2021'!I$202,5,)</f>
        <v>44351</v>
      </c>
      <c r="F21" s="2">
        <v>44448</v>
      </c>
      <c r="G21" s="23">
        <f>VLOOKUP(A21,'2.09.2021'!A$3:'2.09.2021'!I$202,7,)</f>
        <v>0.14305555555555557</v>
      </c>
      <c r="H21" t="str">
        <f>VLOOKUP(A21,'2.09.2021'!A$3:'2.09.2021'!I$202,8,)</f>
        <v>LATIN URBAN</v>
      </c>
      <c r="I21" t="str">
        <f>VLOOKUP(A21,'2.09.2021'!A$3:'2.09.2021'!I$202,9,)</f>
        <v>Puerto Rico</v>
      </c>
      <c r="J21" t="str">
        <f t="shared" si="1"/>
        <v>Nu</v>
      </c>
    </row>
    <row r="22" spans="1:10" x14ac:dyDescent="0.2">
      <c r="A22" t="s">
        <v>33</v>
      </c>
      <c r="B22" t="s">
        <v>34</v>
      </c>
      <c r="C22">
        <v>16491457</v>
      </c>
      <c r="D22" s="5">
        <f t="shared" si="0"/>
        <v>82457.284999999989</v>
      </c>
      <c r="E22" s="2">
        <f>VLOOKUP(A22,'2.09.2021'!A$3:'2.09.2021'!I$202,5,)</f>
        <v>44338</v>
      </c>
      <c r="F22" s="2">
        <v>44448</v>
      </c>
      <c r="G22" s="23">
        <f>VLOOKUP(A22,'2.09.2021'!A$3:'2.09.2021'!I$202,7,)</f>
        <v>0.13819444444444443</v>
      </c>
      <c r="H22" t="str">
        <f>VLOOKUP(A22,'2.09.2021'!A$3:'2.09.2021'!I$202,8,)</f>
        <v>LATIN URBAN</v>
      </c>
      <c r="I22" t="str">
        <f>VLOOKUP(A22,'2.09.2021'!A$3:'2.09.2021'!I$202,9,)</f>
        <v>Puerto Rico</v>
      </c>
      <c r="J22" t="str">
        <f t="shared" si="1"/>
        <v>Nu</v>
      </c>
    </row>
    <row r="23" spans="1:10" x14ac:dyDescent="0.2">
      <c r="A23" t="s">
        <v>50</v>
      </c>
      <c r="B23" t="s">
        <v>20</v>
      </c>
      <c r="C23">
        <v>15925804</v>
      </c>
      <c r="D23" s="5">
        <f t="shared" si="0"/>
        <v>79629.02</v>
      </c>
      <c r="E23" s="2">
        <f>VLOOKUP(A23,'16.09.2021'!A$3:'16.09.2021'!I$202,5,)</f>
        <v>44460</v>
      </c>
      <c r="F23" s="2">
        <v>44448</v>
      </c>
      <c r="G23" s="23">
        <f>VLOOKUP(A23,'16.09.2021'!A$3:'16.09.2021'!I$202,7,)</f>
        <v>8.5416666666666655E-2</v>
      </c>
      <c r="H23" t="str">
        <f>VLOOKUP(A23,'16.09.2021'!A$3:'16.09.2021'!I$202,8,)</f>
        <v>hIP-HOP/RAP</v>
      </c>
      <c r="I23" t="str">
        <f>VLOOKUP(A23,'16.09.2021'!A$3:'16.09.2021'!I$202,9,)</f>
        <v>Canada</v>
      </c>
      <c r="J23" t="str">
        <f t="shared" si="1"/>
        <v>Da</v>
      </c>
    </row>
    <row r="24" spans="1:10" x14ac:dyDescent="0.2">
      <c r="A24" t="s">
        <v>35</v>
      </c>
      <c r="B24" t="s">
        <v>20</v>
      </c>
      <c r="C24">
        <v>15905936</v>
      </c>
      <c r="D24" s="5">
        <f t="shared" si="0"/>
        <v>79529.679999999993</v>
      </c>
      <c r="E24" s="2">
        <f>VLOOKUP(A24,'16.09.2021'!A$3:'16.09.2021'!I$202,5,)</f>
        <v>44460</v>
      </c>
      <c r="F24" s="2">
        <v>44448</v>
      </c>
      <c r="G24" s="23">
        <f>VLOOKUP(A24,'16.09.2021'!A$3:'16.09.2021'!I$202,7,)</f>
        <v>0.1673611111111111</v>
      </c>
      <c r="H24" t="str">
        <f>VLOOKUP(A24,'16.09.2021'!A$3:'16.09.2021'!I$202,8,)</f>
        <v>HIP-HOP/RAP</v>
      </c>
      <c r="I24" t="str">
        <f>VLOOKUP(A24,'16.09.2021'!A$3:'16.09.2021'!I$202,9,)</f>
        <v>Canada</v>
      </c>
      <c r="J24" t="str">
        <f t="shared" si="1"/>
        <v>Da</v>
      </c>
    </row>
    <row r="25" spans="1:10" x14ac:dyDescent="0.2">
      <c r="A25" t="s">
        <v>414</v>
      </c>
      <c r="B25" t="s">
        <v>36</v>
      </c>
      <c r="C25">
        <v>15694072</v>
      </c>
      <c r="D25" s="5">
        <f t="shared" si="0"/>
        <v>78470.36</v>
      </c>
      <c r="E25" s="2">
        <f>VLOOKUP(A25,'16.09.2021'!A$3:'16.09.2021'!I$202,5,)</f>
        <v>44411</v>
      </c>
      <c r="F25" s="2">
        <v>44448</v>
      </c>
      <c r="G25" s="23">
        <f>VLOOKUP(A25,'16.09.2021'!A$3:'16.09.2021'!I$202,7,)</f>
        <v>0.15972222222222224</v>
      </c>
      <c r="H25" t="str">
        <f>VLOOKUP(A25,'16.09.2021'!A$3:'16.09.2021'!I$202,8,)</f>
        <v>LATIN URBAN</v>
      </c>
      <c r="I25" t="str">
        <f>VLOOKUP(A25,'16.09.2021'!A$3:'16.09.2021'!I$202,9,)</f>
        <v>Republica Dominicană</v>
      </c>
      <c r="J25" t="str">
        <f t="shared" si="1"/>
        <v>Nu</v>
      </c>
    </row>
    <row r="26" spans="1:10" x14ac:dyDescent="0.2">
      <c r="A26" t="s">
        <v>39</v>
      </c>
      <c r="B26" t="s">
        <v>40</v>
      </c>
      <c r="C26">
        <v>15577524</v>
      </c>
      <c r="D26" s="5">
        <f t="shared" si="0"/>
        <v>77887.62</v>
      </c>
      <c r="E26" s="2">
        <f>VLOOKUP(A26,'16.09.2021'!A$3:'16.09.2021'!I$202,5,)</f>
        <v>44257</v>
      </c>
      <c r="F26" s="2">
        <v>44448</v>
      </c>
      <c r="G26" s="23">
        <f>VLOOKUP(A26,'16.09.2021'!A$3:'16.09.2021'!I$202,7,)</f>
        <v>0.1388888888888889</v>
      </c>
      <c r="H26" t="str">
        <f>VLOOKUP(A26,'16.09.2021'!A$3:'16.09.2021'!I$202,8,)</f>
        <v>HIP-HOP/RAP</v>
      </c>
      <c r="I26" t="str">
        <f>VLOOKUP(A26,'16.09.2021'!A$3:'16.09.2021'!I$202,9,)</f>
        <v>Tailanda</v>
      </c>
      <c r="J26" t="str">
        <f t="shared" si="1"/>
        <v>Nu</v>
      </c>
    </row>
    <row r="27" spans="1:10" x14ac:dyDescent="0.2">
      <c r="A27" t="s">
        <v>51</v>
      </c>
      <c r="B27" t="s">
        <v>52</v>
      </c>
      <c r="C27">
        <v>15167133</v>
      </c>
      <c r="D27" s="5">
        <f t="shared" si="0"/>
        <v>75835.664999999994</v>
      </c>
      <c r="E27" s="2">
        <f>VLOOKUP(A27,'2.09.2021'!A$3:'2.09.2021'!I$202,5,)</f>
        <v>44416</v>
      </c>
      <c r="F27" s="2">
        <v>44448</v>
      </c>
      <c r="G27" s="23">
        <f>VLOOKUP(A27,'2.09.2021'!A$3:'2.09.2021'!I$202,7,)</f>
        <v>0.16874999999999998</v>
      </c>
      <c r="H27" t="str">
        <f>VLOOKUP(A27,'2.09.2021'!A$3:'2.09.2021'!I$202,8,)</f>
        <v>HIP-HOP/RAP</v>
      </c>
      <c r="I27" t="str">
        <f>VLOOKUP(A27,'2.09.2021'!A$3:'2.09.2021'!I$202,9,)</f>
        <v>SUA</v>
      </c>
      <c r="J27" t="str">
        <f t="shared" si="1"/>
        <v>Nu</v>
      </c>
    </row>
    <row r="28" spans="1:10" x14ac:dyDescent="0.2">
      <c r="A28" t="s">
        <v>37</v>
      </c>
      <c r="B28" t="s">
        <v>17</v>
      </c>
      <c r="C28">
        <v>15165886</v>
      </c>
      <c r="D28" s="5">
        <f t="shared" si="0"/>
        <v>75829.430000000008</v>
      </c>
      <c r="E28" s="2">
        <f>VLOOKUP(A28,'2.09.2021'!A$3:'2.09.2021'!I$202,5,)</f>
        <v>44337</v>
      </c>
      <c r="F28" s="2">
        <v>44448</v>
      </c>
      <c r="G28" s="23">
        <f>VLOOKUP(A28,'2.09.2021'!A$3:'2.09.2021'!I$202,7,)</f>
        <v>0.15902777777777777</v>
      </c>
      <c r="H28" t="str">
        <f>VLOOKUP(A28,'2.09.2021'!A$3:'2.09.2021'!I$202,8,)</f>
        <v>POP</v>
      </c>
      <c r="I28" t="str">
        <f>VLOOKUP(A28,'2.09.2021'!A$3:'2.09.2021'!I$202,9,)</f>
        <v>SUA</v>
      </c>
      <c r="J28" t="str">
        <f t="shared" si="1"/>
        <v>Nu</v>
      </c>
    </row>
    <row r="29" spans="1:10" x14ac:dyDescent="0.2">
      <c r="A29" t="s">
        <v>439</v>
      </c>
      <c r="B29" t="s">
        <v>38</v>
      </c>
      <c r="C29">
        <v>15154174</v>
      </c>
      <c r="D29" s="5">
        <f t="shared" si="0"/>
        <v>75770.87000000001</v>
      </c>
      <c r="E29" s="2">
        <f>VLOOKUP(A29,'2.09.2021'!A$3:'2.09.2021'!I$202,5,)</f>
        <v>43917</v>
      </c>
      <c r="F29" s="2">
        <v>44448</v>
      </c>
      <c r="G29" s="23">
        <f>VLOOKUP(A29,'2.09.2021'!A$3:'2.09.2021'!I$202,7,)</f>
        <v>0.14097222222222222</v>
      </c>
      <c r="H29" t="str">
        <f>VLOOKUP(A29,'2.09.2021'!A$3:'2.09.2021'!I$202,8,)</f>
        <v>POP</v>
      </c>
      <c r="I29" t="str">
        <f>VLOOKUP(A29,'2.09.2021'!A$3:'2.09.2021'!I$202,9,)</f>
        <v>Marea Britanie</v>
      </c>
      <c r="J29" t="str">
        <f t="shared" si="1"/>
        <v>Da</v>
      </c>
    </row>
    <row r="30" spans="1:10" x14ac:dyDescent="0.2">
      <c r="A30" t="s">
        <v>41</v>
      </c>
      <c r="B30" t="s">
        <v>42</v>
      </c>
      <c r="C30">
        <v>14735208</v>
      </c>
      <c r="D30" s="5">
        <f t="shared" si="0"/>
        <v>73676.040000000008</v>
      </c>
      <c r="E30" s="2">
        <f>VLOOKUP(A30,'2.09.2021'!A$3:'2.09.2021'!I$202,5,)</f>
        <v>44379</v>
      </c>
      <c r="F30" s="2">
        <v>44448</v>
      </c>
      <c r="G30" s="23">
        <f>VLOOKUP(A30,'2.09.2021'!A$3:'2.09.2021'!I$202,7,)</f>
        <v>9.0277777777777776E-2</v>
      </c>
      <c r="H30" t="str">
        <f>VLOOKUP(A30,'2.09.2021'!A$3:'2.09.2021'!I$202,8,)</f>
        <v>LATIN URBAN</v>
      </c>
      <c r="I30" t="str">
        <f>VLOOKUP(A30,'2.09.2021'!A$3:'2.09.2021'!I$202,9,)</f>
        <v>Columbia</v>
      </c>
      <c r="J30" t="str">
        <f>IF(ISNUMBER(SEARCH("with",A30)),"Da","Nu")</f>
        <v>Nu</v>
      </c>
    </row>
    <row r="31" spans="1:10" x14ac:dyDescent="0.2">
      <c r="A31" t="s">
        <v>61</v>
      </c>
      <c r="B31" t="s">
        <v>62</v>
      </c>
      <c r="C31">
        <v>14592123</v>
      </c>
      <c r="D31" s="5">
        <f t="shared" si="0"/>
        <v>72960.614999999991</v>
      </c>
      <c r="E31" s="2">
        <f>VLOOKUP(A31,'30.09.2021'!A$3:'30.09.2021'!I$202,5,)</f>
        <v>44370</v>
      </c>
      <c r="F31" s="2">
        <v>44448</v>
      </c>
      <c r="G31" s="23">
        <f>VLOOKUP(A31,'30.09.2021'!A$3:'30.09.2021'!I$202,7,)</f>
        <v>0.11527777777777777</v>
      </c>
      <c r="H31" t="str">
        <f>VLOOKUP(A31,'30.09.2021'!A$3:'30.09.2021'!I$202,8,)</f>
        <v>POP</v>
      </c>
      <c r="I31" t="str">
        <f>VLOOKUP(A31,'30.09.2021'!A$3:'30.09.2021'!I$202,9,)</f>
        <v>SUA</v>
      </c>
      <c r="J31" t="str">
        <f t="shared" si="1"/>
        <v>Nu</v>
      </c>
    </row>
    <row r="32" spans="1:10" x14ac:dyDescent="0.2">
      <c r="A32" t="s">
        <v>440</v>
      </c>
      <c r="B32" t="s">
        <v>43</v>
      </c>
      <c r="C32">
        <v>14173474</v>
      </c>
      <c r="D32" s="5">
        <f t="shared" si="0"/>
        <v>70867.37</v>
      </c>
      <c r="E32" s="2">
        <f>VLOOKUP(A32,'2.09.2021'!A$3:'2.09.2021'!I$202,5,)</f>
        <v>44274</v>
      </c>
      <c r="F32" s="2">
        <v>44448</v>
      </c>
      <c r="G32" s="23">
        <f>VLOOKUP(A32,'2.09.2021'!A$3:'2.09.2021'!I$202,7,)</f>
        <v>0.13749999999999998</v>
      </c>
      <c r="H32" t="str">
        <f>VLOOKUP(A32,'2.09.2021'!A$3:'2.09.2021'!I$202,8,)</f>
        <v>POP</v>
      </c>
      <c r="I32" t="str">
        <f>VLOOKUP(A32,'2.09.2021'!A$3:'2.09.2021'!I$202,9,)</f>
        <v>Canada</v>
      </c>
      <c r="J32" t="str">
        <f t="shared" si="1"/>
        <v>Da</v>
      </c>
    </row>
    <row r="33" spans="1:10" x14ac:dyDescent="0.2">
      <c r="A33" t="s">
        <v>45</v>
      </c>
      <c r="B33" t="s">
        <v>46</v>
      </c>
      <c r="C33">
        <v>13898588</v>
      </c>
      <c r="D33" s="5">
        <f t="shared" si="0"/>
        <v>69492.94</v>
      </c>
      <c r="E33" s="2">
        <f>VLOOKUP(A33,'2.09.2021'!A$3:'2.09.2021'!I$202,5,)</f>
        <v>44414</v>
      </c>
      <c r="F33" s="2">
        <v>44448</v>
      </c>
      <c r="G33" s="23">
        <f>VLOOKUP(A33,'2.09.2021'!A$3:'2.09.2021'!I$202,7,)</f>
        <v>0.15277777777777776</v>
      </c>
      <c r="H33" t="str">
        <f>VLOOKUP(A33,'2.09.2021'!A$3:'2.09.2021'!I$202,8,)</f>
        <v>R&amp;B/SOUL</v>
      </c>
      <c r="I33" t="str">
        <f>VLOOKUP(A33,'2.09.2021'!A$3:'2.09.2021'!I$202,9,)</f>
        <v>Canada</v>
      </c>
      <c r="J33" t="str">
        <f t="shared" si="1"/>
        <v>Nu</v>
      </c>
    </row>
    <row r="34" spans="1:10" x14ac:dyDescent="0.2">
      <c r="A34" t="s">
        <v>24</v>
      </c>
      <c r="B34" t="s">
        <v>25</v>
      </c>
      <c r="C34">
        <v>13833060</v>
      </c>
      <c r="D34" s="5">
        <f t="shared" si="0"/>
        <v>69165.3</v>
      </c>
      <c r="E34" s="2">
        <f>VLOOKUP(A34,'30.09.2021'!A$3:'30.09.2021'!I$202,5,)</f>
        <v>44337</v>
      </c>
      <c r="F34" s="2">
        <v>44448</v>
      </c>
      <c r="G34" s="23">
        <f>VLOOKUP(A34,'30.09.2021'!A$3:'30.09.2021'!I$202,7,)</f>
        <v>0.1013888888888889</v>
      </c>
      <c r="H34" t="str">
        <f>VLOOKUP(A34,'30.09.2021'!A$3:'30.09.2021'!I$202,8,)</f>
        <v>AFROBEATS</v>
      </c>
      <c r="I34" t="str">
        <f>VLOOKUP(A34,'30.09.2021'!A$3:'30.09.2021'!I$202,9,)</f>
        <v>Africa</v>
      </c>
      <c r="J34" t="str">
        <f t="shared" si="1"/>
        <v>Nu</v>
      </c>
    </row>
    <row r="35" spans="1:10" x14ac:dyDescent="0.2">
      <c r="A35" t="s">
        <v>417</v>
      </c>
      <c r="B35" t="s">
        <v>42</v>
      </c>
      <c r="C35">
        <v>13614671</v>
      </c>
      <c r="D35" s="5">
        <f t="shared" ref="D35:D66" si="2">(C35/1000*5)</f>
        <v>68073.354999999996</v>
      </c>
      <c r="E35" s="2">
        <f>VLOOKUP(A35,'2.09.2021'!A$3:'2.09.2021'!I$202,5,)</f>
        <v>44344</v>
      </c>
      <c r="F35" s="2">
        <v>44448</v>
      </c>
      <c r="G35" s="23">
        <f>VLOOKUP(A35,'2.09.2021'!A$3:'2.09.2021'!I$202,7,)</f>
        <v>0.15069444444444444</v>
      </c>
      <c r="H35" t="str">
        <f>VLOOKUP(A35,'2.09.2021'!A$3:'2.09.2021'!I$202,8,)</f>
        <v>LATIN URBAN</v>
      </c>
      <c r="I35" t="str">
        <f>VLOOKUP(A35,'2.09.2021'!A$3:'2.09.2021'!I$202,9,)</f>
        <v>Columbia</v>
      </c>
      <c r="J35" t="str">
        <f t="shared" si="1"/>
        <v>Nu</v>
      </c>
    </row>
    <row r="36" spans="1:10" x14ac:dyDescent="0.2">
      <c r="A36" t="s">
        <v>47</v>
      </c>
      <c r="B36" t="s">
        <v>48</v>
      </c>
      <c r="C36">
        <v>13473188</v>
      </c>
      <c r="D36" s="5">
        <f t="shared" si="2"/>
        <v>67365.94</v>
      </c>
      <c r="E36" s="2">
        <f>VLOOKUP(A36,'30.09.2021'!A$3:'30.09.2021'!I$202,5,)</f>
        <v>44347</v>
      </c>
      <c r="F36" s="2">
        <v>44448</v>
      </c>
      <c r="G36" s="23">
        <f>VLOOKUP(A36,'30.09.2021'!A$3:'30.09.2021'!I$202,7,)</f>
        <v>0.15625</v>
      </c>
      <c r="H36" t="str">
        <f>VLOOKUP(A36,'30.09.2021'!A$3:'30.09.2021'!I$202,8,)</f>
        <v>POP</v>
      </c>
      <c r="I36" t="str">
        <f>VLOOKUP(A36,'30.09.2021'!A$3:'30.09.2021'!I$202,9,)</f>
        <v>SUA</v>
      </c>
      <c r="J36" t="str">
        <f t="shared" si="1"/>
        <v>Nu</v>
      </c>
    </row>
    <row r="37" spans="1:10" x14ac:dyDescent="0.2">
      <c r="A37" t="s">
        <v>53</v>
      </c>
      <c r="B37" t="s">
        <v>415</v>
      </c>
      <c r="C37">
        <v>13194771</v>
      </c>
      <c r="D37" s="5">
        <f t="shared" si="2"/>
        <v>65973.85500000001</v>
      </c>
      <c r="E37" s="2">
        <f>VLOOKUP(A37,'2.09.2021'!A$3:'2.09.2021'!I$202,5,)</f>
        <v>44274</v>
      </c>
      <c r="F37" s="2">
        <v>44448</v>
      </c>
      <c r="G37" s="23">
        <f>VLOOKUP(A37,'2.09.2021'!A$3:'2.09.2021'!I$202,7,)</f>
        <v>0.12013888888888889</v>
      </c>
      <c r="H37" t="str">
        <f>VLOOKUP(A37,'2.09.2021'!A$3:'2.09.2021'!I$202,8,)</f>
        <v>ROCK</v>
      </c>
      <c r="I37" t="str">
        <f>VLOOKUP(A37,'2.09.2021'!A$3:'2.09.2021'!I$202,9,)</f>
        <v>Italia</v>
      </c>
      <c r="J37" t="str">
        <f t="shared" si="1"/>
        <v>Nu</v>
      </c>
    </row>
    <row r="38" spans="1:10" x14ac:dyDescent="0.2">
      <c r="A38" t="s">
        <v>49</v>
      </c>
      <c r="B38" t="s">
        <v>46</v>
      </c>
      <c r="C38">
        <v>13014956</v>
      </c>
      <c r="D38" s="5">
        <f t="shared" si="2"/>
        <v>65074.78</v>
      </c>
      <c r="E38" s="2">
        <f>VLOOKUP(A38,'2.09.2021'!A$3:'2.09.2021'!I$202,5,)</f>
        <v>43798</v>
      </c>
      <c r="F38" s="2">
        <v>44448</v>
      </c>
      <c r="G38" s="23">
        <f>VLOOKUP(A38,'2.09.2021'!A$3:'2.09.2021'!I$202,7,)</f>
        <v>0.13958333333333334</v>
      </c>
      <c r="H38" t="str">
        <f>VLOOKUP(A38,'2.09.2021'!A$3:'2.09.2021'!I$202,8,)</f>
        <v>R&amp;B/SOUL</v>
      </c>
      <c r="I38" t="str">
        <f>VLOOKUP(A38,'2.09.2021'!A$3:'2.09.2021'!I$202,9,)</f>
        <v>Canada</v>
      </c>
      <c r="J38" t="str">
        <f t="shared" si="1"/>
        <v>Nu</v>
      </c>
    </row>
    <row r="39" spans="1:10" x14ac:dyDescent="0.2">
      <c r="A39" t="s">
        <v>56</v>
      </c>
      <c r="B39" t="s">
        <v>46</v>
      </c>
      <c r="C39">
        <v>12579776</v>
      </c>
      <c r="D39" s="5">
        <f t="shared" si="2"/>
        <v>62898.879999999997</v>
      </c>
      <c r="E39" s="2">
        <f>VLOOKUP(A39,'2.09.2021'!A$3:'2.09.2021'!I$202,5,)</f>
        <v>43910</v>
      </c>
      <c r="F39" s="2">
        <v>44448</v>
      </c>
      <c r="G39" s="23">
        <f>VLOOKUP(A39,'2.09.2021'!A$3:'2.09.2021'!I$202,7,)</f>
        <v>0.14930555555555555</v>
      </c>
      <c r="H39" t="str">
        <f>VLOOKUP(A39,'2.09.2021'!A$3:'2.09.2021'!I$202,8,)</f>
        <v>R&amp;B/SOUL</v>
      </c>
      <c r="I39" t="str">
        <f>VLOOKUP(A39,'2.09.2021'!A$3:'2.09.2021'!I$202,9,)</f>
        <v>Canada</v>
      </c>
      <c r="J39" t="str">
        <f t="shared" si="1"/>
        <v>Da</v>
      </c>
    </row>
    <row r="40" spans="1:10" x14ac:dyDescent="0.2">
      <c r="A40" t="s">
        <v>447</v>
      </c>
      <c r="B40" t="s">
        <v>2</v>
      </c>
      <c r="C40">
        <v>12520878</v>
      </c>
      <c r="D40" s="5">
        <f t="shared" si="2"/>
        <v>62604.39</v>
      </c>
      <c r="E40" s="2">
        <f>VLOOKUP(A40,'30.09.2021'!A$3:'30.09.2021'!I$202,5,)</f>
        <v>44476</v>
      </c>
      <c r="F40" s="2">
        <v>44448</v>
      </c>
      <c r="G40" s="23">
        <f>VLOOKUP(A40,'30.09.2021'!A$3:'30.09.2021'!I$202,7,)</f>
        <v>0.22430555555555556</v>
      </c>
      <c r="H40" t="str">
        <f>VLOOKUP(A40,'30.09.2021'!A$3:'30.09.2021'!I$202,8,)</f>
        <v>HIP-HOP/RAP</v>
      </c>
      <c r="I40" t="str">
        <f>VLOOKUP(A40,'30.09.2021'!A$3:'30.09.2021'!I$202,9,)</f>
        <v>SUA</v>
      </c>
      <c r="J40" t="str">
        <f t="shared" si="1"/>
        <v>Da</v>
      </c>
    </row>
    <row r="41" spans="1:10" x14ac:dyDescent="0.2">
      <c r="A41">
        <v>2055</v>
      </c>
      <c r="B41" t="s">
        <v>60</v>
      </c>
      <c r="C41">
        <v>12485782</v>
      </c>
      <c r="D41" s="5">
        <f t="shared" si="2"/>
        <v>62428.909999999996</v>
      </c>
      <c r="E41" s="2">
        <f>VLOOKUP(A41,'2.09.2021'!A$3:'2.09.2021'!I$202,5,)</f>
        <v>44300</v>
      </c>
      <c r="F41" s="2">
        <v>44448</v>
      </c>
      <c r="G41" s="23">
        <f>VLOOKUP(A41,'2.09.2021'!A$3:'2.09.2021'!I$202,7,)</f>
        <v>8.5416666666666655E-2</v>
      </c>
      <c r="H41" t="str">
        <f>VLOOKUP(A41,'2.09.2021'!A$3:'2.09.2021'!I$202,8,)</f>
        <v>HIP-HOP/RAP</v>
      </c>
      <c r="I41" t="str">
        <f>VLOOKUP(A41,'2.09.2021'!A$3:'2.09.2021'!I$202,9,)</f>
        <v>Jamaica</v>
      </c>
      <c r="J41" t="str">
        <f t="shared" si="1"/>
        <v>Nu</v>
      </c>
    </row>
    <row r="42" spans="1:10" x14ac:dyDescent="0.2">
      <c r="A42" t="s">
        <v>57</v>
      </c>
      <c r="B42" t="s">
        <v>17</v>
      </c>
      <c r="C42">
        <v>11952143</v>
      </c>
      <c r="D42" s="5">
        <f t="shared" si="2"/>
        <v>59760.714999999997</v>
      </c>
      <c r="E42" s="2">
        <f>VLOOKUP(A42,'2.09.2021'!A$3:'2.09.2021'!I$202,5,)</f>
        <v>44204</v>
      </c>
      <c r="F42" s="2">
        <v>44448</v>
      </c>
      <c r="G42" s="23">
        <f>VLOOKUP(A42,'2.09.2021'!A$3:'2.09.2021'!I$202,7,)</f>
        <v>0.16805555555555554</v>
      </c>
      <c r="H42" t="str">
        <f>VLOOKUP(A42,'2.09.2021'!A$3:'2.09.2021'!I$202,8,)</f>
        <v>POP</v>
      </c>
      <c r="I42" t="str">
        <f>VLOOKUP(A42,'2.09.2021'!A$3:'2.09.2021'!I$202,9,)</f>
        <v>SUA</v>
      </c>
      <c r="J42" t="str">
        <f t="shared" si="1"/>
        <v>Nu</v>
      </c>
    </row>
    <row r="43" spans="1:10" x14ac:dyDescent="0.2">
      <c r="A43" t="s">
        <v>65</v>
      </c>
      <c r="B43" t="s">
        <v>12</v>
      </c>
      <c r="C43">
        <v>11866242</v>
      </c>
      <c r="D43" s="5">
        <f t="shared" si="2"/>
        <v>59331.21</v>
      </c>
      <c r="E43" s="2">
        <f>VLOOKUP(A43,'2.09.2021'!A$3:'2.09.2021'!I$202,5,)</f>
        <v>44372</v>
      </c>
      <c r="F43" s="2">
        <v>44448</v>
      </c>
      <c r="G43" s="23">
        <f>VLOOKUP(A43,'2.09.2021'!A$3:'2.09.2021'!I$202,7,)</f>
        <v>9.5833333333333326E-2</v>
      </c>
      <c r="H43" t="str">
        <f>VLOOKUP(A43,'2.09.2021'!A$3:'2.09.2021'!I$202,8,)</f>
        <v>POP</v>
      </c>
      <c r="I43" t="str">
        <f>VLOOKUP(A43,'2.09.2021'!A$3:'2.09.2021'!I$202,9,)</f>
        <v>SUA</v>
      </c>
      <c r="J43" t="str">
        <f t="shared" si="1"/>
        <v>Nu</v>
      </c>
    </row>
    <row r="44" spans="1:10" x14ac:dyDescent="0.2">
      <c r="A44" t="s">
        <v>58</v>
      </c>
      <c r="B44" t="s">
        <v>59</v>
      </c>
      <c r="C44">
        <v>11353821</v>
      </c>
      <c r="D44" s="5">
        <f t="shared" si="2"/>
        <v>56769.104999999996</v>
      </c>
      <c r="E44" s="2">
        <f>VLOOKUP(A44,'2.09.2021'!A$3:'2.09.2021'!I$202,5,)</f>
        <v>44320</v>
      </c>
      <c r="F44" s="2">
        <v>44448</v>
      </c>
      <c r="G44" s="23">
        <f>VLOOKUP(A44,'2.09.2021'!A$3:'2.09.2021'!I$202,7,)</f>
        <v>0.14097222222222222</v>
      </c>
      <c r="H44" t="str">
        <f>VLOOKUP(A44,'2.09.2021'!A$3:'2.09.2021'!I$202,8,)</f>
        <v>R&amp;B/SOUL</v>
      </c>
      <c r="I44" t="str">
        <f>VLOOKUP(A44,'2.09.2021'!A$3:'2.09.2021'!I$202,9,)</f>
        <v>Olanda</v>
      </c>
      <c r="J44" t="str">
        <f t="shared" si="1"/>
        <v>Nu</v>
      </c>
    </row>
    <row r="45" spans="1:10" x14ac:dyDescent="0.2">
      <c r="A45" t="s">
        <v>427</v>
      </c>
      <c r="B45" t="s">
        <v>34</v>
      </c>
      <c r="C45">
        <v>11285718</v>
      </c>
      <c r="D45" s="5">
        <f t="shared" si="2"/>
        <v>56428.590000000004</v>
      </c>
      <c r="E45" s="2">
        <f>VLOOKUP(A45,'2.09.2021'!A$3:'2.09.2021'!I$202,5,)</f>
        <v>44372</v>
      </c>
      <c r="F45" s="2">
        <v>44448</v>
      </c>
      <c r="G45" s="23">
        <f>VLOOKUP(A45,'2.09.2021'!A$3:'2.09.2021'!I$202,7,)</f>
        <v>0.11388888888888889</v>
      </c>
      <c r="H45" t="str">
        <f>VLOOKUP(A45,'2.09.2021'!A$3:'2.09.2021'!I$202,8,)</f>
        <v>LATIN URBAN</v>
      </c>
      <c r="I45" t="str">
        <f>VLOOKUP(A45,'2.09.2021'!A$3:'2.09.2021'!I$202,9,)</f>
        <v>Puerto Rico</v>
      </c>
      <c r="J45" t="str">
        <f t="shared" si="1"/>
        <v>Nu</v>
      </c>
    </row>
    <row r="46" spans="1:10" x14ac:dyDescent="0.2">
      <c r="A46" t="s">
        <v>63</v>
      </c>
      <c r="B46" t="s">
        <v>64</v>
      </c>
      <c r="C46">
        <v>11265184</v>
      </c>
      <c r="D46" s="5">
        <f t="shared" si="2"/>
        <v>56325.919999999998</v>
      </c>
      <c r="E46" s="2">
        <f>VLOOKUP(A46,'30.09.2021'!A$3:'30.09.2021'!I$202,5,)</f>
        <v>44370</v>
      </c>
      <c r="F46" s="2">
        <v>44448</v>
      </c>
      <c r="G46" s="23">
        <f>VLOOKUP(A46,'30.09.2021'!A$3:'30.09.2021'!I$202,7,)</f>
        <v>9.930555555555555E-2</v>
      </c>
      <c r="H46" t="str">
        <f>VLOOKUP(A46,'30.09.2021'!A$3:'30.09.2021'!I$202,8,)</f>
        <v>LATIN URBAN</v>
      </c>
      <c r="I46" t="str">
        <f>VLOOKUP(A46,'30.09.2021'!A$3:'30.09.2021'!I$202,9,)</f>
        <v>Puerto Rico</v>
      </c>
      <c r="J46" t="str">
        <f t="shared" si="1"/>
        <v>Nu</v>
      </c>
    </row>
    <row r="47" spans="1:10" x14ac:dyDescent="0.2">
      <c r="A47" t="s">
        <v>74</v>
      </c>
      <c r="B47" t="s">
        <v>17</v>
      </c>
      <c r="C47">
        <v>11066776</v>
      </c>
      <c r="D47" s="5">
        <f t="shared" si="2"/>
        <v>55333.88</v>
      </c>
      <c r="E47" s="2">
        <f>VLOOKUP(A47,'2.09.2021'!A$3:'2.09.2021'!I$202,5,)</f>
        <v>44337</v>
      </c>
      <c r="F47" s="2">
        <v>44448</v>
      </c>
      <c r="G47" s="23">
        <f>VLOOKUP(A47,'2.09.2021'!A$3:'2.09.2021'!I$202,7,)</f>
        <v>0.14930555555555555</v>
      </c>
      <c r="H47" t="str">
        <f>VLOOKUP(A47,'2.09.2021'!A$3:'2.09.2021'!I$202,8,)</f>
        <v>POP</v>
      </c>
      <c r="I47" t="str">
        <f>VLOOKUP(A47,'2.09.2021'!A$3:'2.09.2021'!I$202,9,)</f>
        <v>SUA</v>
      </c>
      <c r="J47" t="str">
        <f t="shared" si="1"/>
        <v>Nu</v>
      </c>
    </row>
    <row r="48" spans="1:10" x14ac:dyDescent="0.2">
      <c r="A48" t="s">
        <v>77</v>
      </c>
      <c r="B48" t="s">
        <v>78</v>
      </c>
      <c r="C48">
        <v>11002366</v>
      </c>
      <c r="D48" s="5">
        <f t="shared" si="2"/>
        <v>55011.83</v>
      </c>
      <c r="E48" s="2">
        <f>VLOOKUP(A48,'30.09.2021'!A$3:'30.09.2021'!I$202,5,)</f>
        <v>44435</v>
      </c>
      <c r="F48" s="2">
        <v>44448</v>
      </c>
      <c r="G48" s="23">
        <f>VLOOKUP(A48,'30.09.2021'!A$3:'30.09.2021'!I$202,7,)</f>
        <v>0.13194444444444445</v>
      </c>
      <c r="H48" t="str">
        <f>VLOOKUP(A48,'30.09.2021'!A$3:'30.09.2021'!I$202,8,)</f>
        <v>POP</v>
      </c>
      <c r="I48" t="str">
        <f>VLOOKUP(A48,'30.09.2021'!A$3:'30.09.2021'!I$202,9,)</f>
        <v>Mexic</v>
      </c>
      <c r="J48" t="str">
        <f t="shared" si="1"/>
        <v>Nu</v>
      </c>
    </row>
    <row r="49" spans="1:10" x14ac:dyDescent="0.2">
      <c r="A49" t="s">
        <v>79</v>
      </c>
      <c r="B49" t="s">
        <v>80</v>
      </c>
      <c r="C49">
        <v>10790268</v>
      </c>
      <c r="D49" s="5">
        <f t="shared" si="2"/>
        <v>53951.34</v>
      </c>
      <c r="E49" s="2">
        <f>VLOOKUP(A49,'2.09.2021'!A$3:'2.09.2021'!I$202,5,)</f>
        <v>44435</v>
      </c>
      <c r="F49" s="2">
        <v>44448</v>
      </c>
      <c r="G49" s="23">
        <f>VLOOKUP(A49,'2.09.2021'!A$3:'2.09.2021'!I$202,7,)</f>
        <v>0.17500000000000002</v>
      </c>
      <c r="H49" t="str">
        <f>VLOOKUP(A49,'2.09.2021'!A$3:'2.09.2021'!I$202,8,)</f>
        <v>HIP-HOP/RAP</v>
      </c>
      <c r="I49" t="str">
        <f>VLOOKUP(A49,'2.09.2021'!A$3:'2.09.2021'!I$202,9,)</f>
        <v>SUA</v>
      </c>
      <c r="J49" t="str">
        <f t="shared" si="1"/>
        <v>Da</v>
      </c>
    </row>
    <row r="50" spans="1:10" x14ac:dyDescent="0.2">
      <c r="A50" t="s">
        <v>70</v>
      </c>
      <c r="B50" t="s">
        <v>71</v>
      </c>
      <c r="C50">
        <v>10781878</v>
      </c>
      <c r="D50" s="5">
        <f t="shared" si="2"/>
        <v>53909.39</v>
      </c>
      <c r="E50" s="2">
        <f>VLOOKUP(A50,'2.09.2021'!A$3:'2.09.2021'!I$202,5,)</f>
        <v>44371</v>
      </c>
      <c r="F50" s="2">
        <v>44448</v>
      </c>
      <c r="G50" s="23">
        <f>VLOOKUP(A50,'2.09.2021'!A$3:'2.09.2021'!I$202,7,)</f>
        <v>0.18124999999999999</v>
      </c>
      <c r="H50" t="str">
        <f>VLOOKUP(A50,'2.09.2021'!A$3:'2.09.2021'!I$202,8,)</f>
        <v>LATIN URBAN</v>
      </c>
      <c r="I50" t="str">
        <f>VLOOKUP(A50,'2.09.2021'!A$3:'2.09.2021'!I$202,9,)</f>
        <v>Puerto Rico</v>
      </c>
      <c r="J50" t="str">
        <f>IF(ISNUMBER(SEARCH("with",A50)),"Da","Nu")</f>
        <v>Nu</v>
      </c>
    </row>
    <row r="51" spans="1:10" x14ac:dyDescent="0.2">
      <c r="A51" t="s">
        <v>72</v>
      </c>
      <c r="B51" t="s">
        <v>73</v>
      </c>
      <c r="C51">
        <v>10771882</v>
      </c>
      <c r="D51" s="5">
        <f t="shared" si="2"/>
        <v>53859.409999999996</v>
      </c>
      <c r="E51" s="2">
        <f>VLOOKUP(A51,'2.09.2021'!A$3:'2.09.2021'!I$202,5,)</f>
        <v>44385</v>
      </c>
      <c r="F51" s="2">
        <v>44448</v>
      </c>
      <c r="G51" s="23">
        <f>VLOOKUP(A51,'2.09.2021'!A$3:'2.09.2021'!I$202,7,)</f>
        <v>0.18958333333333333</v>
      </c>
      <c r="H51" t="str">
        <f>VLOOKUP(A51,'2.09.2021'!A$3:'2.09.2021'!I$202,8,)</f>
        <v>LATIN</v>
      </c>
      <c r="I51" t="str">
        <f>VLOOKUP(A51,'2.09.2021'!A$3:'2.09.2021'!I$202,9,)</f>
        <v>Puerto Rico</v>
      </c>
      <c r="J51" t="str">
        <f t="shared" si="1"/>
        <v>Nu</v>
      </c>
    </row>
    <row r="52" spans="1:10" x14ac:dyDescent="0.2">
      <c r="A52" t="s">
        <v>457</v>
      </c>
      <c r="B52" t="s">
        <v>2</v>
      </c>
      <c r="C52">
        <v>10550949</v>
      </c>
      <c r="D52" s="5">
        <f t="shared" si="2"/>
        <v>52754.745000000003</v>
      </c>
      <c r="E52" s="2">
        <v>44328</v>
      </c>
      <c r="F52" s="2">
        <v>44448</v>
      </c>
      <c r="G52" s="23">
        <v>0.14097222222222222</v>
      </c>
      <c r="H52" t="s">
        <v>423</v>
      </c>
      <c r="I52" t="s">
        <v>468</v>
      </c>
      <c r="J52" t="str">
        <f t="shared" si="1"/>
        <v>Da</v>
      </c>
    </row>
    <row r="53" spans="1:10" x14ac:dyDescent="0.2">
      <c r="A53" t="s">
        <v>68</v>
      </c>
      <c r="B53" t="s">
        <v>69</v>
      </c>
      <c r="C53">
        <v>10490056</v>
      </c>
      <c r="D53" s="5">
        <f t="shared" si="2"/>
        <v>52450.28</v>
      </c>
      <c r="E53" s="2">
        <f>VLOOKUP(A53,'2.09.2021'!A$3:'2.09.2021'!I$202,5,)</f>
        <v>44385</v>
      </c>
      <c r="F53" s="2">
        <v>44448</v>
      </c>
      <c r="G53" s="23">
        <f>VLOOKUP(A53,'2.09.2021'!A$3:'2.09.2021'!I$202,7,)</f>
        <v>0.13958333333333334</v>
      </c>
      <c r="H53" t="str">
        <f>VLOOKUP(A53,'2.09.2021'!A$3:'2.09.2021'!I$202,8,)</f>
        <v>LATIN URBAN</v>
      </c>
      <c r="I53" t="str">
        <f>VLOOKUP(A53,'2.09.2021'!A$3:'2.09.2021'!I$202,9,)</f>
        <v>Columbia</v>
      </c>
      <c r="J53" t="str">
        <f t="shared" si="1"/>
        <v>Nu</v>
      </c>
    </row>
    <row r="54" spans="1:10" x14ac:dyDescent="0.2">
      <c r="A54" t="s">
        <v>54</v>
      </c>
      <c r="B54" t="s">
        <v>55</v>
      </c>
      <c r="C54">
        <v>10212971</v>
      </c>
      <c r="D54" s="5">
        <f t="shared" si="2"/>
        <v>51064.854999999996</v>
      </c>
      <c r="E54" s="2">
        <f>VLOOKUP(A54,'2.09.2021'!A$3:'2.09.2021'!I$202,5,)</f>
        <v>44337</v>
      </c>
      <c r="F54" s="2">
        <v>44448</v>
      </c>
      <c r="G54" s="23">
        <f>VLOOKUP(A54,'2.09.2021'!A$3:'2.09.2021'!I$202,7,)</f>
        <v>0.11388888888888889</v>
      </c>
      <c r="H54" t="str">
        <f>VLOOKUP(A54,'2.09.2021'!A$3:'2.09.2021'!I$202,8,)</f>
        <v>K-POP</v>
      </c>
      <c r="I54" t="str">
        <f>VLOOKUP(A54,'2.09.2021'!A$3:'2.09.2021'!I$202,9,)</f>
        <v>Korea de Sud</v>
      </c>
      <c r="J54" t="str">
        <f t="shared" si="1"/>
        <v>Nu</v>
      </c>
    </row>
    <row r="55" spans="1:10" x14ac:dyDescent="0.2">
      <c r="A55" t="s">
        <v>66</v>
      </c>
      <c r="B55" t="s">
        <v>67</v>
      </c>
      <c r="C55">
        <v>9999678</v>
      </c>
      <c r="D55" s="5">
        <f t="shared" si="2"/>
        <v>49998.39</v>
      </c>
      <c r="E55" s="2">
        <f>VLOOKUP(A55,'30.09.2021'!A$3:'30.09.2021'!I$202,5,)</f>
        <v>44366</v>
      </c>
      <c r="F55" s="2">
        <v>44448</v>
      </c>
      <c r="G55" s="23">
        <f>VLOOKUP(A55,'30.09.2021'!A$3:'30.09.2021'!I$202,7,)</f>
        <v>0.24930555555555556</v>
      </c>
      <c r="H55" t="str">
        <f>VLOOKUP(A55,'30.09.2021'!A$3:'30.09.2021'!I$202,8,)</f>
        <v>POP</v>
      </c>
      <c r="I55" t="str">
        <f>VLOOKUP(A55,'30.09.2021'!A$3:'30.09.2021'!I$202,9,)</f>
        <v>Belgia</v>
      </c>
      <c r="J55" t="str">
        <f t="shared" si="1"/>
        <v>Nu</v>
      </c>
    </row>
    <row r="56" spans="1:10" x14ac:dyDescent="0.2">
      <c r="A56" t="s">
        <v>441</v>
      </c>
      <c r="B56" t="s">
        <v>76</v>
      </c>
      <c r="C56">
        <v>9869162</v>
      </c>
      <c r="D56" s="5">
        <f t="shared" si="2"/>
        <v>49345.81</v>
      </c>
      <c r="E56" s="2">
        <f>VLOOKUP(A56,'2.09.2021'!A$3:'2.09.2021'!I$202,5,)</f>
        <v>44370</v>
      </c>
      <c r="F56" s="2">
        <v>44448</v>
      </c>
      <c r="G56" s="23">
        <f>VLOOKUP(A56,'2.09.2021'!A$3:'2.09.2021'!I$202,7,)</f>
        <v>0.18124999999999999</v>
      </c>
      <c r="H56" t="str">
        <f>VLOOKUP(A56,'2.09.2021'!A$3:'2.09.2021'!I$202,8,)</f>
        <v>ROCK</v>
      </c>
      <c r="I56" t="str">
        <f>VLOOKUP(A56,'2.09.2021'!A$3:'2.09.2021'!I$202,9,)</f>
        <v>Marea Britanie</v>
      </c>
      <c r="J56" t="str">
        <f t="shared" si="1"/>
        <v>Da</v>
      </c>
    </row>
    <row r="57" spans="1:10" x14ac:dyDescent="0.2">
      <c r="A57" t="s">
        <v>91</v>
      </c>
      <c r="B57" t="s">
        <v>92</v>
      </c>
      <c r="C57">
        <v>9813362</v>
      </c>
      <c r="D57" s="5">
        <f t="shared" si="2"/>
        <v>49066.81</v>
      </c>
      <c r="E57" s="2">
        <f>VLOOKUP(A57,'2.09.2021'!A$3:'2.09.2021'!I$202,5,)</f>
        <v>44276</v>
      </c>
      <c r="F57" s="2">
        <v>44448</v>
      </c>
      <c r="G57" s="23">
        <f>VLOOKUP(A57,'2.09.2021'!A$3:'2.09.2021'!I$202,7,)</f>
        <v>0.17500000000000002</v>
      </c>
      <c r="H57" t="str">
        <f>VLOOKUP(A57,'2.09.2021'!A$3:'2.09.2021'!I$202,8,)</f>
        <v>POP</v>
      </c>
      <c r="I57" t="str">
        <f>VLOOKUP(A57,'2.09.2021'!A$3:'2.09.2021'!I$202,9,)</f>
        <v>Marea Britanie</v>
      </c>
      <c r="J57" t="str">
        <f t="shared" si="1"/>
        <v>Nu</v>
      </c>
    </row>
    <row r="58" spans="1:10" x14ac:dyDescent="0.2">
      <c r="A58" t="s">
        <v>83</v>
      </c>
      <c r="B58" t="s">
        <v>84</v>
      </c>
      <c r="C58">
        <v>9777591</v>
      </c>
      <c r="D58" s="5">
        <f t="shared" si="2"/>
        <v>48887.955000000002</v>
      </c>
      <c r="E58" s="2">
        <f>VLOOKUP(A58,'2.09.2021'!A$3:'2.09.2021'!I$202,5,)</f>
        <v>43812</v>
      </c>
      <c r="F58" s="2">
        <v>44448</v>
      </c>
      <c r="G58" s="23">
        <f>VLOOKUP(A58,'2.09.2021'!A$3:'2.09.2021'!I$202,7,)</f>
        <v>0.12013888888888889</v>
      </c>
      <c r="H58" t="str">
        <f>VLOOKUP(A58,'2.09.2021'!A$3:'2.09.2021'!I$202,8,)</f>
        <v>POP</v>
      </c>
      <c r="I58" t="str">
        <f>VLOOKUP(A58,'2.09.2021'!A$3:'2.09.2021'!I$202,9,)</f>
        <v>Marea Britanie</v>
      </c>
      <c r="J58" t="str">
        <f t="shared" si="1"/>
        <v>Nu</v>
      </c>
    </row>
    <row r="59" spans="1:10" x14ac:dyDescent="0.2">
      <c r="A59" t="s">
        <v>356</v>
      </c>
      <c r="B59" t="s">
        <v>2</v>
      </c>
      <c r="C59">
        <v>9615847</v>
      </c>
      <c r="D59" s="5">
        <f t="shared" si="2"/>
        <v>48079.235000000001</v>
      </c>
      <c r="E59" s="2">
        <v>44328</v>
      </c>
      <c r="F59" s="2">
        <v>44448</v>
      </c>
      <c r="G59" s="23">
        <v>0.11319444444444444</v>
      </c>
      <c r="H59" t="s">
        <v>423</v>
      </c>
      <c r="I59" t="s">
        <v>468</v>
      </c>
      <c r="J59" t="str">
        <f t="shared" si="1"/>
        <v>Nu</v>
      </c>
    </row>
    <row r="60" spans="1:10" x14ac:dyDescent="0.2">
      <c r="A60" t="s">
        <v>81</v>
      </c>
      <c r="B60" t="s">
        <v>82</v>
      </c>
      <c r="C60">
        <v>9402674</v>
      </c>
      <c r="D60" s="5">
        <f t="shared" si="2"/>
        <v>47013.37</v>
      </c>
      <c r="E60" s="2">
        <f>VLOOKUP(A60,'2.09.2021'!A$3:'2.09.2021'!I$202,5,)</f>
        <v>44400</v>
      </c>
      <c r="F60" s="2">
        <v>44448</v>
      </c>
      <c r="G60" s="23">
        <f>VLOOKUP(A60,'2.09.2021'!A$3:'2.09.2021'!I$202,7,)</f>
        <v>0.11388888888888889</v>
      </c>
      <c r="H60" t="str">
        <f>VLOOKUP(A60,'2.09.2021'!A$3:'2.09.2021'!I$202,8,)</f>
        <v>POP</v>
      </c>
      <c r="I60" t="str">
        <f>VLOOKUP(A60,'2.09.2021'!A$3:'2.09.2021'!I$202,9,)</f>
        <v>Cuba</v>
      </c>
      <c r="J60" t="str">
        <f t="shared" si="1"/>
        <v>Nu</v>
      </c>
    </row>
    <row r="61" spans="1:10" x14ac:dyDescent="0.2">
      <c r="A61" t="s">
        <v>87</v>
      </c>
      <c r="B61" t="s">
        <v>88</v>
      </c>
      <c r="C61">
        <v>9368376</v>
      </c>
      <c r="D61" s="5">
        <f t="shared" si="2"/>
        <v>46841.880000000005</v>
      </c>
      <c r="E61" s="2">
        <f>VLOOKUP(A61,'2.09.2021'!A$3:'2.09.2021'!I$202,5,)</f>
        <v>44260</v>
      </c>
      <c r="F61" s="2">
        <v>44448</v>
      </c>
      <c r="G61" s="23">
        <f>VLOOKUP(A61,'2.09.2021'!A$3:'2.09.2021'!I$202,7,)</f>
        <v>0.16805555555555554</v>
      </c>
      <c r="H61" t="str">
        <f>VLOOKUP(A61,'2.09.2021'!A$3:'2.09.2021'!I$202,8,)</f>
        <v>R&amp;B/SOUL</v>
      </c>
      <c r="I61" t="str">
        <f>VLOOKUP(A61,'2.09.2021'!A$3:'2.09.2021'!I$202,9,)</f>
        <v>Puerto Rico</v>
      </c>
      <c r="J61" t="str">
        <f t="shared" si="1"/>
        <v>Nu</v>
      </c>
    </row>
    <row r="62" spans="1:10" x14ac:dyDescent="0.2">
      <c r="A62" t="s">
        <v>438</v>
      </c>
      <c r="B62" t="s">
        <v>25</v>
      </c>
      <c r="C62">
        <v>9338021</v>
      </c>
      <c r="D62" s="5">
        <f t="shared" si="2"/>
        <v>46690.105000000003</v>
      </c>
      <c r="E62" s="2">
        <f>VLOOKUP(A62,'30.09.2021'!A$3:'30.09.2021'!I$202,5,)</f>
        <v>44437</v>
      </c>
      <c r="F62" s="2">
        <v>44448</v>
      </c>
      <c r="G62" s="23">
        <f>VLOOKUP(A62,'30.09.2021'!A$3:'30.09.2021'!I$202,7,)</f>
        <v>0.18124999999999999</v>
      </c>
      <c r="H62" t="str">
        <f>VLOOKUP(A62,'30.09.2021'!A$3:'30.09.2021'!I$202,8,)</f>
        <v>AFROBEATS</v>
      </c>
      <c r="I62" t="str">
        <f>VLOOKUP(A62,'30.09.2021'!A$3:'30.09.2021'!I$202,9,)</f>
        <v>Africa</v>
      </c>
      <c r="J62" t="str">
        <f t="shared" si="1"/>
        <v>Da</v>
      </c>
    </row>
    <row r="63" spans="1:10" x14ac:dyDescent="0.2">
      <c r="A63" t="s">
        <v>143</v>
      </c>
      <c r="B63" t="s">
        <v>20</v>
      </c>
      <c r="C63">
        <v>9273584</v>
      </c>
      <c r="D63" s="5">
        <f t="shared" si="2"/>
        <v>46367.920000000006</v>
      </c>
      <c r="E63" s="2">
        <f>VLOOKUP(A63,'30.09.2021'!A$3:'30.09.2021'!I$202,5,)</f>
        <v>44476</v>
      </c>
      <c r="F63" s="2">
        <v>44448</v>
      </c>
      <c r="G63" s="23">
        <f>VLOOKUP(A63,'30.09.2021'!A$3:'30.09.2021'!I$202,7,)</f>
        <v>0.35625000000000001</v>
      </c>
      <c r="H63" t="str">
        <f>VLOOKUP(A63,'30.09.2021'!A$3:'30.09.2021'!I$202,8,)</f>
        <v>HIP-HOP/RAP</v>
      </c>
      <c r="I63" t="str">
        <f>VLOOKUP(A63,'30.09.2021'!A$3:'30.09.2021'!I$202,9,)</f>
        <v>Canada</v>
      </c>
      <c r="J63" t="str">
        <f t="shared" si="1"/>
        <v>Nu</v>
      </c>
    </row>
    <row r="64" spans="1:10" x14ac:dyDescent="0.2">
      <c r="A64" t="s">
        <v>93</v>
      </c>
      <c r="B64" t="s">
        <v>94</v>
      </c>
      <c r="C64">
        <v>9230616</v>
      </c>
      <c r="D64" s="5">
        <f t="shared" si="2"/>
        <v>46153.08</v>
      </c>
      <c r="E64" s="2">
        <f>VLOOKUP(A64,'2.09.2021'!A$3:'2.09.2021'!I$202,5,)</f>
        <v>44386</v>
      </c>
      <c r="F64" s="2">
        <v>44448</v>
      </c>
      <c r="G64" s="23">
        <f>VLOOKUP(A64,'2.09.2021'!A$3:'2.09.2021'!I$202,7,)</f>
        <v>0.13333333333333333</v>
      </c>
      <c r="H64" t="str">
        <f>VLOOKUP(A64,'2.09.2021'!A$3:'2.09.2021'!I$202,8,)</f>
        <v>RHYTHM &amp; BLUES</v>
      </c>
      <c r="I64" t="str">
        <f>VLOOKUP(A64,'2.09.2021'!A$3:'2.09.2021'!I$202,9,)</f>
        <v>Argentina</v>
      </c>
      <c r="J64" t="str">
        <f t="shared" si="1"/>
        <v>Nu</v>
      </c>
    </row>
    <row r="65" spans="1:10" x14ac:dyDescent="0.2">
      <c r="A65" t="s">
        <v>85</v>
      </c>
      <c r="B65" t="s">
        <v>86</v>
      </c>
      <c r="C65">
        <v>9201753</v>
      </c>
      <c r="D65" s="5">
        <f t="shared" si="2"/>
        <v>46008.764999999999</v>
      </c>
      <c r="E65" s="2">
        <f>VLOOKUP(A65,'2.09.2021'!A$3:'2.09.2021'!I$202,5,)</f>
        <v>44230</v>
      </c>
      <c r="F65" s="2">
        <v>44448</v>
      </c>
      <c r="G65" s="23">
        <f>VLOOKUP(A65,'2.09.2021'!A$3:'2.09.2021'!I$202,7,)</f>
        <v>9.5833333333333326E-2</v>
      </c>
      <c r="H65" t="str">
        <f>VLOOKUP(A65,'2.09.2021'!A$3:'2.09.2021'!I$202,8,)</f>
        <v>R&amp;B/SOUL</v>
      </c>
      <c r="I65" t="str">
        <f>VLOOKUP(A65,'2.09.2021'!A$3:'2.09.2021'!I$202,9,)</f>
        <v>SUA</v>
      </c>
      <c r="J65" t="str">
        <f t="shared" si="1"/>
        <v>Nu</v>
      </c>
    </row>
    <row r="66" spans="1:10" x14ac:dyDescent="0.2">
      <c r="A66" t="s">
        <v>95</v>
      </c>
      <c r="B66" t="s">
        <v>17</v>
      </c>
      <c r="C66">
        <v>9167057</v>
      </c>
      <c r="D66" s="5">
        <f t="shared" si="2"/>
        <v>45835.285000000003</v>
      </c>
      <c r="E66" s="2">
        <f>VLOOKUP(A66,'2.09.2021'!A$3:'2.09.2021'!I$202,5,)</f>
        <v>44337</v>
      </c>
      <c r="F66" s="2">
        <v>44448</v>
      </c>
      <c r="G66" s="23">
        <f>VLOOKUP(A66,'2.09.2021'!A$3:'2.09.2021'!I$202,7,)</f>
        <v>0.12152777777777778</v>
      </c>
      <c r="H66" t="str">
        <f>VLOOKUP(A66,'2.09.2021'!A$3:'2.09.2021'!I$202,8,)</f>
        <v>POP</v>
      </c>
      <c r="I66" t="str">
        <f>VLOOKUP(A66,'2.09.2021'!A$3:'2.09.2021'!I$202,9,)</f>
        <v>SUA</v>
      </c>
      <c r="J66" t="str">
        <f t="shared" si="1"/>
        <v>Nu</v>
      </c>
    </row>
    <row r="67" spans="1:10" x14ac:dyDescent="0.2">
      <c r="A67" t="s">
        <v>442</v>
      </c>
      <c r="B67" t="s">
        <v>98</v>
      </c>
      <c r="C67">
        <v>9162592</v>
      </c>
      <c r="D67" s="5">
        <f t="shared" ref="D67:D98" si="3">(C67/1000*5)</f>
        <v>45812.960000000006</v>
      </c>
      <c r="E67" s="2">
        <f>VLOOKUP(A67,'2.09.2021'!A$3:'2.09.2021'!I$202,5,)</f>
        <v>44336</v>
      </c>
      <c r="F67" s="2">
        <v>44448</v>
      </c>
      <c r="G67" s="23">
        <f>VLOOKUP(A67,'2.09.2021'!A$3:'2.09.2021'!I$202,7,)</f>
        <v>9.5138888888888884E-2</v>
      </c>
      <c r="H67" t="str">
        <f>VLOOKUP(A67,'2.09.2021'!A$3:'2.09.2021'!I$202,8,)</f>
        <v>HIP-HOP/RAP</v>
      </c>
      <c r="I67" t="str">
        <f>VLOOKUP(A67,'2.09.2021'!A$3:'2.09.2021'!I$202,9,)</f>
        <v>SUA</v>
      </c>
      <c r="J67" t="str">
        <f t="shared" si="1"/>
        <v>Da</v>
      </c>
    </row>
    <row r="68" spans="1:10" x14ac:dyDescent="0.2">
      <c r="A68" t="s">
        <v>96</v>
      </c>
      <c r="B68" t="s">
        <v>97</v>
      </c>
      <c r="C68">
        <v>9066520</v>
      </c>
      <c r="D68" s="5">
        <f t="shared" si="3"/>
        <v>45332.600000000006</v>
      </c>
      <c r="E68" s="2">
        <f>VLOOKUP(A68,'2.09.2021'!A$3:'2.09.2021'!I$202,5,)</f>
        <v>43083</v>
      </c>
      <c r="F68" s="2">
        <v>44448</v>
      </c>
      <c r="G68" s="23">
        <f>VLOOKUP(A68,'2.09.2021'!A$3:'2.09.2021'!I$202,7,)</f>
        <v>0.1673611111111111</v>
      </c>
      <c r="H68" t="str">
        <f>VLOOKUP(A68,'2.09.2021'!A$3:'2.09.2021'!I$202,8,)</f>
        <v>ELECTRONIC</v>
      </c>
      <c r="I68" t="str">
        <f>VLOOKUP(A68,'2.09.2021'!A$3:'2.09.2021'!I$202,9,)</f>
        <v>Australia</v>
      </c>
      <c r="J68" t="str">
        <f t="shared" ref="J68:J131" si="4">IF(ISNUMBER(SEARCH("with",A68)),"Da","Nu")</f>
        <v>Nu</v>
      </c>
    </row>
    <row r="69" spans="1:10" x14ac:dyDescent="0.2">
      <c r="A69" t="s">
        <v>357</v>
      </c>
      <c r="B69" t="s">
        <v>2</v>
      </c>
      <c r="C69">
        <v>9056136</v>
      </c>
      <c r="D69" s="5">
        <f t="shared" si="3"/>
        <v>45280.68</v>
      </c>
      <c r="E69" s="2">
        <v>44328</v>
      </c>
      <c r="F69" s="2">
        <v>44448</v>
      </c>
      <c r="G69" s="23">
        <v>0.14097222222222222</v>
      </c>
      <c r="H69" t="s">
        <v>502</v>
      </c>
      <c r="I69" t="s">
        <v>468</v>
      </c>
      <c r="J69" t="str">
        <f t="shared" si="4"/>
        <v>Nu</v>
      </c>
    </row>
    <row r="70" spans="1:10" x14ac:dyDescent="0.2">
      <c r="A70" t="s">
        <v>430</v>
      </c>
      <c r="B70" t="s">
        <v>32</v>
      </c>
      <c r="C70">
        <v>8997854</v>
      </c>
      <c r="D70" s="5">
        <f t="shared" si="3"/>
        <v>44989.27</v>
      </c>
      <c r="E70" s="2">
        <f>VLOOKUP(A70,'2.09.2021'!A$3:'2.09.2021'!I$202,5,)</f>
        <v>44134</v>
      </c>
      <c r="F70" s="2">
        <v>44448</v>
      </c>
      <c r="G70" s="23">
        <f>VLOOKUP(A70,'2.09.2021'!A$3:'2.09.2021'!I$202,7,)</f>
        <v>0.1423611111111111</v>
      </c>
      <c r="H70" t="str">
        <f>VLOOKUP(A70,'2.09.2021'!A$3:'2.09.2021'!I$202,8,)</f>
        <v>LATIN</v>
      </c>
      <c r="I70" t="str">
        <f>VLOOKUP(A70,'2.09.2021'!A$3:'2.09.2021'!I$202,9,)</f>
        <v>Puerto Rico</v>
      </c>
      <c r="J70" t="str">
        <f t="shared" si="4"/>
        <v>Nu</v>
      </c>
    </row>
    <row r="71" spans="1:10" x14ac:dyDescent="0.2">
      <c r="A71" t="s">
        <v>101</v>
      </c>
      <c r="B71" t="s">
        <v>102</v>
      </c>
      <c r="C71">
        <v>8972367</v>
      </c>
      <c r="D71" s="5">
        <f t="shared" si="3"/>
        <v>44861.834999999999</v>
      </c>
      <c r="E71" s="2">
        <f>VLOOKUP(A71,'2.09.2021'!A$3:'2.09.2021'!I$202,5,)</f>
        <v>44306</v>
      </c>
      <c r="F71" s="2">
        <v>44448</v>
      </c>
      <c r="G71" s="23">
        <f>VLOOKUP(A71,'2.09.2021'!A$3:'2.09.2021'!I$202,7,)</f>
        <v>0.15347222222222223</v>
      </c>
      <c r="H71" t="str">
        <f>VLOOKUP(A71,'2.09.2021'!A$3:'2.09.2021'!I$202,8,)</f>
        <v>DANCE</v>
      </c>
      <c r="I71" t="str">
        <f>VLOOKUP(A71,'2.09.2021'!A$3:'2.09.2021'!I$202,9,)</f>
        <v>SUA</v>
      </c>
      <c r="J71" t="str">
        <f t="shared" si="4"/>
        <v>Nu</v>
      </c>
    </row>
    <row r="72" spans="1:10" x14ac:dyDescent="0.2">
      <c r="A72" t="s">
        <v>100</v>
      </c>
      <c r="B72" t="s">
        <v>42</v>
      </c>
      <c r="C72">
        <v>8922665</v>
      </c>
      <c r="D72" s="5">
        <f t="shared" si="3"/>
        <v>44613.325000000004</v>
      </c>
      <c r="E72" s="2">
        <f>VLOOKUP(A72,'30.09.2021'!A$3:'30.09.2021'!I$202,5,)</f>
        <v>44229</v>
      </c>
      <c r="F72" s="2">
        <v>44448</v>
      </c>
      <c r="G72" s="23">
        <f>VLOOKUP(A72,'30.09.2021'!A$3:'30.09.2021'!I$202,7,)</f>
        <v>0.10555555555555556</v>
      </c>
      <c r="H72" t="str">
        <f>VLOOKUP(A72,'30.09.2021'!A$3:'30.09.2021'!I$202,8,)</f>
        <v>LATIN URBAN</v>
      </c>
      <c r="I72" t="str">
        <f>VLOOKUP(A72,'30.09.2021'!A$3:'30.09.2021'!I$202,9,)</f>
        <v>Columbia</v>
      </c>
      <c r="J72" t="str">
        <f t="shared" si="4"/>
        <v>Nu</v>
      </c>
    </row>
    <row r="73" spans="1:10" x14ac:dyDescent="0.2">
      <c r="A73" t="s">
        <v>358</v>
      </c>
      <c r="B73" t="s">
        <v>2</v>
      </c>
      <c r="C73">
        <v>8726024</v>
      </c>
      <c r="D73" s="5">
        <f t="shared" si="3"/>
        <v>43630.119999999995</v>
      </c>
      <c r="E73" s="2">
        <v>44328</v>
      </c>
      <c r="F73" s="2">
        <v>44448</v>
      </c>
      <c r="G73" s="23">
        <v>0.1673611111111111</v>
      </c>
      <c r="H73" t="s">
        <v>502</v>
      </c>
      <c r="I73" t="s">
        <v>468</v>
      </c>
      <c r="J73" t="str">
        <f t="shared" si="4"/>
        <v>Nu</v>
      </c>
    </row>
    <row r="74" spans="1:10" x14ac:dyDescent="0.2">
      <c r="A74" t="s">
        <v>75</v>
      </c>
      <c r="B74" t="s">
        <v>55</v>
      </c>
      <c r="C74">
        <v>8686128</v>
      </c>
      <c r="D74" s="5">
        <f t="shared" si="3"/>
        <v>43430.64</v>
      </c>
      <c r="E74" s="2">
        <f>VLOOKUP(A74,'2.09.2021'!A$3:'2.09.2021'!I$202,5,)</f>
        <v>44386</v>
      </c>
      <c r="F74" s="2">
        <v>44448</v>
      </c>
      <c r="G74" s="23">
        <f>VLOOKUP(A74,'2.09.2021'!A$3:'2.09.2021'!I$202,7,)</f>
        <v>0.12986111111111112</v>
      </c>
      <c r="H74" t="str">
        <f>VLOOKUP(A74,'2.09.2021'!A$3:'2.09.2021'!I$202,8,)</f>
        <v>K-POP</v>
      </c>
      <c r="I74" t="str">
        <f>VLOOKUP(A74,'2.09.2021'!A$3:'2.09.2021'!I$202,9,)</f>
        <v>Korea de Sud</v>
      </c>
      <c r="J74" t="str">
        <f t="shared" si="4"/>
        <v>Nu</v>
      </c>
    </row>
    <row r="75" spans="1:10" x14ac:dyDescent="0.2">
      <c r="A75" t="s">
        <v>103</v>
      </c>
      <c r="B75" t="s">
        <v>104</v>
      </c>
      <c r="C75">
        <v>8611134</v>
      </c>
      <c r="D75" s="5">
        <f t="shared" si="3"/>
        <v>43055.67</v>
      </c>
      <c r="E75" s="2">
        <f>VLOOKUP(A75,'2.09.2021'!A$3:'2.09.2021'!I$202,5,)</f>
        <v>44229</v>
      </c>
      <c r="F75" s="2">
        <v>44448</v>
      </c>
      <c r="G75" s="23">
        <f>VLOOKUP(A75,'2.09.2021'!A$3:'2.09.2021'!I$202,7,)</f>
        <v>0.14097222222222222</v>
      </c>
      <c r="H75" t="str">
        <f>VLOOKUP(A75,'2.09.2021'!A$3:'2.09.2021'!I$202,8,)</f>
        <v>POP</v>
      </c>
      <c r="I75" t="str">
        <f>VLOOKUP(A75,'2.09.2021'!A$3:'2.09.2021'!I$202,9,)</f>
        <v>SUA</v>
      </c>
      <c r="J75" t="str">
        <f t="shared" si="4"/>
        <v>Nu</v>
      </c>
    </row>
    <row r="76" spans="1:10" x14ac:dyDescent="0.2">
      <c r="A76" t="s">
        <v>112</v>
      </c>
      <c r="B76" t="s">
        <v>113</v>
      </c>
      <c r="C76">
        <v>8459196</v>
      </c>
      <c r="D76" s="5">
        <f t="shared" si="3"/>
        <v>42295.979999999996</v>
      </c>
      <c r="E76" s="2">
        <f>VLOOKUP(A76,'2.09.2021'!A$3:'2.09.2021'!I$202,5,)</f>
        <v>44238</v>
      </c>
      <c r="F76" s="2">
        <v>44448</v>
      </c>
      <c r="G76" s="23">
        <f>VLOOKUP(A76,'2.09.2021'!A$3:'2.09.2021'!I$202,7,)</f>
        <v>0.20625000000000002</v>
      </c>
      <c r="H76" t="str">
        <f>VLOOKUP(A76,'2.09.2021'!A$3:'2.09.2021'!I$202,8,)</f>
        <v>LATIN URBAN</v>
      </c>
      <c r="I76" t="str">
        <f>VLOOKUP(A76,'2.09.2021'!A$3:'2.09.2021'!I$202,9,)</f>
        <v>Columbia</v>
      </c>
      <c r="J76" t="str">
        <f t="shared" si="4"/>
        <v>Nu</v>
      </c>
    </row>
    <row r="77" spans="1:10" x14ac:dyDescent="0.2">
      <c r="A77" t="s">
        <v>105</v>
      </c>
      <c r="B77" t="s">
        <v>106</v>
      </c>
      <c r="C77">
        <v>8388161</v>
      </c>
      <c r="D77" s="5">
        <f t="shared" si="3"/>
        <v>41940.805</v>
      </c>
      <c r="E77" s="2">
        <f>VLOOKUP(A77,'2.09.2021'!A$3:'2.09.2021'!I$202,5,)</f>
        <v>44377</v>
      </c>
      <c r="F77" s="2">
        <v>44448</v>
      </c>
      <c r="G77" s="23">
        <f>VLOOKUP(A77,'2.09.2021'!A$3:'2.09.2021'!I$202,7,)</f>
        <v>0.14444444444444446</v>
      </c>
      <c r="H77" t="str">
        <f>VLOOKUP(A77,'2.09.2021'!A$3:'2.09.2021'!I$202,8,)</f>
        <v>HIP-HOP/RAP</v>
      </c>
      <c r="I77" t="str">
        <f>VLOOKUP(A77,'2.09.2021'!A$3:'2.09.2021'!I$202,9,)</f>
        <v>Scoția</v>
      </c>
      <c r="J77" t="str">
        <f>IF(ISNUMBER(SEARCH("with",A77)),"Da","Nu")</f>
        <v>Nu</v>
      </c>
    </row>
    <row r="78" spans="1:10" x14ac:dyDescent="0.2">
      <c r="A78" t="s">
        <v>107</v>
      </c>
      <c r="B78" t="s">
        <v>108</v>
      </c>
      <c r="C78">
        <v>8387045</v>
      </c>
      <c r="D78" s="5">
        <f t="shared" si="3"/>
        <v>41935.224999999999</v>
      </c>
      <c r="E78" s="2">
        <f>VLOOKUP(A78,'2.09.2021'!A$3:'2.09.2021'!I$202,5,)</f>
        <v>44466</v>
      </c>
      <c r="F78" s="2">
        <v>44448</v>
      </c>
      <c r="G78" s="23">
        <f>VLOOKUP(A78,'2.09.2021'!A$3:'2.09.2021'!I$202,7,)</f>
        <v>0.16805555555555554</v>
      </c>
      <c r="H78" t="str">
        <f>VLOOKUP(A78,'2.09.2021'!A$3:'2.09.2021'!I$202,8,)</f>
        <v>ROCK</v>
      </c>
      <c r="I78" t="str">
        <f>VLOOKUP(A78,'2.09.2021'!A$3:'2.09.2021'!I$202,9,)</f>
        <v>SUA</v>
      </c>
      <c r="J78" t="str">
        <f t="shared" si="4"/>
        <v>Da</v>
      </c>
    </row>
    <row r="79" spans="1:10" x14ac:dyDescent="0.2">
      <c r="A79" t="s">
        <v>114</v>
      </c>
      <c r="B79" t="s">
        <v>115</v>
      </c>
      <c r="C79">
        <v>8365898</v>
      </c>
      <c r="D79" s="5">
        <f t="shared" si="3"/>
        <v>41829.49</v>
      </c>
      <c r="E79" s="2">
        <f>VLOOKUP(A79,'2.09.2021'!A$3:'2.09.2021'!I$202,5,)</f>
        <v>44352</v>
      </c>
      <c r="F79" s="2">
        <v>44448</v>
      </c>
      <c r="G79" s="23">
        <f>VLOOKUP(A79,'2.09.2021'!A$3:'2.09.2021'!I$202,7,)</f>
        <v>0.11388888888888889</v>
      </c>
      <c r="H79" t="str">
        <f>VLOOKUP(A79,'2.09.2021'!A$3:'2.09.2021'!I$202,8,)</f>
        <v>HIP-HOP/RAP</v>
      </c>
      <c r="I79" t="str">
        <f>VLOOKUP(A79,'2.09.2021'!A$3:'2.09.2021'!I$202,9,)</f>
        <v>Norvegia</v>
      </c>
      <c r="J79" t="str">
        <f t="shared" si="4"/>
        <v>Nu</v>
      </c>
    </row>
    <row r="80" spans="1:10" x14ac:dyDescent="0.2">
      <c r="A80" t="s">
        <v>109</v>
      </c>
      <c r="B80" t="s">
        <v>38</v>
      </c>
      <c r="C80">
        <v>8314881</v>
      </c>
      <c r="D80" s="5">
        <f t="shared" si="3"/>
        <v>41574.404999999999</v>
      </c>
      <c r="E80" s="2">
        <f>VLOOKUP(A80,'2.09.2021'!A$3:'2.09.2021'!I$202,5,)</f>
        <v>44248</v>
      </c>
      <c r="F80" s="2">
        <v>44448</v>
      </c>
      <c r="G80" s="23">
        <f>VLOOKUP(A80,'2.09.2021'!A$3:'2.09.2021'!I$202,7,)</f>
        <v>0.1173611111111111</v>
      </c>
      <c r="H80" t="str">
        <f>VLOOKUP(A80,'2.09.2021'!A$3:'2.09.2021'!I$202,8,)</f>
        <v>K-POP</v>
      </c>
      <c r="I80" t="str">
        <f>VLOOKUP(A80,'2.09.2021'!A$3:'2.09.2021'!I$202,9,)</f>
        <v>Marea Britanie</v>
      </c>
      <c r="J80" t="str">
        <f t="shared" si="4"/>
        <v>Nu</v>
      </c>
    </row>
    <row r="81" spans="1:10" x14ac:dyDescent="0.2">
      <c r="A81" t="s">
        <v>99</v>
      </c>
      <c r="B81" t="s">
        <v>55</v>
      </c>
      <c r="C81">
        <v>8302656</v>
      </c>
      <c r="D81" s="5">
        <f t="shared" si="3"/>
        <v>41513.280000000006</v>
      </c>
      <c r="E81" s="2">
        <f>VLOOKUP(A81,'2.09.2021'!A$3:'2.09.2021'!I$202,5,)</f>
        <v>44459</v>
      </c>
      <c r="F81" s="2">
        <v>44448</v>
      </c>
      <c r="G81" s="23">
        <f>VLOOKUP(A81,'2.09.2021'!A$3:'2.09.2021'!I$202,7,)</f>
        <v>9.7916666666666666E-2</v>
      </c>
      <c r="H81" t="str">
        <f>VLOOKUP(A81,'2.09.2021'!A$3:'2.09.2021'!I$202,8,)</f>
        <v>K-POP</v>
      </c>
      <c r="I81" t="str">
        <f>VLOOKUP(A81,'2.09.2021'!A$3:'2.09.2021'!I$202,9,)</f>
        <v>Korea de Sud</v>
      </c>
      <c r="J81" t="str">
        <f t="shared" si="4"/>
        <v>Nu</v>
      </c>
    </row>
    <row r="82" spans="1:10" x14ac:dyDescent="0.2">
      <c r="A82" t="s">
        <v>458</v>
      </c>
      <c r="B82" t="s">
        <v>2</v>
      </c>
      <c r="C82">
        <v>8266667</v>
      </c>
      <c r="D82" s="5">
        <f t="shared" si="3"/>
        <v>41333.334999999999</v>
      </c>
      <c r="E82" s="2">
        <v>44328</v>
      </c>
      <c r="F82" s="2">
        <v>44448</v>
      </c>
      <c r="G82" s="23">
        <v>0.15625</v>
      </c>
      <c r="H82" t="s">
        <v>423</v>
      </c>
      <c r="I82" t="s">
        <v>468</v>
      </c>
      <c r="J82" t="str">
        <f t="shared" si="4"/>
        <v>Da</v>
      </c>
    </row>
    <row r="83" spans="1:10" x14ac:dyDescent="0.2">
      <c r="A83" t="s">
        <v>443</v>
      </c>
      <c r="B83" t="s">
        <v>116</v>
      </c>
      <c r="C83">
        <v>8262943</v>
      </c>
      <c r="D83" s="5">
        <f t="shared" si="3"/>
        <v>41314.714999999997</v>
      </c>
      <c r="E83" s="2">
        <f>VLOOKUP(A83,'2.09.2021'!A$3:'2.09.2021'!I$202,5,)</f>
        <v>44211</v>
      </c>
      <c r="F83" s="2">
        <v>44448</v>
      </c>
      <c r="G83" s="23">
        <f>VLOOKUP(A83,'2.09.2021'!A$3:'2.09.2021'!I$202,7,)</f>
        <v>0.1173611111111111</v>
      </c>
      <c r="H83" t="str">
        <f>VLOOKUP(A83,'2.09.2021'!A$3:'2.09.2021'!I$202,8,)</f>
        <v>DANCE</v>
      </c>
      <c r="I83" t="str">
        <f>VLOOKUP(A83,'2.09.2021'!A$3:'2.09.2021'!I$202,9,)</f>
        <v>Marea Britanie</v>
      </c>
      <c r="J83" t="str">
        <f t="shared" si="4"/>
        <v>Da</v>
      </c>
    </row>
    <row r="84" spans="1:10" x14ac:dyDescent="0.2">
      <c r="A84" t="s">
        <v>431</v>
      </c>
      <c r="B84" t="s">
        <v>111</v>
      </c>
      <c r="C84">
        <v>8239521</v>
      </c>
      <c r="D84" s="5">
        <f t="shared" si="3"/>
        <v>41197.605000000003</v>
      </c>
      <c r="E84" s="2">
        <f>VLOOKUP(A84,'2.09.2021'!A$3:'2.09.2021'!I$202,5,)</f>
        <v>44317</v>
      </c>
      <c r="F84" s="2">
        <v>44448</v>
      </c>
      <c r="G84" s="23">
        <f>VLOOKUP(A84,'2.09.2021'!A$3:'2.09.2021'!I$202,7,)</f>
        <v>0.11458333333333333</v>
      </c>
      <c r="H84" t="str">
        <f>VLOOKUP(A84,'2.09.2021'!A$3:'2.09.2021'!I$202,8,)</f>
        <v>LATIN URBAN</v>
      </c>
      <c r="I84" t="str">
        <f>VLOOKUP(A84,'2.09.2021'!A$3:'2.09.2021'!I$202,9,)</f>
        <v>Argentina</v>
      </c>
      <c r="J84" t="str">
        <f t="shared" si="4"/>
        <v>Nu</v>
      </c>
    </row>
    <row r="85" spans="1:10" x14ac:dyDescent="0.2">
      <c r="A85" t="s">
        <v>145</v>
      </c>
      <c r="B85" t="s">
        <v>52</v>
      </c>
      <c r="C85">
        <v>8228741</v>
      </c>
      <c r="D85" s="5">
        <f t="shared" si="3"/>
        <v>41143.705000000002</v>
      </c>
      <c r="E85" s="2">
        <f>VLOOKUP(A85,'2.09.2021'!A$3:'2.09.2021'!I$202,5,)</f>
        <v>44437</v>
      </c>
      <c r="F85" s="2">
        <v>44448</v>
      </c>
      <c r="G85" s="23">
        <f>VLOOKUP(A85,'2.09.2021'!A$3:'2.09.2021'!I$202,7,)</f>
        <v>0.10833333333333334</v>
      </c>
      <c r="H85" t="str">
        <f>VLOOKUP(A85,'2.09.2021'!A$3:'2.09.2021'!I$202,8,)</f>
        <v>HIP-HOP/RAP</v>
      </c>
      <c r="I85" t="str">
        <f>VLOOKUP(A85,'2.09.2021'!A$3:'2.09.2021'!I$202,9,)</f>
        <v>SUA</v>
      </c>
      <c r="J85" t="str">
        <f t="shared" si="4"/>
        <v>Nu</v>
      </c>
    </row>
    <row r="86" spans="1:10" x14ac:dyDescent="0.2">
      <c r="A86" t="s">
        <v>359</v>
      </c>
      <c r="B86" t="s">
        <v>2</v>
      </c>
      <c r="C86">
        <v>8200216</v>
      </c>
      <c r="D86" s="5">
        <f t="shared" si="3"/>
        <v>41001.08</v>
      </c>
      <c r="E86" s="2">
        <v>44328</v>
      </c>
      <c r="F86" s="2">
        <v>44448</v>
      </c>
      <c r="G86" s="23">
        <v>8.9583333333333334E-2</v>
      </c>
      <c r="H86" t="s">
        <v>423</v>
      </c>
      <c r="I86" t="s">
        <v>468</v>
      </c>
      <c r="J86" t="str">
        <f t="shared" si="4"/>
        <v>Nu</v>
      </c>
    </row>
    <row r="87" spans="1:10" x14ac:dyDescent="0.2">
      <c r="A87" t="s">
        <v>127</v>
      </c>
      <c r="B87" t="s">
        <v>12</v>
      </c>
      <c r="C87">
        <v>8167885</v>
      </c>
      <c r="D87" s="5">
        <f t="shared" si="3"/>
        <v>40839.425000000003</v>
      </c>
      <c r="E87" s="2">
        <f>VLOOKUP(A87,'2.09.2021'!A$3:'2.09.2021'!I$202,5,)</f>
        <v>44372</v>
      </c>
      <c r="F87" s="2">
        <v>44448</v>
      </c>
      <c r="G87" s="23">
        <f>VLOOKUP(A87,'2.09.2021'!A$3:'2.09.2021'!I$202,7,)</f>
        <v>0.12083333333333333</v>
      </c>
      <c r="H87" t="str">
        <f>VLOOKUP(A87,'2.09.2021'!A$3:'2.09.2021'!I$202,8,)</f>
        <v>POP</v>
      </c>
      <c r="I87" t="str">
        <f>VLOOKUP(A87,'2.09.2021'!A$3:'2.09.2021'!I$202,9,)</f>
        <v>SUA</v>
      </c>
      <c r="J87" t="str">
        <f t="shared" si="4"/>
        <v>Nu</v>
      </c>
    </row>
    <row r="88" spans="1:10" x14ac:dyDescent="0.2">
      <c r="A88" t="s">
        <v>119</v>
      </c>
      <c r="B88" t="s">
        <v>120</v>
      </c>
      <c r="C88">
        <v>8097836</v>
      </c>
      <c r="D88" s="5">
        <f t="shared" si="3"/>
        <v>40489.18</v>
      </c>
      <c r="E88" s="2">
        <f>VLOOKUP(A88,'2.09.2021'!A$3:'2.09.2021'!I$202,5,)</f>
        <v>44438</v>
      </c>
      <c r="F88" s="2">
        <v>44448</v>
      </c>
      <c r="G88" s="23">
        <f>VLOOKUP(A88,'2.09.2021'!A$3:'2.09.2021'!I$202,7,)</f>
        <v>0.16874999999999998</v>
      </c>
      <c r="H88" t="str">
        <f>VLOOKUP(A88,'2.09.2021'!A$3:'2.09.2021'!I$202,8,)</f>
        <v>POP</v>
      </c>
      <c r="I88" t="str">
        <f>VLOOKUP(A88,'2.09.2021'!A$3:'2.09.2021'!I$202,9,)</f>
        <v>Australia</v>
      </c>
      <c r="J88" t="str">
        <f t="shared" si="4"/>
        <v>Nu</v>
      </c>
    </row>
    <row r="89" spans="1:10" x14ac:dyDescent="0.2">
      <c r="A89" t="s">
        <v>117</v>
      </c>
      <c r="B89" t="s">
        <v>118</v>
      </c>
      <c r="C89">
        <v>8010126</v>
      </c>
      <c r="D89" s="5">
        <f t="shared" si="3"/>
        <v>40050.630000000005</v>
      </c>
      <c r="E89" s="2">
        <f>VLOOKUP(A89,'2.09.2021'!A$3:'2.09.2021'!I$202,5,)</f>
        <v>44287</v>
      </c>
      <c r="F89" s="2">
        <v>44448</v>
      </c>
      <c r="G89" s="23">
        <f>VLOOKUP(A89,'2.09.2021'!A$3:'2.09.2021'!I$202,7,)</f>
        <v>0.22291666666666665</v>
      </c>
      <c r="H89" t="str">
        <f>VLOOKUP(A89,'2.09.2021'!A$3:'2.09.2021'!I$202,8,)</f>
        <v>LATIN URBAN</v>
      </c>
      <c r="I89" t="str">
        <f>VLOOKUP(A89,'2.09.2021'!A$3:'2.09.2021'!I$202,9,)</f>
        <v>Puerto Rico</v>
      </c>
      <c r="J89" t="str">
        <f t="shared" si="4"/>
        <v>Nu</v>
      </c>
    </row>
    <row r="90" spans="1:10" x14ac:dyDescent="0.2">
      <c r="A90" t="s">
        <v>125</v>
      </c>
      <c r="B90" t="s">
        <v>17</v>
      </c>
      <c r="C90">
        <v>7855715</v>
      </c>
      <c r="D90" s="5">
        <f t="shared" si="3"/>
        <v>39278.574999999997</v>
      </c>
      <c r="E90" s="2">
        <f>VLOOKUP(A90,'2.09.2021'!A$3:'2.09.2021'!I$202,5,)</f>
        <v>44337</v>
      </c>
      <c r="F90" s="2">
        <v>44448</v>
      </c>
      <c r="G90" s="23">
        <f>VLOOKUP(A90,'2.09.2021'!A$3:'2.09.2021'!I$202,7,)</f>
        <v>0.12013888888888889</v>
      </c>
      <c r="H90" t="str">
        <f>VLOOKUP(A90,'2.09.2021'!A$3:'2.09.2021'!I$202,8,)</f>
        <v>POP</v>
      </c>
      <c r="I90" t="str">
        <f>VLOOKUP(A90,'2.09.2021'!A$3:'2.09.2021'!I$202,9,)</f>
        <v>SUA</v>
      </c>
      <c r="J90" t="str">
        <f t="shared" si="4"/>
        <v>Nu</v>
      </c>
    </row>
    <row r="91" spans="1:10" x14ac:dyDescent="0.2">
      <c r="A91" t="s">
        <v>122</v>
      </c>
      <c r="B91" t="s">
        <v>59</v>
      </c>
      <c r="C91">
        <v>7738475</v>
      </c>
      <c r="D91" s="5">
        <f t="shared" si="3"/>
        <v>38692.375</v>
      </c>
      <c r="E91" s="2">
        <f>VLOOKUP(A91,'2.09.2021'!A$3:'2.09.2021'!I$202,5,)</f>
        <v>44336</v>
      </c>
      <c r="F91" s="2">
        <v>44448</v>
      </c>
      <c r="G91" s="23">
        <f>VLOOKUP(A91,'2.09.2021'!A$3:'2.09.2021'!I$202,7,)</f>
        <v>0.12152777777777778</v>
      </c>
      <c r="H91" t="str">
        <f>VLOOKUP(A91,'2.09.2021'!A$3:'2.09.2021'!I$202,8,)</f>
        <v>DANCE</v>
      </c>
      <c r="I91" t="str">
        <f>VLOOKUP(A91,'2.09.2021'!A$3:'2.09.2021'!I$202,9,)</f>
        <v>Olanda</v>
      </c>
      <c r="J91" t="str">
        <f t="shared" si="4"/>
        <v>Nu</v>
      </c>
    </row>
    <row r="92" spans="1:10" x14ac:dyDescent="0.2">
      <c r="A92" t="s">
        <v>444</v>
      </c>
      <c r="B92" t="s">
        <v>121</v>
      </c>
      <c r="C92">
        <v>7699384</v>
      </c>
      <c r="D92" s="5">
        <f t="shared" si="3"/>
        <v>38496.92</v>
      </c>
      <c r="E92" s="2">
        <f>VLOOKUP(A92,'2.09.2021'!A$3:'2.09.2021'!I$202,5,)</f>
        <v>43945</v>
      </c>
      <c r="F92" s="2">
        <v>44448</v>
      </c>
      <c r="G92" s="23">
        <f>VLOOKUP(A92,'2.09.2021'!A$3:'2.09.2021'!I$202,7,)</f>
        <v>9.0277777777777776E-2</v>
      </c>
      <c r="H92" t="str">
        <f>VLOOKUP(A92,'2.09.2021'!A$3:'2.09.2021'!I$202,8,)</f>
        <v>R&amp;B/SOUL</v>
      </c>
      <c r="I92" t="str">
        <f>VLOOKUP(A92,'2.09.2021'!A$3:'2.09.2021'!I$202,9,)</f>
        <v>Canada</v>
      </c>
      <c r="J92" t="str">
        <f t="shared" si="4"/>
        <v>Da</v>
      </c>
    </row>
    <row r="93" spans="1:10" x14ac:dyDescent="0.2">
      <c r="A93" t="s">
        <v>446</v>
      </c>
      <c r="B93" t="s">
        <v>25</v>
      </c>
      <c r="C93">
        <v>7698403</v>
      </c>
      <c r="D93" s="5">
        <f t="shared" si="3"/>
        <v>38492.014999999999</v>
      </c>
      <c r="E93" s="2">
        <f>VLOOKUP(A93,'30.09.2021'!A$3:'30.09.2021'!I$202,5,)</f>
        <v>44245</v>
      </c>
      <c r="F93" s="2">
        <v>44448</v>
      </c>
      <c r="G93" s="23">
        <f>VLOOKUP(A93,'30.09.2021'!A$3:'30.09.2021'!I$202,7,)</f>
        <v>0.18263888888888891</v>
      </c>
      <c r="H93" t="str">
        <f>VLOOKUP(A93,'30.09.2021'!A$3:'30.09.2021'!I$202,8,)</f>
        <v>RHYTHM &amp; BLUES</v>
      </c>
      <c r="I93" t="str">
        <f>VLOOKUP(A93,'30.09.2021'!A$3:'30.09.2021'!I$202,9,)</f>
        <v>Africa</v>
      </c>
      <c r="J93" t="str">
        <f t="shared" si="4"/>
        <v>Da</v>
      </c>
    </row>
    <row r="94" spans="1:10" x14ac:dyDescent="0.2">
      <c r="A94" t="s">
        <v>126</v>
      </c>
      <c r="B94" t="s">
        <v>38</v>
      </c>
      <c r="C94">
        <v>7695070</v>
      </c>
      <c r="D94" s="5">
        <f t="shared" si="3"/>
        <v>38475.35</v>
      </c>
      <c r="E94" s="2">
        <f>VLOOKUP(A94,'2.09.2021'!A$3:'2.09.2021'!I$202,5,)</f>
        <v>44259</v>
      </c>
      <c r="F94" s="2">
        <v>44448</v>
      </c>
      <c r="G94" s="23">
        <f>VLOOKUP(A94,'2.09.2021'!A$3:'2.09.2021'!I$202,7,)</f>
        <v>0.14027777777777778</v>
      </c>
      <c r="H94" t="str">
        <f>VLOOKUP(A94,'2.09.2021'!A$3:'2.09.2021'!I$202,8,)</f>
        <v>ELECTRONIC</v>
      </c>
      <c r="I94" t="str">
        <f>VLOOKUP(A94,'2.09.2021'!A$3:'2.09.2021'!I$202,9,)</f>
        <v>Marea Britanie</v>
      </c>
      <c r="J94" t="str">
        <f t="shared" si="4"/>
        <v>Nu</v>
      </c>
    </row>
    <row r="95" spans="1:10" x14ac:dyDescent="0.2">
      <c r="A95" t="s">
        <v>89</v>
      </c>
      <c r="B95" t="s">
        <v>90</v>
      </c>
      <c r="C95">
        <v>7686075</v>
      </c>
      <c r="D95" s="5">
        <f t="shared" si="3"/>
        <v>38430.375</v>
      </c>
      <c r="E95" s="2">
        <f>VLOOKUP(A95,'30.09.2021'!A$3:'30.09.2021'!I$202,5,)</f>
        <v>44339</v>
      </c>
      <c r="F95" s="2">
        <v>44448</v>
      </c>
      <c r="G95" s="23">
        <f>VLOOKUP(A95,'30.09.2021'!A$3:'30.09.2021'!I$202,7,)</f>
        <v>0.14097222222222222</v>
      </c>
      <c r="H95" t="str">
        <f>VLOOKUP(A95,'30.09.2021'!A$3:'30.09.2021'!I$202,8,)</f>
        <v>LATIN URBAN</v>
      </c>
      <c r="I95" t="str">
        <f>VLOOKUP(A95,'30.09.2021'!A$3:'30.09.2021'!I$202,9,)</f>
        <v>Puerto Rico</v>
      </c>
      <c r="J95" t="str">
        <f t="shared" si="4"/>
        <v>Nu</v>
      </c>
    </row>
    <row r="96" spans="1:10" x14ac:dyDescent="0.2">
      <c r="A96" t="s">
        <v>459</v>
      </c>
      <c r="B96" t="s">
        <v>2</v>
      </c>
      <c r="C96">
        <v>7632690</v>
      </c>
      <c r="D96" s="5">
        <f t="shared" si="3"/>
        <v>38163.449999999997</v>
      </c>
      <c r="E96" s="2">
        <v>44328</v>
      </c>
      <c r="F96" s="2">
        <v>44448</v>
      </c>
      <c r="G96" s="23">
        <v>9.930555555555555E-2</v>
      </c>
      <c r="H96" t="s">
        <v>423</v>
      </c>
      <c r="I96" t="s">
        <v>468</v>
      </c>
      <c r="J96" t="str">
        <f t="shared" si="4"/>
        <v>Da</v>
      </c>
    </row>
    <row r="97" spans="1:10" x14ac:dyDescent="0.2">
      <c r="A97" t="s">
        <v>133</v>
      </c>
      <c r="B97" t="s">
        <v>17</v>
      </c>
      <c r="C97">
        <v>7620617</v>
      </c>
      <c r="D97" s="5">
        <f t="shared" si="3"/>
        <v>38103.084999999999</v>
      </c>
      <c r="E97" s="2">
        <f>VLOOKUP(A97,'2.09.2021'!A$3:'2.09.2021'!I$202,5,)</f>
        <v>44346</v>
      </c>
      <c r="F97" s="2">
        <v>44448</v>
      </c>
      <c r="G97" s="23">
        <f>VLOOKUP(A97,'2.09.2021'!A$3:'2.09.2021'!I$202,7,)</f>
        <v>0.14930555555555555</v>
      </c>
      <c r="H97" t="str">
        <f>VLOOKUP(A97,'2.09.2021'!A$3:'2.09.2021'!I$202,8,)</f>
        <v>ALTERNATIVE</v>
      </c>
      <c r="I97" t="str">
        <f>VLOOKUP(A97,'2.09.2021'!A$3:'2.09.2021'!I$202,9,)</f>
        <v>SUA</v>
      </c>
      <c r="J97" t="str">
        <f t="shared" si="4"/>
        <v>Nu</v>
      </c>
    </row>
    <row r="98" spans="1:10" x14ac:dyDescent="0.2">
      <c r="A98" t="s">
        <v>134</v>
      </c>
      <c r="B98" t="s">
        <v>135</v>
      </c>
      <c r="C98">
        <v>7619310</v>
      </c>
      <c r="D98" s="5">
        <f t="shared" si="3"/>
        <v>38096.550000000003</v>
      </c>
      <c r="E98" s="2">
        <f>VLOOKUP(A98,'2.09.2021'!A$3:'2.09.2021'!I$202,5,)</f>
        <v>44386</v>
      </c>
      <c r="F98" s="2">
        <v>44448</v>
      </c>
      <c r="G98" s="23">
        <f>VLOOKUP(A98,'2.09.2021'!A$3:'2.09.2021'!I$202,7,)</f>
        <v>0.14444444444444446</v>
      </c>
      <c r="H98" t="str">
        <f>VLOOKUP(A98,'2.09.2021'!A$3:'2.09.2021'!I$202,8,)</f>
        <v>LATIN URBAN</v>
      </c>
      <c r="I98" t="str">
        <f>VLOOKUP(A98,'2.09.2021'!A$3:'2.09.2021'!I$202,9,)</f>
        <v>Panama</v>
      </c>
      <c r="J98" t="str">
        <f t="shared" si="4"/>
        <v>Nu</v>
      </c>
    </row>
    <row r="99" spans="1:10" x14ac:dyDescent="0.2">
      <c r="A99" t="s">
        <v>128</v>
      </c>
      <c r="B99" t="s">
        <v>129</v>
      </c>
      <c r="C99">
        <v>7601818</v>
      </c>
      <c r="D99" s="5">
        <f t="shared" ref="D99:D130" si="5">(C99/1000*5)</f>
        <v>38009.090000000004</v>
      </c>
      <c r="E99" s="2">
        <f>VLOOKUP(A99,'30.09.2021'!A$3:'30.09.2021'!I$202,5,)</f>
        <v>44339</v>
      </c>
      <c r="F99" s="2">
        <v>44448</v>
      </c>
      <c r="G99" s="23">
        <f>VLOOKUP(A99,'30.09.2021'!A$3:'30.09.2021'!I$202,7,)</f>
        <v>0.11458333333333333</v>
      </c>
      <c r="H99" t="str">
        <f>VLOOKUP(A99,'30.09.2021'!A$3:'30.09.2021'!I$202,8,)</f>
        <v>POP</v>
      </c>
      <c r="I99" t="str">
        <f>VLOOKUP(A99,'30.09.2021'!A$3:'30.09.2021'!I$202,9,)</f>
        <v>SUA</v>
      </c>
      <c r="J99" t="str">
        <f t="shared" si="4"/>
        <v>Nu</v>
      </c>
    </row>
    <row r="100" spans="1:10" x14ac:dyDescent="0.2">
      <c r="A100" t="s">
        <v>178</v>
      </c>
      <c r="B100" t="s">
        <v>52</v>
      </c>
      <c r="C100">
        <v>7499273</v>
      </c>
      <c r="D100" s="5">
        <f t="shared" si="5"/>
        <v>37496.364999999998</v>
      </c>
      <c r="E100" s="2">
        <f>VLOOKUP(A100,'2.09.2021'!A$3:'2.09.2021'!I$202,5,)</f>
        <v>44437</v>
      </c>
      <c r="F100" s="2">
        <v>44448</v>
      </c>
      <c r="G100" s="23">
        <f>VLOOKUP(A100,'2.09.2021'!A$3:'2.09.2021'!I$202,7,)</f>
        <v>0.23541666666666669</v>
      </c>
      <c r="H100" t="str">
        <f>VLOOKUP(A100,'2.09.2021'!A$3:'2.09.2021'!I$202,8,)</f>
        <v>HIP-HOP/RAP</v>
      </c>
      <c r="I100" t="str">
        <f>VLOOKUP(A100,'2.09.2021'!A$3:'2.09.2021'!I$202,9,)</f>
        <v>SUA</v>
      </c>
      <c r="J100" t="str">
        <f t="shared" si="4"/>
        <v>Nu</v>
      </c>
    </row>
    <row r="101" spans="1:10" x14ac:dyDescent="0.2">
      <c r="A101" t="s">
        <v>137</v>
      </c>
      <c r="B101" t="s">
        <v>138</v>
      </c>
      <c r="C101">
        <v>7490488</v>
      </c>
      <c r="D101" s="5">
        <f t="shared" si="5"/>
        <v>37452.44</v>
      </c>
      <c r="E101" s="2">
        <f>VLOOKUP(A101,'2.09.2021'!A$3:'2.09.2021'!I$202,5,)</f>
        <v>44428</v>
      </c>
      <c r="F101" s="2">
        <v>44448</v>
      </c>
      <c r="G101" s="23">
        <f>VLOOKUP(A101,'2.09.2021'!A$3:'2.09.2021'!I$202,7,)</f>
        <v>0.1277777777777778</v>
      </c>
      <c r="H101" t="str">
        <f>VLOOKUP(A101,'2.09.2021'!A$3:'2.09.2021'!I$202,8,)</f>
        <v>POP</v>
      </c>
      <c r="I101" t="str">
        <f>VLOOKUP(A101,'2.09.2021'!A$3:'2.09.2021'!I$202,9,)</f>
        <v>Canada</v>
      </c>
      <c r="J101" t="str">
        <f t="shared" si="4"/>
        <v>Nu</v>
      </c>
    </row>
    <row r="102" spans="1:10" x14ac:dyDescent="0.2">
      <c r="A102" t="s">
        <v>44</v>
      </c>
      <c r="B102" t="s">
        <v>40</v>
      </c>
      <c r="C102">
        <v>7486441</v>
      </c>
      <c r="D102" s="5">
        <f t="shared" si="5"/>
        <v>37432.205000000002</v>
      </c>
      <c r="E102" s="2">
        <f>VLOOKUP(A102,'30.09.2021'!A$3:'30.09.2021'!I$202,5,)</f>
        <v>44445</v>
      </c>
      <c r="F102" s="2">
        <v>44448</v>
      </c>
      <c r="G102" s="23">
        <f>VLOOKUP(A102,'30.09.2021'!A$3:'30.09.2021'!I$202,7,)</f>
        <v>9.8611111111111108E-2</v>
      </c>
      <c r="H102" t="str">
        <f>VLOOKUP(A102,'30.09.2021'!A$3:'30.09.2021'!I$202,8,)</f>
        <v>POP</v>
      </c>
      <c r="I102" t="str">
        <f>VLOOKUP(A102,'30.09.2021'!A$3:'30.09.2021'!I$202,9,)</f>
        <v>Canada</v>
      </c>
      <c r="J102" t="str">
        <f t="shared" si="4"/>
        <v>Nu</v>
      </c>
    </row>
    <row r="103" spans="1:10" x14ac:dyDescent="0.2">
      <c r="A103" t="s">
        <v>139</v>
      </c>
      <c r="B103" t="s">
        <v>46</v>
      </c>
      <c r="C103">
        <v>7408114</v>
      </c>
      <c r="D103" s="5">
        <f t="shared" si="5"/>
        <v>37040.57</v>
      </c>
      <c r="E103" s="2">
        <f>VLOOKUP(A103,'2.09.2021'!A$3:'2.09.2021'!I$202,5,)</f>
        <v>44209</v>
      </c>
      <c r="F103" s="2">
        <v>44448</v>
      </c>
      <c r="G103" s="23">
        <f>VLOOKUP(A103,'2.09.2021'!A$3:'2.09.2021'!I$202,7,)</f>
        <v>0.16874999999999998</v>
      </c>
      <c r="H103" t="str">
        <f>VLOOKUP(A103,'2.09.2021'!A$3:'2.09.2021'!I$202,8,)</f>
        <v>ELECTRONIC</v>
      </c>
      <c r="I103" t="str">
        <f>VLOOKUP(A103,'2.09.2021'!A$3:'2.09.2021'!I$202,9,)</f>
        <v>Canada</v>
      </c>
      <c r="J103" t="str">
        <f t="shared" si="4"/>
        <v>Nu</v>
      </c>
    </row>
    <row r="104" spans="1:10" x14ac:dyDescent="0.2">
      <c r="A104" t="s">
        <v>445</v>
      </c>
      <c r="B104" t="s">
        <v>140</v>
      </c>
      <c r="C104">
        <v>7276769</v>
      </c>
      <c r="D104" s="5">
        <f t="shared" si="5"/>
        <v>36383.845000000001</v>
      </c>
      <c r="E104" s="2">
        <f>VLOOKUP(A104,'2.09.2021'!A$3:'2.09.2021'!I$202,5,)</f>
        <v>44389</v>
      </c>
      <c r="F104" s="2">
        <v>44448</v>
      </c>
      <c r="G104" s="23">
        <f>VLOOKUP(A104,'2.09.2021'!A$3:'2.09.2021'!I$202,7,)</f>
        <v>0.20694444444444446</v>
      </c>
      <c r="H104" t="str">
        <f>VLOOKUP(A104,'2.09.2021'!A$3:'2.09.2021'!I$202,8,)</f>
        <v>ALTERNATIVE</v>
      </c>
      <c r="I104" t="str">
        <f>VLOOKUP(A104,'2.09.2021'!A$3:'2.09.2021'!I$202,9,)</f>
        <v>SUA</v>
      </c>
      <c r="J104" t="str">
        <f t="shared" si="4"/>
        <v>Da</v>
      </c>
    </row>
    <row r="105" spans="1:10" x14ac:dyDescent="0.2">
      <c r="A105" t="s">
        <v>150</v>
      </c>
      <c r="B105" t="s">
        <v>151</v>
      </c>
      <c r="C105">
        <v>7252496</v>
      </c>
      <c r="D105" s="5">
        <f t="shared" si="5"/>
        <v>36262.480000000003</v>
      </c>
      <c r="E105" s="2">
        <f>VLOOKUP(A105,'2.09.2021'!A$3:'2.09.2021'!I$202,5,)</f>
        <v>44244</v>
      </c>
      <c r="F105" s="2">
        <v>44448</v>
      </c>
      <c r="G105" s="23">
        <f>VLOOKUP(A105,'2.09.2021'!A$3:'2.09.2021'!I$202,7,)</f>
        <v>0.1173611111111111</v>
      </c>
      <c r="H105" t="str">
        <f>VLOOKUP(A105,'2.09.2021'!A$3:'2.09.2021'!I$202,8,)</f>
        <v>LATIN URBAN</v>
      </c>
      <c r="I105" t="str">
        <f>VLOOKUP(A105,'2.09.2021'!A$3:'2.09.2021'!I$202,9,)</f>
        <v>Brazilia</v>
      </c>
      <c r="J105" t="str">
        <f t="shared" si="4"/>
        <v>Nu</v>
      </c>
    </row>
    <row r="106" spans="1:10" x14ac:dyDescent="0.2">
      <c r="A106" t="s">
        <v>360</v>
      </c>
      <c r="B106" t="s">
        <v>2</v>
      </c>
      <c r="C106">
        <v>7187013</v>
      </c>
      <c r="D106" s="5">
        <f t="shared" si="5"/>
        <v>35935.065000000002</v>
      </c>
      <c r="E106" s="2">
        <v>44328</v>
      </c>
      <c r="F106" s="2">
        <v>44448</v>
      </c>
      <c r="G106" s="23">
        <v>0.11666666666666665</v>
      </c>
      <c r="H106" t="s">
        <v>423</v>
      </c>
      <c r="I106" t="s">
        <v>468</v>
      </c>
      <c r="J106" t="str">
        <f t="shared" si="4"/>
        <v>Nu</v>
      </c>
    </row>
    <row r="107" spans="1:10" x14ac:dyDescent="0.2">
      <c r="A107" t="s">
        <v>130</v>
      </c>
      <c r="B107" t="s">
        <v>23</v>
      </c>
      <c r="C107">
        <v>7184315</v>
      </c>
      <c r="D107" s="5">
        <f t="shared" si="5"/>
        <v>35921.574999999997</v>
      </c>
      <c r="E107" s="2">
        <f>VLOOKUP(A107,'2.09.2021'!A$3:'2.09.2021'!I$202,5,)</f>
        <v>44385</v>
      </c>
      <c r="F107" s="2">
        <v>44448</v>
      </c>
      <c r="G107" s="23">
        <f>VLOOKUP(A107,'2.09.2021'!A$3:'2.09.2021'!I$202,7,)</f>
        <v>0.16805555555555554</v>
      </c>
      <c r="H107" t="str">
        <f>VLOOKUP(A107,'2.09.2021'!A$3:'2.09.2021'!I$202,8,)</f>
        <v>LATIN URBAN</v>
      </c>
      <c r="I107" t="str">
        <f>VLOOKUP(A107,'2.09.2021'!A$3:'2.09.2021'!I$202,9,)</f>
        <v>SUA</v>
      </c>
      <c r="J107" t="str">
        <f t="shared" si="4"/>
        <v>Da</v>
      </c>
    </row>
    <row r="108" spans="1:10" x14ac:dyDescent="0.2">
      <c r="A108" t="s">
        <v>136</v>
      </c>
      <c r="B108" t="s">
        <v>10</v>
      </c>
      <c r="C108">
        <v>7070755</v>
      </c>
      <c r="D108" s="5">
        <f t="shared" si="5"/>
        <v>35353.775000000001</v>
      </c>
      <c r="E108" s="2">
        <f>VLOOKUP(A108,'2.09.2021'!A$3:'2.09.2021'!I$202,5,)</f>
        <v>44240</v>
      </c>
      <c r="F108" s="2">
        <v>44448</v>
      </c>
      <c r="G108" s="23">
        <f>VLOOKUP(A108,'2.09.2021'!A$3:'2.09.2021'!I$202,7,)</f>
        <v>0.13958333333333334</v>
      </c>
      <c r="H108" t="str">
        <f>VLOOKUP(A108,'2.09.2021'!A$3:'2.09.2021'!I$202,8,)</f>
        <v>POP</v>
      </c>
      <c r="I108" t="str">
        <f>VLOOKUP(A108,'2.09.2021'!A$3:'2.09.2021'!I$202,9,)</f>
        <v>Marea Britanie</v>
      </c>
      <c r="J108" t="str">
        <f t="shared" si="4"/>
        <v>Nu</v>
      </c>
    </row>
    <row r="109" spans="1:10" x14ac:dyDescent="0.2">
      <c r="A109" t="s">
        <v>148</v>
      </c>
      <c r="B109" t="s">
        <v>149</v>
      </c>
      <c r="C109">
        <v>7063041</v>
      </c>
      <c r="D109" s="5">
        <f t="shared" si="5"/>
        <v>35315.205000000002</v>
      </c>
      <c r="E109" s="2">
        <f>VLOOKUP(A109,'2.09.2021'!A$3:'2.09.2021'!I$202,5,)</f>
        <v>44309</v>
      </c>
      <c r="F109" s="2">
        <v>44448</v>
      </c>
      <c r="G109" s="23">
        <f>VLOOKUP(A109,'2.09.2021'!A$3:'2.09.2021'!I$202,7,)</f>
        <v>0.19930555555555554</v>
      </c>
      <c r="H109" t="str">
        <f>VLOOKUP(A109,'2.09.2021'!A$3:'2.09.2021'!I$202,8,)</f>
        <v>K-POP</v>
      </c>
      <c r="I109" t="str">
        <f>VLOOKUP(A109,'2.09.2021'!A$3:'2.09.2021'!I$202,9,)</f>
        <v>SUA</v>
      </c>
      <c r="J109" t="str">
        <f t="shared" si="4"/>
        <v>Nu</v>
      </c>
    </row>
    <row r="110" spans="1:10" x14ac:dyDescent="0.2">
      <c r="A110" t="s">
        <v>155</v>
      </c>
      <c r="B110" t="s">
        <v>156</v>
      </c>
      <c r="C110">
        <v>7040590</v>
      </c>
      <c r="D110" s="5">
        <f t="shared" si="5"/>
        <v>35202.949999999997</v>
      </c>
      <c r="E110" s="2">
        <f>VLOOKUP(A110,'2.09.2021'!A$3:'2.09.2021'!I$202,5,)</f>
        <v>44245</v>
      </c>
      <c r="F110" s="2">
        <v>44448</v>
      </c>
      <c r="G110" s="23">
        <f>VLOOKUP(A110,'2.09.2021'!A$3:'2.09.2021'!I$202,7,)</f>
        <v>0.10069444444444443</v>
      </c>
      <c r="H110" t="str">
        <f>VLOOKUP(A110,'2.09.2021'!A$3:'2.09.2021'!I$202,8,)</f>
        <v>RHYTHM &amp; BLUES</v>
      </c>
      <c r="I110" t="str">
        <f>VLOOKUP(A110,'2.09.2021'!A$3:'2.09.2021'!I$202,9,)</f>
        <v>SUA</v>
      </c>
      <c r="J110" t="str">
        <f t="shared" si="4"/>
        <v>Nu</v>
      </c>
    </row>
    <row r="111" spans="1:10" x14ac:dyDescent="0.2">
      <c r="A111" t="s">
        <v>247</v>
      </c>
      <c r="B111" t="s">
        <v>20</v>
      </c>
      <c r="C111">
        <v>6994162</v>
      </c>
      <c r="D111" s="5">
        <f t="shared" si="5"/>
        <v>34970.81</v>
      </c>
      <c r="E111" s="2">
        <v>44328</v>
      </c>
      <c r="F111" s="2">
        <v>44448</v>
      </c>
      <c r="G111" s="23">
        <v>0.11458333333333333</v>
      </c>
      <c r="H111" t="s">
        <v>423</v>
      </c>
      <c r="I111" t="s">
        <v>420</v>
      </c>
      <c r="J111" t="str">
        <f t="shared" si="4"/>
        <v>Nu</v>
      </c>
    </row>
    <row r="112" spans="1:10" x14ac:dyDescent="0.2">
      <c r="A112" t="s">
        <v>165</v>
      </c>
      <c r="B112" t="s">
        <v>166</v>
      </c>
      <c r="C112">
        <v>6957330</v>
      </c>
      <c r="D112" s="5">
        <f t="shared" si="5"/>
        <v>34786.65</v>
      </c>
      <c r="E112" s="2">
        <f>VLOOKUP(A112,'2.09.2021'!A$3:'2.09.2021'!I$202,5,)</f>
        <v>44406</v>
      </c>
      <c r="F112" s="2">
        <v>44448</v>
      </c>
      <c r="G112" s="23">
        <f>VLOOKUP(A112,'2.09.2021'!A$3:'2.09.2021'!I$202,7,)</f>
        <v>0.14652777777777778</v>
      </c>
      <c r="H112" t="str">
        <f>VLOOKUP(A112,'2.09.2021'!A$3:'2.09.2021'!I$202,8,)</f>
        <v>LATIN</v>
      </c>
      <c r="I112" t="str">
        <f>VLOOKUP(A112,'2.09.2021'!A$3:'2.09.2021'!I$202,9,)</f>
        <v>India</v>
      </c>
      <c r="J112" t="str">
        <f t="shared" si="4"/>
        <v>Nu</v>
      </c>
    </row>
    <row r="113" spans="1:10" x14ac:dyDescent="0.2">
      <c r="A113" t="s">
        <v>146</v>
      </c>
      <c r="B113" t="s">
        <v>147</v>
      </c>
      <c r="C113">
        <v>6942462</v>
      </c>
      <c r="D113" s="5">
        <f t="shared" si="5"/>
        <v>34712.310000000005</v>
      </c>
      <c r="E113" s="2">
        <f>VLOOKUP(A113,'2.09.2021'!A$3:'2.09.2021'!I$202,5,)</f>
        <v>44370</v>
      </c>
      <c r="F113" s="2">
        <v>44448</v>
      </c>
      <c r="G113" s="23">
        <f>VLOOKUP(A113,'2.09.2021'!A$3:'2.09.2021'!I$202,7,)</f>
        <v>0.15972222222222224</v>
      </c>
      <c r="H113" t="str">
        <f>VLOOKUP(A113,'2.09.2021'!A$3:'2.09.2021'!I$202,8,)</f>
        <v>HIP-HOP/RAP</v>
      </c>
      <c r="I113" t="str">
        <f>VLOOKUP(A113,'2.09.2021'!A$3:'2.09.2021'!I$202,9,)</f>
        <v>SUA</v>
      </c>
      <c r="J113" t="str">
        <f t="shared" si="4"/>
        <v>Nu</v>
      </c>
    </row>
    <row r="114" spans="1:10" x14ac:dyDescent="0.2">
      <c r="A114" t="s">
        <v>152</v>
      </c>
      <c r="B114" t="s">
        <v>106</v>
      </c>
      <c r="C114">
        <v>6933137</v>
      </c>
      <c r="D114" s="5">
        <f t="shared" si="5"/>
        <v>34665.684999999998</v>
      </c>
      <c r="E114" s="2">
        <f>VLOOKUP(A114,'2.09.2021'!A$3:'2.09.2021'!I$202,5,)</f>
        <v>44226</v>
      </c>
      <c r="F114" s="2">
        <v>44448</v>
      </c>
      <c r="G114" s="23">
        <f>VLOOKUP(A114,'2.09.2021'!A$3:'2.09.2021'!I$202,7,)</f>
        <v>0.13541666666666666</v>
      </c>
      <c r="H114" t="str">
        <f>VLOOKUP(A114,'2.09.2021'!A$3:'2.09.2021'!I$202,8,)</f>
        <v>HIP-HOP/RAP</v>
      </c>
      <c r="I114" t="str">
        <f>VLOOKUP(A114,'2.09.2021'!A$3:'2.09.2021'!I$202,9,)</f>
        <v>Scoția</v>
      </c>
      <c r="J114" t="str">
        <f t="shared" si="4"/>
        <v>Nu</v>
      </c>
    </row>
    <row r="115" spans="1:10" x14ac:dyDescent="0.2">
      <c r="A115" t="s">
        <v>157</v>
      </c>
      <c r="B115" t="s">
        <v>158</v>
      </c>
      <c r="C115">
        <v>6863297</v>
      </c>
      <c r="D115" s="5">
        <f t="shared" si="5"/>
        <v>34316.485000000001</v>
      </c>
      <c r="E115" s="2">
        <f>VLOOKUP(A115,'2.09.2021'!A$3:'2.09.2021'!I$202,5,)</f>
        <v>44245</v>
      </c>
      <c r="F115" s="2">
        <v>44448</v>
      </c>
      <c r="G115" s="23">
        <f>VLOOKUP(A115,'2.09.2021'!A$3:'2.09.2021'!I$202,7,)</f>
        <v>0.14305555555555557</v>
      </c>
      <c r="H115" t="str">
        <f>VLOOKUP(A115,'2.09.2021'!A$3:'2.09.2021'!I$202,8,)</f>
        <v>POP</v>
      </c>
      <c r="I115" t="str">
        <f>VLOOKUP(A115,'2.09.2021'!A$3:'2.09.2021'!I$202,9,)</f>
        <v>SUA</v>
      </c>
      <c r="J115" t="str">
        <f t="shared" si="4"/>
        <v>Nu</v>
      </c>
    </row>
    <row r="116" spans="1:10" x14ac:dyDescent="0.2">
      <c r="A116" t="s">
        <v>153</v>
      </c>
      <c r="B116" t="s">
        <v>154</v>
      </c>
      <c r="C116">
        <v>6848856</v>
      </c>
      <c r="D116" s="5">
        <f t="shared" si="5"/>
        <v>34244.28</v>
      </c>
      <c r="E116" s="2">
        <f>VLOOKUP(A116,'2.09.2021'!A$3:'2.09.2021'!I$202,5,)</f>
        <v>44307</v>
      </c>
      <c r="F116" s="2">
        <v>44448</v>
      </c>
      <c r="G116" s="23">
        <f>VLOOKUP(A116,'2.09.2021'!A$3:'2.09.2021'!I$202,7,)</f>
        <v>0.15069444444444444</v>
      </c>
      <c r="H116" t="str">
        <f>VLOOKUP(A116,'2.09.2021'!A$3:'2.09.2021'!I$202,8,)</f>
        <v>POP</v>
      </c>
      <c r="I116" t="str">
        <f>VLOOKUP(A116,'2.09.2021'!A$3:'2.09.2021'!I$202,9,)</f>
        <v>SUA</v>
      </c>
      <c r="J116" t="str">
        <f t="shared" si="4"/>
        <v>Nu</v>
      </c>
    </row>
    <row r="117" spans="1:10" x14ac:dyDescent="0.2">
      <c r="A117" t="s">
        <v>161</v>
      </c>
      <c r="B117" t="s">
        <v>162</v>
      </c>
      <c r="C117">
        <v>6746723</v>
      </c>
      <c r="D117" s="5">
        <f t="shared" si="5"/>
        <v>33733.614999999998</v>
      </c>
      <c r="E117" s="2">
        <f>VLOOKUP(A117,'2.09.2021'!A$3:'2.09.2021'!I$202,5,)</f>
        <v>44408</v>
      </c>
      <c r="F117" s="2">
        <v>44448</v>
      </c>
      <c r="G117" s="23">
        <f>VLOOKUP(A117,'2.09.2021'!A$3:'2.09.2021'!I$202,7,)</f>
        <v>0.15277777777777776</v>
      </c>
      <c r="H117" t="str">
        <f>VLOOKUP(A117,'2.09.2021'!A$3:'2.09.2021'!I$202,8,)</f>
        <v>HIP-HOP/RAP</v>
      </c>
      <c r="I117" t="str">
        <f>VLOOKUP(A117,'2.09.2021'!A$3:'2.09.2021'!I$202,9,)</f>
        <v>Australia</v>
      </c>
      <c r="J117" t="str">
        <f t="shared" si="4"/>
        <v>Nu</v>
      </c>
    </row>
    <row r="118" spans="1:10" x14ac:dyDescent="0.2">
      <c r="A118" t="s">
        <v>163</v>
      </c>
      <c r="B118" t="s">
        <v>164</v>
      </c>
      <c r="C118">
        <v>6619255</v>
      </c>
      <c r="D118" s="5">
        <f t="shared" si="5"/>
        <v>33096.275000000001</v>
      </c>
      <c r="E118" s="2">
        <f>VLOOKUP(A118,'2.09.2021'!A$3:'2.09.2021'!I$202,5,)</f>
        <v>44412</v>
      </c>
      <c r="F118" s="2">
        <v>44448</v>
      </c>
      <c r="G118" s="23">
        <f>VLOOKUP(A118,'2.09.2021'!A$3:'2.09.2021'!I$202,7,)</f>
        <v>0.10069444444444443</v>
      </c>
      <c r="H118" t="str">
        <f>VLOOKUP(A118,'2.09.2021'!A$3:'2.09.2021'!I$202,8,)</f>
        <v>HIP-HOP/RAP</v>
      </c>
      <c r="I118" t="str">
        <f>VLOOKUP(A118,'2.09.2021'!A$3:'2.09.2021'!I$202,9,)</f>
        <v>SUA</v>
      </c>
      <c r="J118" t="str">
        <f t="shared" si="4"/>
        <v>Nu</v>
      </c>
    </row>
    <row r="119" spans="1:10" x14ac:dyDescent="0.2">
      <c r="A119" t="s">
        <v>179</v>
      </c>
      <c r="B119" t="s">
        <v>180</v>
      </c>
      <c r="C119">
        <v>6616894</v>
      </c>
      <c r="D119" s="5">
        <f t="shared" si="5"/>
        <v>33084.47</v>
      </c>
      <c r="E119" s="2">
        <f>VLOOKUP(A119,'2.09.2021'!A$3:'2.09.2021'!I$202,5,)</f>
        <v>44303</v>
      </c>
      <c r="F119" s="2">
        <v>44448</v>
      </c>
      <c r="G119" s="23">
        <f>VLOOKUP(A119,'2.09.2021'!A$3:'2.09.2021'!I$202,7,)</f>
        <v>0.15902777777777777</v>
      </c>
      <c r="H119" t="str">
        <f>VLOOKUP(A119,'2.09.2021'!A$3:'2.09.2021'!I$202,8,)</f>
        <v>HIP-HOP/RAP</v>
      </c>
      <c r="I119" t="str">
        <f>VLOOKUP(A119,'2.09.2021'!A$3:'2.09.2021'!I$202,9,)</f>
        <v>Olanda</v>
      </c>
      <c r="J119" t="str">
        <f t="shared" si="4"/>
        <v>Nu</v>
      </c>
    </row>
    <row r="120" spans="1:10" x14ac:dyDescent="0.2">
      <c r="A120" t="s">
        <v>168</v>
      </c>
      <c r="B120" t="s">
        <v>158</v>
      </c>
      <c r="C120">
        <v>6548663</v>
      </c>
      <c r="D120" s="5">
        <f t="shared" si="5"/>
        <v>32743.314999999999</v>
      </c>
      <c r="E120" s="2">
        <f>VLOOKUP(A120,'2.09.2021'!A$3:'2.09.2021'!I$202,5,)</f>
        <v>44464</v>
      </c>
      <c r="F120" s="2">
        <v>44448</v>
      </c>
      <c r="G120" s="23">
        <f>VLOOKUP(A120,'2.09.2021'!A$3:'2.09.2021'!I$202,7,)</f>
        <v>0.12361111111111112</v>
      </c>
      <c r="H120" t="str">
        <f>VLOOKUP(A120,'2.09.2021'!A$3:'2.09.2021'!I$202,8,)</f>
        <v>LATIN URBAN</v>
      </c>
      <c r="I120" t="str">
        <f>VLOOKUP(A120,'2.09.2021'!A$3:'2.09.2021'!I$202,9,)</f>
        <v>SUA</v>
      </c>
      <c r="J120" t="str">
        <f t="shared" si="4"/>
        <v>Nu</v>
      </c>
    </row>
    <row r="121" spans="1:10" x14ac:dyDescent="0.2">
      <c r="A121" t="s">
        <v>170</v>
      </c>
      <c r="B121" t="s">
        <v>171</v>
      </c>
      <c r="C121">
        <v>6536464</v>
      </c>
      <c r="D121" s="5">
        <f t="shared" si="5"/>
        <v>32682.32</v>
      </c>
      <c r="E121" s="2">
        <f>VLOOKUP(A121,'2.09.2021'!A$3:'2.09.2021'!I$202,5,)</f>
        <v>44446</v>
      </c>
      <c r="F121" s="2">
        <v>44448</v>
      </c>
      <c r="G121" s="23">
        <f>VLOOKUP(A121,'2.09.2021'!A$3:'2.09.2021'!I$202,7,)</f>
        <v>9.5138888888888884E-2</v>
      </c>
      <c r="H121" t="str">
        <f>VLOOKUP(A121,'2.09.2021'!A$3:'2.09.2021'!I$202,8,)</f>
        <v>ALTERNATIVE</v>
      </c>
      <c r="I121" t="str">
        <f>VLOOKUP(A121,'2.09.2021'!A$3:'2.09.2021'!I$202,9,)</f>
        <v>SUA</v>
      </c>
      <c r="J121" t="str">
        <f t="shared" si="4"/>
        <v>Nu</v>
      </c>
    </row>
    <row r="122" spans="1:10" x14ac:dyDescent="0.2">
      <c r="A122" t="s">
        <v>144</v>
      </c>
      <c r="B122" t="s">
        <v>23</v>
      </c>
      <c r="C122">
        <v>6521881</v>
      </c>
      <c r="D122" s="5">
        <f t="shared" si="5"/>
        <v>32609.405000000002</v>
      </c>
      <c r="E122" s="2">
        <v>44337</v>
      </c>
      <c r="F122" s="2">
        <v>44448</v>
      </c>
      <c r="G122" s="23">
        <v>0.16388888888888889</v>
      </c>
      <c r="H122" t="s">
        <v>434</v>
      </c>
      <c r="I122" t="s">
        <v>468</v>
      </c>
      <c r="J122" t="str">
        <f t="shared" si="4"/>
        <v>Nu</v>
      </c>
    </row>
    <row r="123" spans="1:10" x14ac:dyDescent="0.2">
      <c r="A123" t="s">
        <v>181</v>
      </c>
      <c r="B123" t="s">
        <v>42</v>
      </c>
      <c r="C123">
        <v>6486425</v>
      </c>
      <c r="D123" s="5">
        <f t="shared" si="5"/>
        <v>32432.125</v>
      </c>
      <c r="E123" s="2">
        <f>VLOOKUP(A123,'2.09.2021'!A$3:'2.09.2021'!I$202,5,)</f>
        <v>44316</v>
      </c>
      <c r="F123" s="2">
        <v>44448</v>
      </c>
      <c r="G123" s="23">
        <f>VLOOKUP(A123,'2.09.2021'!A$3:'2.09.2021'!I$202,7,)</f>
        <v>0.12013888888888889</v>
      </c>
      <c r="H123" t="str">
        <f>VLOOKUP(A123,'2.09.2021'!A$3:'2.09.2021'!I$202,8,)</f>
        <v>ELECTRONIC</v>
      </c>
      <c r="I123" t="str">
        <f>VLOOKUP(A123,'2.09.2021'!A$3:'2.09.2021'!I$202,9,)</f>
        <v>Columbia</v>
      </c>
      <c r="J123" t="str">
        <f t="shared" si="4"/>
        <v>Nu</v>
      </c>
    </row>
    <row r="124" spans="1:10" x14ac:dyDescent="0.2">
      <c r="A124" t="s">
        <v>172</v>
      </c>
      <c r="B124" t="s">
        <v>173</v>
      </c>
      <c r="C124">
        <v>6455273</v>
      </c>
      <c r="D124" s="5">
        <f t="shared" si="5"/>
        <v>32276.365000000002</v>
      </c>
      <c r="E124" s="2">
        <f>VLOOKUP(A124,'2.09.2021'!A$3:'2.09.2021'!I$202,5,)</f>
        <v>44227</v>
      </c>
      <c r="F124" s="2">
        <v>44448</v>
      </c>
      <c r="G124" s="23">
        <f>VLOOKUP(A124,'2.09.2021'!A$3:'2.09.2021'!I$202,7,)</f>
        <v>0.23124999999999998</v>
      </c>
      <c r="H124" t="str">
        <f>VLOOKUP(A124,'2.09.2021'!A$3:'2.09.2021'!I$202,8,)</f>
        <v>HIP-HOP/RAP</v>
      </c>
      <c r="I124" t="str">
        <f>VLOOKUP(A124,'2.09.2021'!A$3:'2.09.2021'!I$202,9,)</f>
        <v>SUA</v>
      </c>
      <c r="J124" t="str">
        <f t="shared" si="4"/>
        <v>Nu</v>
      </c>
    </row>
    <row r="125" spans="1:10" x14ac:dyDescent="0.2">
      <c r="A125" t="s">
        <v>176</v>
      </c>
      <c r="B125" t="s">
        <v>177</v>
      </c>
      <c r="C125">
        <v>6452194</v>
      </c>
      <c r="D125" s="5">
        <f t="shared" si="5"/>
        <v>32260.97</v>
      </c>
      <c r="E125" s="2">
        <f>VLOOKUP(A125,'30.09.2021'!A$3:'30.09.2021'!I$202,5,)</f>
        <v>44391</v>
      </c>
      <c r="F125" s="2">
        <v>44448</v>
      </c>
      <c r="G125" s="23">
        <f>VLOOKUP(A125,'30.09.2021'!A$3:'30.09.2021'!I$202,7,)</f>
        <v>0.14097222222222222</v>
      </c>
      <c r="H125" t="str">
        <f>VLOOKUP(A125,'30.09.2021'!A$3:'30.09.2021'!I$202,8,)</f>
        <v>LATIN</v>
      </c>
      <c r="I125" t="str">
        <f>VLOOKUP(A125,'30.09.2021'!A$3:'30.09.2021'!I$202,9,)</f>
        <v>Columbia</v>
      </c>
      <c r="J125" t="str">
        <f t="shared" si="4"/>
        <v>Nu</v>
      </c>
    </row>
    <row r="126" spans="1:10" x14ac:dyDescent="0.2">
      <c r="A126" t="s">
        <v>186</v>
      </c>
      <c r="B126" t="s">
        <v>38</v>
      </c>
      <c r="C126">
        <v>6389281</v>
      </c>
      <c r="D126" s="5">
        <f t="shared" si="5"/>
        <v>31946.404999999999</v>
      </c>
      <c r="E126" s="2">
        <f>VLOOKUP(A126,'2.09.2021'!A$3:'2.09.2021'!I$202,5,)</f>
        <v>44315</v>
      </c>
      <c r="F126" s="2">
        <v>44448</v>
      </c>
      <c r="G126" s="23">
        <f>VLOOKUP(A126,'2.09.2021'!A$3:'2.09.2021'!I$202,7,)</f>
        <v>0.14097222222222222</v>
      </c>
      <c r="H126" t="str">
        <f>VLOOKUP(A126,'2.09.2021'!A$3:'2.09.2021'!I$202,8,)</f>
        <v>LATIN URBAN</v>
      </c>
      <c r="I126" t="str">
        <f>VLOOKUP(A126,'2.09.2021'!A$3:'2.09.2021'!I$202,9,)</f>
        <v>Marea Britanie</v>
      </c>
      <c r="J126" t="str">
        <f t="shared" si="4"/>
        <v>Nu</v>
      </c>
    </row>
    <row r="127" spans="1:10" x14ac:dyDescent="0.2">
      <c r="A127" t="s">
        <v>208</v>
      </c>
      <c r="B127" t="s">
        <v>209</v>
      </c>
      <c r="C127">
        <v>6384423</v>
      </c>
      <c r="D127" s="5">
        <f t="shared" si="5"/>
        <v>31922.114999999998</v>
      </c>
      <c r="E127" s="2">
        <f>VLOOKUP(A127,'2.09.2021'!A$3:'2.09.2021'!I$202,5,)</f>
        <v>44452</v>
      </c>
      <c r="F127" s="2">
        <v>44448</v>
      </c>
      <c r="G127" s="23">
        <f>VLOOKUP(A127,'2.09.2021'!A$3:'2.09.2021'!I$202,7,)</f>
        <v>0.13819444444444443</v>
      </c>
      <c r="H127" t="str">
        <f>VLOOKUP(A127,'2.09.2021'!A$3:'2.09.2021'!I$202,8,)</f>
        <v>HIP-HOP/RAP</v>
      </c>
      <c r="I127" t="str">
        <f>VLOOKUP(A127,'2.09.2021'!A$3:'2.09.2021'!I$202,9,)</f>
        <v>Brazilia</v>
      </c>
      <c r="J127" t="str">
        <f t="shared" si="4"/>
        <v>Nu</v>
      </c>
    </row>
    <row r="128" spans="1:10" x14ac:dyDescent="0.2">
      <c r="A128" t="s">
        <v>169</v>
      </c>
      <c r="B128" t="s">
        <v>10</v>
      </c>
      <c r="C128">
        <v>6363090</v>
      </c>
      <c r="D128" s="5">
        <f t="shared" si="5"/>
        <v>31815.45</v>
      </c>
      <c r="E128" s="2">
        <f>VLOOKUP(A128,'2.09.2021'!A$3:'2.09.2021'!I$202,5,)</f>
        <v>44309</v>
      </c>
      <c r="F128" s="2">
        <v>44448</v>
      </c>
      <c r="G128" s="23">
        <f>VLOOKUP(A128,'2.09.2021'!A$3:'2.09.2021'!I$202,7,)</f>
        <v>0.1076388888888889</v>
      </c>
      <c r="H128" t="str">
        <f>VLOOKUP(A128,'2.09.2021'!A$3:'2.09.2021'!I$202,8,)</f>
        <v>LATIN URBAN</v>
      </c>
      <c r="I128" t="str">
        <f>VLOOKUP(A128,'2.09.2021'!A$3:'2.09.2021'!I$202,9,)</f>
        <v>Marea Britanie</v>
      </c>
      <c r="J128" t="str">
        <f t="shared" si="4"/>
        <v>Nu</v>
      </c>
    </row>
    <row r="129" spans="1:10" x14ac:dyDescent="0.2">
      <c r="A129" t="s">
        <v>205</v>
      </c>
      <c r="B129" t="s">
        <v>206</v>
      </c>
      <c r="C129">
        <v>6306282</v>
      </c>
      <c r="D129" s="5">
        <f t="shared" si="5"/>
        <v>31531.41</v>
      </c>
      <c r="E129" s="2">
        <f>VLOOKUP(A129,'2.09.2021'!A$3:'2.09.2021'!I$202,5,)</f>
        <v>44308</v>
      </c>
      <c r="F129" s="2">
        <v>44448</v>
      </c>
      <c r="G129" s="23">
        <f>VLOOKUP(A129,'2.09.2021'!A$3:'2.09.2021'!I$202,7,)</f>
        <v>0.14722222222222223</v>
      </c>
      <c r="H129" t="str">
        <f>VLOOKUP(A129,'2.09.2021'!A$3:'2.09.2021'!I$202,8,)</f>
        <v>HIP-HOP/RAP</v>
      </c>
      <c r="I129" t="str">
        <f>VLOOKUP(A129,'2.09.2021'!A$3:'2.09.2021'!I$202,9,)</f>
        <v>India</v>
      </c>
      <c r="J129" t="str">
        <f t="shared" si="4"/>
        <v>Nu</v>
      </c>
    </row>
    <row r="130" spans="1:10" x14ac:dyDescent="0.2">
      <c r="A130" t="s">
        <v>194</v>
      </c>
      <c r="B130" t="s">
        <v>12</v>
      </c>
      <c r="C130">
        <v>6272070</v>
      </c>
      <c r="D130" s="5">
        <f t="shared" si="5"/>
        <v>31360.35</v>
      </c>
      <c r="E130" s="2">
        <f>VLOOKUP(A130,'2.09.2021'!A$3:'2.09.2021'!I$202,5,)</f>
        <v>44262</v>
      </c>
      <c r="F130" s="2">
        <v>44448</v>
      </c>
      <c r="G130" s="23">
        <f>VLOOKUP(A130,'2.09.2021'!A$3:'2.09.2021'!I$202,7,)</f>
        <v>0.10833333333333334</v>
      </c>
      <c r="H130" t="str">
        <f>VLOOKUP(A130,'2.09.2021'!A$3:'2.09.2021'!I$202,8,)</f>
        <v>LATIN URBAN</v>
      </c>
      <c r="I130" t="str">
        <f>VLOOKUP(A130,'2.09.2021'!A$3:'2.09.2021'!I$202,9,)</f>
        <v>SUA</v>
      </c>
      <c r="J130" t="str">
        <f t="shared" si="4"/>
        <v>Nu</v>
      </c>
    </row>
    <row r="131" spans="1:10" x14ac:dyDescent="0.2">
      <c r="A131" t="s">
        <v>159</v>
      </c>
      <c r="B131" t="s">
        <v>160</v>
      </c>
      <c r="C131">
        <v>6254740</v>
      </c>
      <c r="D131" s="5">
        <f t="shared" ref="D131:D162" si="6">(C131/1000*5)</f>
        <v>31273.699999999997</v>
      </c>
      <c r="E131" s="2">
        <f>VLOOKUP(A131,'2.09.2021'!A$3:'2.09.2021'!I$202,5,)</f>
        <v>44329</v>
      </c>
      <c r="F131" s="2">
        <v>44448</v>
      </c>
      <c r="G131" s="23">
        <f>VLOOKUP(A131,'2.09.2021'!A$3:'2.09.2021'!I$202,7,)</f>
        <v>0.14930555555555555</v>
      </c>
      <c r="H131" t="str">
        <f>VLOOKUP(A131,'2.09.2021'!A$3:'2.09.2021'!I$202,8,)</f>
        <v>RHYTHM &amp; BLUES</v>
      </c>
      <c r="I131" t="str">
        <f>VLOOKUP(A131,'2.09.2021'!A$3:'2.09.2021'!I$202,9,)</f>
        <v>SUA</v>
      </c>
      <c r="J131" t="str">
        <f t="shared" si="4"/>
        <v>Nu</v>
      </c>
    </row>
    <row r="132" spans="1:10" x14ac:dyDescent="0.2">
      <c r="A132" t="s">
        <v>197</v>
      </c>
      <c r="B132" t="s">
        <v>1</v>
      </c>
      <c r="C132">
        <v>6253444</v>
      </c>
      <c r="D132" s="5">
        <f t="shared" si="6"/>
        <v>31267.22</v>
      </c>
      <c r="E132" s="2">
        <f>VLOOKUP(A132,'2.09.2021'!A$3:'2.09.2021'!I$202,5,)</f>
        <v>44243</v>
      </c>
      <c r="F132" s="2">
        <v>44448</v>
      </c>
      <c r="G132" s="23">
        <f>VLOOKUP(A132,'2.09.2021'!A$3:'2.09.2021'!I$202,7,)</f>
        <v>0.11388888888888889</v>
      </c>
      <c r="H132" t="str">
        <f>VLOOKUP(A132,'2.09.2021'!A$3:'2.09.2021'!I$202,8,)</f>
        <v>LATIN URBAN</v>
      </c>
      <c r="I132" t="str">
        <f>VLOOKUP(A132,'2.09.2021'!A$3:'2.09.2021'!I$202,9,)</f>
        <v>Australia</v>
      </c>
      <c r="J132" t="str">
        <f t="shared" ref="J132:J161" si="7">IF(ISNUMBER(SEARCH("with",A132)),"Da","Nu")</f>
        <v>Da</v>
      </c>
    </row>
    <row r="133" spans="1:10" x14ac:dyDescent="0.2">
      <c r="A133" t="s">
        <v>184</v>
      </c>
      <c r="B133" t="s">
        <v>185</v>
      </c>
      <c r="C133">
        <v>6234893</v>
      </c>
      <c r="D133" s="5">
        <f t="shared" si="6"/>
        <v>31174.465</v>
      </c>
      <c r="E133" s="2">
        <f>VLOOKUP(A133,'2.09.2021'!A$3:'2.09.2021'!I$202,5,)</f>
        <v>44321</v>
      </c>
      <c r="F133" s="2">
        <v>44448</v>
      </c>
      <c r="G133" s="23">
        <f>VLOOKUP(A133,'2.09.2021'!A$3:'2.09.2021'!I$202,7,)</f>
        <v>0.16805555555555554</v>
      </c>
      <c r="H133" t="str">
        <f>VLOOKUP(A133,'2.09.2021'!A$3:'2.09.2021'!I$202,8,)</f>
        <v>HIP-HOP/RAP</v>
      </c>
      <c r="I133" t="str">
        <f>VLOOKUP(A133,'2.09.2021'!A$3:'2.09.2021'!I$202,9,)</f>
        <v>SUA</v>
      </c>
      <c r="J133" t="str">
        <f t="shared" si="7"/>
        <v>Nu</v>
      </c>
    </row>
    <row r="134" spans="1:10" x14ac:dyDescent="0.2">
      <c r="A134" t="s">
        <v>218</v>
      </c>
      <c r="B134" t="s">
        <v>219</v>
      </c>
      <c r="C134">
        <v>6216701</v>
      </c>
      <c r="D134" s="5">
        <f t="shared" si="6"/>
        <v>31083.505000000001</v>
      </c>
      <c r="E134" s="2">
        <f>VLOOKUP(A134,'2.09.2021'!A$3:'2.09.2021'!I$202,5,)</f>
        <v>44320</v>
      </c>
      <c r="F134" s="2">
        <v>44448</v>
      </c>
      <c r="G134" s="23">
        <f>VLOOKUP(A134,'2.09.2021'!A$3:'2.09.2021'!I$202,7,)</f>
        <v>0.18958333333333333</v>
      </c>
      <c r="H134" t="str">
        <f>VLOOKUP(A134,'2.09.2021'!A$3:'2.09.2021'!I$202,8,)</f>
        <v>POP</v>
      </c>
      <c r="I134" t="str">
        <f>VLOOKUP(A134,'2.09.2021'!A$3:'2.09.2021'!I$202,9,)</f>
        <v>Puerto Rico</v>
      </c>
      <c r="J134" t="str">
        <f t="shared" si="7"/>
        <v>Nu</v>
      </c>
    </row>
    <row r="135" spans="1:10" x14ac:dyDescent="0.2">
      <c r="A135" t="s">
        <v>221</v>
      </c>
      <c r="B135" t="s">
        <v>222</v>
      </c>
      <c r="C135">
        <v>6178980</v>
      </c>
      <c r="D135" s="5">
        <f t="shared" si="6"/>
        <v>30894.899999999998</v>
      </c>
      <c r="E135" s="2">
        <f>VLOOKUP(A135,'2.09.2021'!A$3:'2.09.2021'!I$202,5,)</f>
        <v>44286</v>
      </c>
      <c r="F135" s="2">
        <v>44448</v>
      </c>
      <c r="G135" s="23">
        <f>VLOOKUP(A135,'2.09.2021'!A$3:'2.09.2021'!I$202,7,)</f>
        <v>8.8888888888888892E-2</v>
      </c>
      <c r="H135" t="str">
        <f>VLOOKUP(A135,'2.09.2021'!A$3:'2.09.2021'!I$202,8,)</f>
        <v>HIP-HOP/RAP</v>
      </c>
      <c r="I135" t="str">
        <f>VLOOKUP(A135,'2.09.2021'!A$3:'2.09.2021'!I$202,9,)</f>
        <v>Brazilia</v>
      </c>
      <c r="J135" t="str">
        <f t="shared" si="7"/>
        <v>Nu</v>
      </c>
    </row>
    <row r="136" spans="1:10" x14ac:dyDescent="0.2">
      <c r="A136" t="s">
        <v>361</v>
      </c>
      <c r="B136" t="s">
        <v>2</v>
      </c>
      <c r="C136">
        <v>6151453</v>
      </c>
      <c r="D136" s="5">
        <f t="shared" si="6"/>
        <v>30757.265000000003</v>
      </c>
      <c r="E136" s="2">
        <v>44328</v>
      </c>
      <c r="F136" s="2">
        <v>44448</v>
      </c>
      <c r="G136" s="23">
        <v>0.11875000000000001</v>
      </c>
      <c r="H136" t="s">
        <v>423</v>
      </c>
      <c r="I136" t="s">
        <v>468</v>
      </c>
      <c r="J136" t="str">
        <f t="shared" si="7"/>
        <v>Nu</v>
      </c>
    </row>
    <row r="137" spans="1:10" x14ac:dyDescent="0.2">
      <c r="A137" t="s">
        <v>220</v>
      </c>
      <c r="B137" t="s">
        <v>215</v>
      </c>
      <c r="C137">
        <v>6135526</v>
      </c>
      <c r="D137" s="5">
        <f t="shared" si="6"/>
        <v>30677.629999999997</v>
      </c>
      <c r="E137" s="2">
        <f>VLOOKUP(A137,'2.09.2021'!A$3:'2.09.2021'!I$202,5,)</f>
        <v>44412</v>
      </c>
      <c r="F137" s="2">
        <v>44448</v>
      </c>
      <c r="G137" s="23">
        <f>VLOOKUP(A137,'2.09.2021'!A$3:'2.09.2021'!I$202,7,)</f>
        <v>0.1673611111111111</v>
      </c>
      <c r="H137" t="str">
        <f>VLOOKUP(A137,'2.09.2021'!A$3:'2.09.2021'!I$202,8,)</f>
        <v>POP</v>
      </c>
      <c r="I137" t="str">
        <f>VLOOKUP(A137,'2.09.2021'!A$3:'2.09.2021'!I$202,9,)</f>
        <v>Puerto Rico</v>
      </c>
      <c r="J137" t="str">
        <f t="shared" si="7"/>
        <v>Nu</v>
      </c>
    </row>
    <row r="138" spans="1:10" x14ac:dyDescent="0.2">
      <c r="A138" t="s">
        <v>282</v>
      </c>
      <c r="B138" t="s">
        <v>283</v>
      </c>
      <c r="C138">
        <v>6115461</v>
      </c>
      <c r="D138" s="5">
        <f t="shared" si="6"/>
        <v>30577.305</v>
      </c>
      <c r="E138" s="2">
        <f>VLOOKUP(A138,'30.09.2021'!A$3:'30.09.2021'!I$202,5,)</f>
        <v>44478</v>
      </c>
      <c r="F138" s="2">
        <v>44448</v>
      </c>
      <c r="G138" s="23">
        <f>VLOOKUP(A138,'30.09.2021'!A$3:'30.09.2021'!I$202,7,)</f>
        <v>0.16388888888888889</v>
      </c>
      <c r="H138" t="str">
        <f>VLOOKUP(A138,'30.09.2021'!A$3:'30.09.2021'!I$202,8,)</f>
        <v>POP</v>
      </c>
      <c r="I138" t="str">
        <f>VLOOKUP(A138,'30.09.2021'!A$3:'30.09.2021'!I$202,9,)</f>
        <v>SUA</v>
      </c>
      <c r="J138" t="str">
        <f t="shared" si="7"/>
        <v>Nu</v>
      </c>
    </row>
    <row r="139" spans="1:10" x14ac:dyDescent="0.2">
      <c r="A139" t="s">
        <v>187</v>
      </c>
      <c r="B139" t="s">
        <v>188</v>
      </c>
      <c r="C139">
        <v>6093064</v>
      </c>
      <c r="D139" s="5">
        <f t="shared" si="6"/>
        <v>30465.32</v>
      </c>
      <c r="E139" s="2">
        <f>VLOOKUP(A139,'2.09.2021'!A$3:'2.09.2021'!I$202,5,)</f>
        <v>44362</v>
      </c>
      <c r="F139" s="2">
        <v>44448</v>
      </c>
      <c r="G139" s="23">
        <f>VLOOKUP(A139,'2.09.2021'!A$3:'2.09.2021'!I$202,7,)</f>
        <v>0.14027777777777778</v>
      </c>
      <c r="H139" t="str">
        <f>VLOOKUP(A139,'2.09.2021'!A$3:'2.09.2021'!I$202,8,)</f>
        <v>HIP-HOP/RAP</v>
      </c>
      <c r="I139" t="str">
        <f>VLOOKUP(A139,'2.09.2021'!A$3:'2.09.2021'!I$202,9,)</f>
        <v>Marea Britanie</v>
      </c>
      <c r="J139" t="str">
        <f t="shared" si="7"/>
        <v>Nu</v>
      </c>
    </row>
    <row r="140" spans="1:10" x14ac:dyDescent="0.2">
      <c r="A140" t="s">
        <v>193</v>
      </c>
      <c r="B140" t="s">
        <v>86</v>
      </c>
      <c r="C140">
        <v>6075319</v>
      </c>
      <c r="D140" s="5">
        <f t="shared" si="6"/>
        <v>30376.595000000001</v>
      </c>
      <c r="E140" s="2">
        <f>VLOOKUP(A140,'2.09.2021'!A$3:'2.09.2021'!I$202,5,)</f>
        <v>44230</v>
      </c>
      <c r="F140" s="2">
        <v>44448</v>
      </c>
      <c r="G140" s="23">
        <f>VLOOKUP(A140,'2.09.2021'!A$3:'2.09.2021'!I$202,7,)</f>
        <v>0.12083333333333333</v>
      </c>
      <c r="H140" t="str">
        <f>VLOOKUP(A140,'2.09.2021'!A$3:'2.09.2021'!I$202,8,)</f>
        <v>HIP-HOP/RAP</v>
      </c>
      <c r="I140" t="str">
        <f>VLOOKUP(A140,'2.09.2021'!A$3:'2.09.2021'!I$202,9,)</f>
        <v>SUA</v>
      </c>
      <c r="J140" t="str">
        <f t="shared" si="7"/>
        <v>Nu</v>
      </c>
    </row>
    <row r="141" spans="1:10" x14ac:dyDescent="0.2">
      <c r="A141" t="s">
        <v>191</v>
      </c>
      <c r="B141" t="s">
        <v>192</v>
      </c>
      <c r="C141">
        <v>6044089</v>
      </c>
      <c r="D141" s="5">
        <f t="shared" si="6"/>
        <v>30220.445</v>
      </c>
      <c r="E141" s="2">
        <f>VLOOKUP(A141,'2.09.2021'!A$3:'2.09.2021'!I$202,5,)</f>
        <v>44413</v>
      </c>
      <c r="F141" s="2">
        <v>44448</v>
      </c>
      <c r="G141" s="23">
        <f>VLOOKUP(A141,'2.09.2021'!A$3:'2.09.2021'!I$202,7,)</f>
        <v>0.12013888888888889</v>
      </c>
      <c r="H141" t="str">
        <f>VLOOKUP(A141,'2.09.2021'!A$3:'2.09.2021'!I$202,8,)</f>
        <v>LATIN</v>
      </c>
      <c r="I141" t="str">
        <f>VLOOKUP(A141,'2.09.2021'!A$3:'2.09.2021'!I$202,9,)</f>
        <v>Canada</v>
      </c>
      <c r="J141" t="str">
        <f t="shared" si="7"/>
        <v>Nu</v>
      </c>
    </row>
    <row r="142" spans="1:10" x14ac:dyDescent="0.2">
      <c r="A142" t="s">
        <v>195</v>
      </c>
      <c r="B142" t="s">
        <v>196</v>
      </c>
      <c r="C142">
        <v>5958054</v>
      </c>
      <c r="D142" s="5">
        <f t="shared" si="6"/>
        <v>29790.27</v>
      </c>
      <c r="E142" s="2">
        <f>VLOOKUP(A142,'30.09.2021'!A$3:'30.09.2021'!I$202,5,)</f>
        <v>44298</v>
      </c>
      <c r="F142" s="2">
        <v>44448</v>
      </c>
      <c r="G142" s="23">
        <f>VLOOKUP(A142,'30.09.2021'!A$3:'30.09.2021'!I$202,7,)</f>
        <v>5.7638888888888885E-2</v>
      </c>
      <c r="H142" t="str">
        <f>VLOOKUP(A142,'30.09.2021'!A$3:'30.09.2021'!I$202,8,)</f>
        <v>LATIN URBAN</v>
      </c>
      <c r="I142" t="str">
        <f>VLOOKUP(A142,'30.09.2021'!A$3:'30.09.2021'!I$202,9,)</f>
        <v>Puerto Rico</v>
      </c>
      <c r="J142" t="str">
        <f t="shared" si="7"/>
        <v>Nu</v>
      </c>
    </row>
    <row r="143" spans="1:10" x14ac:dyDescent="0.2">
      <c r="A143" t="s">
        <v>256</v>
      </c>
      <c r="B143" t="s">
        <v>257</v>
      </c>
      <c r="C143">
        <v>5957231</v>
      </c>
      <c r="D143" s="5">
        <f t="shared" si="6"/>
        <v>29786.154999999999</v>
      </c>
      <c r="E143" s="2">
        <f>VLOOKUP(A143,'2.09.2021'!A$3:'2.09.2021'!I$202,5,)</f>
        <v>44307</v>
      </c>
      <c r="F143" s="2">
        <v>44448</v>
      </c>
      <c r="G143" s="23">
        <f>VLOOKUP(A143,'2.09.2021'!A$3:'2.09.2021'!I$202,7,)</f>
        <v>0.14583333333333334</v>
      </c>
      <c r="H143" t="str">
        <f>VLOOKUP(A143,'2.09.2021'!A$3:'2.09.2021'!I$202,8,)</f>
        <v>R&amp;B/SOUL</v>
      </c>
      <c r="I143" t="str">
        <f>VLOOKUP(A143,'2.09.2021'!A$3:'2.09.2021'!I$202,9,)</f>
        <v>Brazilia</v>
      </c>
      <c r="J143" t="str">
        <f t="shared" si="7"/>
        <v>Nu</v>
      </c>
    </row>
    <row r="144" spans="1:10" x14ac:dyDescent="0.2">
      <c r="A144" t="s">
        <v>236</v>
      </c>
      <c r="B144" t="s">
        <v>17</v>
      </c>
      <c r="C144">
        <v>5945539</v>
      </c>
      <c r="D144" s="5">
        <f t="shared" si="6"/>
        <v>29727.695</v>
      </c>
      <c r="E144" s="2">
        <f>VLOOKUP(A144,'2.09.2021'!A$3:'2.09.2021'!I$202,5,)</f>
        <v>44347</v>
      </c>
      <c r="F144" s="2">
        <v>44448</v>
      </c>
      <c r="G144" s="23">
        <f>VLOOKUP(A144,'2.09.2021'!A$3:'2.09.2021'!I$202,7,)</f>
        <v>0.12013888888888889</v>
      </c>
      <c r="H144" t="str">
        <f>VLOOKUP(A144,'2.09.2021'!A$3:'2.09.2021'!I$202,8,)</f>
        <v>HIP-HOP/RAP</v>
      </c>
      <c r="I144" t="str">
        <f>VLOOKUP(A144,'2.09.2021'!A$3:'2.09.2021'!I$202,9,)</f>
        <v>SUA</v>
      </c>
      <c r="J144" t="str">
        <f t="shared" si="7"/>
        <v>Nu</v>
      </c>
    </row>
    <row r="145" spans="1:10" x14ac:dyDescent="0.2">
      <c r="A145" t="s">
        <v>198</v>
      </c>
      <c r="B145" t="s">
        <v>138</v>
      </c>
      <c r="C145">
        <v>5921234</v>
      </c>
      <c r="D145" s="5">
        <f t="shared" si="6"/>
        <v>29606.170000000002</v>
      </c>
      <c r="E145" s="2">
        <f>VLOOKUP(A145,'2.09.2021'!A$3:'2.09.2021'!I$202,5,)</f>
        <v>44295</v>
      </c>
      <c r="F145" s="2">
        <v>44448</v>
      </c>
      <c r="G145" s="23">
        <f>VLOOKUP(A145,'2.09.2021'!A$3:'2.09.2021'!I$202,7,)</f>
        <v>0.37361111111111112</v>
      </c>
      <c r="H145" t="str">
        <f>VLOOKUP(A145,'2.09.2021'!A$3:'2.09.2021'!I$202,8,)</f>
        <v>K-POP</v>
      </c>
      <c r="I145" t="str">
        <f>VLOOKUP(A145,'2.09.2021'!A$3:'2.09.2021'!I$202,9,)</f>
        <v>Canada</v>
      </c>
      <c r="J145" t="str">
        <f t="shared" si="7"/>
        <v>Nu</v>
      </c>
    </row>
    <row r="146" spans="1:10" x14ac:dyDescent="0.2">
      <c r="A146" t="s">
        <v>248</v>
      </c>
      <c r="B146" t="s">
        <v>211</v>
      </c>
      <c r="C146">
        <v>5891029</v>
      </c>
      <c r="D146" s="5">
        <f t="shared" si="6"/>
        <v>29455.145000000004</v>
      </c>
      <c r="E146" s="2">
        <f>VLOOKUP(A146,'2.09.2021'!A$3:'2.09.2021'!I$202,5,)</f>
        <v>44282</v>
      </c>
      <c r="F146" s="2">
        <v>44448</v>
      </c>
      <c r="G146" s="23">
        <f>VLOOKUP(A146,'2.09.2021'!A$3:'2.09.2021'!I$202,7,)</f>
        <v>9.7916666666666666E-2</v>
      </c>
      <c r="H146" t="str">
        <f>VLOOKUP(A146,'2.09.2021'!A$3:'2.09.2021'!I$202,8,)</f>
        <v>R&amp;B/SOUL</v>
      </c>
      <c r="I146" t="str">
        <f>VLOOKUP(A146,'2.09.2021'!A$3:'2.09.2021'!I$202,9,)</f>
        <v>SUA</v>
      </c>
      <c r="J146" t="str">
        <f t="shared" si="7"/>
        <v>Nu</v>
      </c>
    </row>
    <row r="147" spans="1:10" x14ac:dyDescent="0.2">
      <c r="A147" t="s">
        <v>449</v>
      </c>
      <c r="B147" t="s">
        <v>76</v>
      </c>
      <c r="C147">
        <v>5888983</v>
      </c>
      <c r="D147" s="5">
        <f t="shared" si="6"/>
        <v>29444.915000000001</v>
      </c>
      <c r="E147" s="2">
        <f>VLOOKUP(A147,'2.09.2021'!A$3:'2.09.2021'!I$202,5,)</f>
        <v>44391</v>
      </c>
      <c r="F147" s="2">
        <v>44448</v>
      </c>
      <c r="G147" s="23">
        <f>VLOOKUP(A147,'2.09.2021'!A$3:'2.09.2021'!I$202,7,)</f>
        <v>0.10208333333333335</v>
      </c>
      <c r="H147" t="str">
        <f>VLOOKUP(A147,'2.09.2021'!A$3:'2.09.2021'!I$202,8,)</f>
        <v>LATIN URBAN</v>
      </c>
      <c r="I147" t="str">
        <f>VLOOKUP(A147,'2.09.2021'!A$3:'2.09.2021'!I$202,9,)</f>
        <v>Marea Britanie</v>
      </c>
      <c r="J147" t="str">
        <f t="shared" si="7"/>
        <v>Da</v>
      </c>
    </row>
    <row r="148" spans="1:10" x14ac:dyDescent="0.2">
      <c r="A148" t="s">
        <v>448</v>
      </c>
      <c r="B148" t="s">
        <v>207</v>
      </c>
      <c r="C148">
        <v>5865185</v>
      </c>
      <c r="D148" s="5">
        <f t="shared" si="6"/>
        <v>29325.925000000003</v>
      </c>
      <c r="E148" s="2">
        <f>VLOOKUP(A148,'2.09.2021'!A$3:'2.09.2021'!I$202,5,)</f>
        <v>44309</v>
      </c>
      <c r="F148" s="2">
        <v>44448</v>
      </c>
      <c r="G148" s="23">
        <f>VLOOKUP(A148,'2.09.2021'!A$3:'2.09.2021'!I$202,7,)</f>
        <v>0.13333333333333333</v>
      </c>
      <c r="H148" t="str">
        <f>VLOOKUP(A148,'2.09.2021'!A$3:'2.09.2021'!I$202,8,)</f>
        <v>LATIN</v>
      </c>
      <c r="I148" t="str">
        <f>VLOOKUP(A148,'2.09.2021'!A$3:'2.09.2021'!I$202,9,)</f>
        <v>SUA</v>
      </c>
      <c r="J148" t="str">
        <f t="shared" si="7"/>
        <v>Da</v>
      </c>
    </row>
    <row r="149" spans="1:10" x14ac:dyDescent="0.2">
      <c r="A149" t="s">
        <v>450</v>
      </c>
      <c r="B149" t="s">
        <v>55</v>
      </c>
      <c r="C149">
        <v>5864926</v>
      </c>
      <c r="D149" s="5">
        <f t="shared" si="6"/>
        <v>29324.63</v>
      </c>
      <c r="E149" s="2">
        <f>VLOOKUP(A149,'2.09.2021'!A$3:'2.09.2021'!I$202,5,)</f>
        <v>44435</v>
      </c>
      <c r="F149" s="2">
        <v>44448</v>
      </c>
      <c r="G149" s="23">
        <f>VLOOKUP(A149,'2.09.2021'!A$3:'2.09.2021'!I$202,7,)</f>
        <v>0.11388888888888889</v>
      </c>
      <c r="H149" t="str">
        <f>VLOOKUP(A149,'2.09.2021'!A$3:'2.09.2021'!I$202,8,)</f>
        <v>K-POP</v>
      </c>
      <c r="I149" t="str">
        <f>VLOOKUP(A149,'2.09.2021'!A$3:'2.09.2021'!I$202,9,)</f>
        <v>Korea de Sud</v>
      </c>
      <c r="J149" t="str">
        <f t="shared" si="7"/>
        <v>Da</v>
      </c>
    </row>
    <row r="150" spans="1:10" x14ac:dyDescent="0.2">
      <c r="A150" t="s">
        <v>223</v>
      </c>
      <c r="B150" t="s">
        <v>88</v>
      </c>
      <c r="C150">
        <v>5857501</v>
      </c>
      <c r="D150" s="5">
        <f t="shared" si="6"/>
        <v>29287.505000000001</v>
      </c>
      <c r="E150" s="2">
        <f>VLOOKUP(A150,'2.09.2021'!A$3:'2.09.2021'!I$202,5,)</f>
        <v>44351</v>
      </c>
      <c r="F150" s="2">
        <v>44448</v>
      </c>
      <c r="G150" s="23">
        <f>VLOOKUP(A150,'2.09.2021'!A$3:'2.09.2021'!I$202,7,)</f>
        <v>0.15347222222222223</v>
      </c>
      <c r="H150" t="str">
        <f>VLOOKUP(A150,'2.09.2021'!A$3:'2.09.2021'!I$202,8,)</f>
        <v>POP</v>
      </c>
      <c r="I150" t="str">
        <f>VLOOKUP(A150,'2.09.2021'!A$3:'2.09.2021'!I$202,9,)</f>
        <v>SUA</v>
      </c>
      <c r="J150" t="str">
        <f t="shared" si="7"/>
        <v>Nu</v>
      </c>
    </row>
    <row r="151" spans="1:10" x14ac:dyDescent="0.2">
      <c r="A151" t="s">
        <v>212</v>
      </c>
      <c r="B151" t="s">
        <v>213</v>
      </c>
      <c r="C151">
        <v>5850005</v>
      </c>
      <c r="D151" s="5">
        <f t="shared" si="6"/>
        <v>29250.025000000001</v>
      </c>
      <c r="E151" s="2">
        <f>VLOOKUP(A151,'2.09.2021'!A$3:'2.09.2021'!I$202,5,)</f>
        <v>44337</v>
      </c>
      <c r="F151" s="2">
        <v>44448</v>
      </c>
      <c r="G151" s="23">
        <f>VLOOKUP(A151,'2.09.2021'!A$3:'2.09.2021'!I$202,7,)</f>
        <v>0.22291666666666665</v>
      </c>
      <c r="H151" t="str">
        <f>VLOOKUP(A151,'2.09.2021'!A$3:'2.09.2021'!I$202,8,)</f>
        <v>LATIN URBAN</v>
      </c>
      <c r="I151" t="str">
        <f>VLOOKUP(A151,'2.09.2021'!A$3:'2.09.2021'!I$202,9,)</f>
        <v>Suedia</v>
      </c>
      <c r="J151" t="str">
        <f t="shared" si="7"/>
        <v>Nu</v>
      </c>
    </row>
    <row r="152" spans="1:10" x14ac:dyDescent="0.2">
      <c r="A152" t="s">
        <v>251</v>
      </c>
      <c r="B152" t="s">
        <v>229</v>
      </c>
      <c r="C152">
        <v>5848651</v>
      </c>
      <c r="D152" s="5">
        <f t="shared" si="6"/>
        <v>29243.254999999997</v>
      </c>
      <c r="E152" s="2">
        <f>VLOOKUP(A152,'2.09.2021'!A$3:'2.09.2021'!I$202,5,)</f>
        <v>44413</v>
      </c>
      <c r="F152" s="2">
        <v>44448</v>
      </c>
      <c r="G152" s="23">
        <f>VLOOKUP(A152,'2.09.2021'!A$3:'2.09.2021'!I$202,7,)</f>
        <v>0.12152777777777778</v>
      </c>
      <c r="H152" t="str">
        <f>VLOOKUP(A152,'2.09.2021'!A$3:'2.09.2021'!I$202,8,)</f>
        <v>HIP-HOP/RAP</v>
      </c>
      <c r="I152" t="str">
        <f>VLOOKUP(A152,'2.09.2021'!A$3:'2.09.2021'!I$202,9,)</f>
        <v>SUA</v>
      </c>
      <c r="J152" t="str">
        <f t="shared" si="7"/>
        <v>Nu</v>
      </c>
    </row>
    <row r="153" spans="1:10" x14ac:dyDescent="0.2">
      <c r="A153" t="s">
        <v>201</v>
      </c>
      <c r="B153" t="s">
        <v>202</v>
      </c>
      <c r="C153">
        <v>5835230</v>
      </c>
      <c r="D153" s="5">
        <f t="shared" si="6"/>
        <v>29176.149999999998</v>
      </c>
      <c r="E153" s="2">
        <f>VLOOKUP(A153,'30.09.2021'!A$3:'30.09.2021'!I$202,5,)</f>
        <v>44366</v>
      </c>
      <c r="F153" s="2">
        <v>44448</v>
      </c>
      <c r="G153" s="23">
        <f>VLOOKUP(A153,'30.09.2021'!A$3:'30.09.2021'!I$202,7,)</f>
        <v>0.11805555555555557</v>
      </c>
      <c r="H153" t="str">
        <f>VLOOKUP(A153,'30.09.2021'!A$3:'30.09.2021'!I$202,8,)</f>
        <v>POP</v>
      </c>
      <c r="I153" t="str">
        <f>VLOOKUP(A153,'30.09.2021'!A$3:'30.09.2021'!I$202,9,)</f>
        <v>SUA</v>
      </c>
      <c r="J153" t="str">
        <f t="shared" si="7"/>
        <v>Nu</v>
      </c>
    </row>
    <row r="154" spans="1:10" x14ac:dyDescent="0.2">
      <c r="A154" t="s">
        <v>249</v>
      </c>
      <c r="B154" t="s">
        <v>250</v>
      </c>
      <c r="C154">
        <v>5834527</v>
      </c>
      <c r="D154" s="5">
        <f t="shared" si="6"/>
        <v>29172.635000000002</v>
      </c>
      <c r="E154" s="2">
        <f>VLOOKUP(A154,'2.09.2021'!A$3:'2.09.2021'!I$202,5,)</f>
        <v>44340</v>
      </c>
      <c r="F154" s="2">
        <v>44448</v>
      </c>
      <c r="G154" s="23">
        <f>VLOOKUP(A154,'2.09.2021'!A$3:'2.09.2021'!I$202,7,)</f>
        <v>0.23541666666666669</v>
      </c>
      <c r="H154" t="str">
        <f>VLOOKUP(A154,'2.09.2021'!A$3:'2.09.2021'!I$202,8,)</f>
        <v>LATIN URBAN</v>
      </c>
      <c r="I154" t="str">
        <f>VLOOKUP(A154,'2.09.2021'!A$3:'2.09.2021'!I$202,9,)</f>
        <v>Suedia</v>
      </c>
      <c r="J154" t="str">
        <f t="shared" si="7"/>
        <v>Da</v>
      </c>
    </row>
    <row r="155" spans="1:10" x14ac:dyDescent="0.2">
      <c r="A155" t="s">
        <v>259</v>
      </c>
      <c r="B155" t="s">
        <v>260</v>
      </c>
      <c r="C155">
        <v>5825908</v>
      </c>
      <c r="D155" s="5">
        <f t="shared" si="6"/>
        <v>29129.54</v>
      </c>
      <c r="E155" s="2">
        <f>VLOOKUP(A155,'30.09.2021'!A$3:'30.09.2021'!I$202,5,)</f>
        <v>44397</v>
      </c>
      <c r="F155" s="2">
        <v>44448</v>
      </c>
      <c r="G155" s="23">
        <f>VLOOKUP(A155,'30.09.2021'!A$3:'30.09.2021'!I$202,7,)</f>
        <v>0.20555555555555557</v>
      </c>
      <c r="H155" t="str">
        <f>VLOOKUP(A155,'30.09.2021'!A$3:'30.09.2021'!I$202,8,)</f>
        <v>POP</v>
      </c>
      <c r="I155" t="str">
        <f>VLOOKUP(A155,'30.09.2021'!A$3:'30.09.2021'!I$202,9,)</f>
        <v>SUA</v>
      </c>
      <c r="J155" t="str">
        <f t="shared" si="7"/>
        <v>Da</v>
      </c>
    </row>
    <row r="156" spans="1:10" x14ac:dyDescent="0.2">
      <c r="A156" t="s">
        <v>167</v>
      </c>
      <c r="B156" t="s">
        <v>4</v>
      </c>
      <c r="C156">
        <v>5804106</v>
      </c>
      <c r="D156" s="5">
        <f t="shared" si="6"/>
        <v>29020.53</v>
      </c>
      <c r="E156" s="2">
        <f>VLOOKUP(A156,'2.09.2021'!A$3:'2.09.2021'!I$202,5,)</f>
        <v>44437</v>
      </c>
      <c r="F156" s="2">
        <v>44448</v>
      </c>
      <c r="G156" s="23">
        <f>VLOOKUP(A156,'2.09.2021'!A$3:'2.09.2021'!I$202,7,)</f>
        <v>0.20625000000000002</v>
      </c>
      <c r="H156" t="str">
        <f>VLOOKUP(A156,'2.09.2021'!A$3:'2.09.2021'!I$202,8,)</f>
        <v>RHYTHM &amp; BLUES</v>
      </c>
      <c r="I156" t="str">
        <f>VLOOKUP(A156,'2.09.2021'!A$3:'2.09.2021'!I$202,9,)</f>
        <v>Marea Britanie</v>
      </c>
      <c r="J156" t="str">
        <f t="shared" si="7"/>
        <v>Nu</v>
      </c>
    </row>
    <row r="157" spans="1:10" x14ac:dyDescent="0.2">
      <c r="A157" t="s">
        <v>234</v>
      </c>
      <c r="B157" t="s">
        <v>235</v>
      </c>
      <c r="C157">
        <v>5801692</v>
      </c>
      <c r="D157" s="5">
        <f t="shared" si="6"/>
        <v>29008.46</v>
      </c>
      <c r="E157" s="2">
        <f>VLOOKUP(A157,'2.09.2021'!A$3:'2.09.2021'!I$202,5,)</f>
        <v>44285</v>
      </c>
      <c r="F157" s="2">
        <v>44448</v>
      </c>
      <c r="G157" s="23">
        <f>VLOOKUP(A157,'2.09.2021'!A$3:'2.09.2021'!I$202,7,)</f>
        <v>0.12708333333333333</v>
      </c>
      <c r="H157" t="str">
        <f>VLOOKUP(A157,'2.09.2021'!A$3:'2.09.2021'!I$202,8,)</f>
        <v>HIP-HOP/RAP</v>
      </c>
      <c r="I157" t="str">
        <f>VLOOKUP(A157,'2.09.2021'!A$3:'2.09.2021'!I$202,9,)</f>
        <v>Marea Britanie</v>
      </c>
      <c r="J157" t="str">
        <f t="shared" si="7"/>
        <v>Nu</v>
      </c>
    </row>
    <row r="158" spans="1:10" x14ac:dyDescent="0.2">
      <c r="A158" t="s">
        <v>199</v>
      </c>
      <c r="B158" t="s">
        <v>200</v>
      </c>
      <c r="C158">
        <v>5784976</v>
      </c>
      <c r="D158" s="5">
        <f t="shared" si="6"/>
        <v>28924.879999999997</v>
      </c>
      <c r="E158" s="2">
        <f>VLOOKUP(A158,'30.09.2021'!A$3:'30.09.2021'!I$202,5,)</f>
        <v>36603</v>
      </c>
      <c r="F158" s="2">
        <v>44448</v>
      </c>
      <c r="G158" s="23">
        <f>VLOOKUP(A158,'30.09.2021'!A$3:'30.09.2021'!I$202,7,)</f>
        <v>0.19722222222222222</v>
      </c>
      <c r="H158" t="str">
        <f>VLOOKUP(A158,'30.09.2021'!A$3:'30.09.2021'!I$202,8,)</f>
        <v>HIP-HOP/RAP</v>
      </c>
      <c r="I158" t="str">
        <f>VLOOKUP(A158,'30.09.2021'!A$3:'30.09.2021'!I$202,9,)</f>
        <v>SUA</v>
      </c>
      <c r="J158" t="str">
        <f t="shared" si="7"/>
        <v>Nu</v>
      </c>
    </row>
    <row r="159" spans="1:10" x14ac:dyDescent="0.2">
      <c r="A159" t="s">
        <v>210</v>
      </c>
      <c r="B159" t="s">
        <v>211</v>
      </c>
      <c r="C159">
        <v>5783797</v>
      </c>
      <c r="D159" s="5">
        <f t="shared" si="6"/>
        <v>28918.984999999997</v>
      </c>
      <c r="E159" s="2">
        <f>VLOOKUP(A159,'2.09.2021'!A$3:'2.09.2021'!I$202,5,)</f>
        <v>44456</v>
      </c>
      <c r="F159" s="2">
        <v>44448</v>
      </c>
      <c r="G159" s="23">
        <f>VLOOKUP(A159,'2.09.2021'!A$3:'2.09.2021'!I$202,7,)</f>
        <v>0.12361111111111112</v>
      </c>
      <c r="H159" t="str">
        <f>VLOOKUP(A159,'2.09.2021'!A$3:'2.09.2021'!I$202,8,)</f>
        <v>ROCK</v>
      </c>
      <c r="I159" t="str">
        <f>VLOOKUP(A159,'2.09.2021'!A$3:'2.09.2021'!I$202,9,)</f>
        <v>SUA</v>
      </c>
      <c r="J159" t="str">
        <f t="shared" si="7"/>
        <v>Nu</v>
      </c>
    </row>
    <row r="160" spans="1:10" x14ac:dyDescent="0.2">
      <c r="A160" t="s">
        <v>214</v>
      </c>
      <c r="B160" t="s">
        <v>215</v>
      </c>
      <c r="C160">
        <v>5775348</v>
      </c>
      <c r="D160" s="5">
        <f t="shared" si="6"/>
        <v>28876.739999999998</v>
      </c>
      <c r="E160" s="2">
        <f>VLOOKUP(A160,'30.09.2021'!A$3:'30.09.2021'!I$202,5,)</f>
        <v>44297</v>
      </c>
      <c r="F160" s="2">
        <v>44448</v>
      </c>
      <c r="G160" s="23">
        <f>VLOOKUP(A160,'30.09.2021'!A$3:'30.09.2021'!I$202,7,)</f>
        <v>0.10555555555555556</v>
      </c>
      <c r="H160" t="str">
        <f>VLOOKUP(A160,'30.09.2021'!A$3:'30.09.2021'!I$202,8,)</f>
        <v>LATIN URBAN</v>
      </c>
      <c r="I160" t="str">
        <f>VLOOKUP(A160,'30.09.2021'!A$3:'30.09.2021'!I$202,9,)</f>
        <v>Panama</v>
      </c>
      <c r="J160" t="str">
        <f t="shared" si="7"/>
        <v>Nu</v>
      </c>
    </row>
    <row r="161" spans="1:10" x14ac:dyDescent="0.2">
      <c r="A161" t="s">
        <v>174</v>
      </c>
      <c r="B161" t="s">
        <v>175</v>
      </c>
      <c r="C161">
        <v>5770573</v>
      </c>
      <c r="D161" s="5">
        <f t="shared" si="6"/>
        <v>28852.865000000002</v>
      </c>
      <c r="E161" s="2">
        <f>VLOOKUP(A161,'30.09.2021'!A$3:'30.09.2021'!I$202,5,)</f>
        <v>44440</v>
      </c>
      <c r="F161" s="2">
        <v>44448</v>
      </c>
      <c r="G161" s="23">
        <f>VLOOKUP(A161,'30.09.2021'!A$3:'30.09.2021'!I$202,7,)</f>
        <v>0.14097222222222222</v>
      </c>
      <c r="H161" t="str">
        <f>VLOOKUP(A161,'30.09.2021'!A$3:'30.09.2021'!I$202,8,)</f>
        <v>HIP-HOP/RAP</v>
      </c>
      <c r="I161" t="str">
        <f>VLOOKUP(A161,'30.09.2021'!A$3:'30.09.2021'!I$202,9,)</f>
        <v>SUA</v>
      </c>
      <c r="J161" t="str">
        <f t="shared" si="7"/>
        <v>Nu</v>
      </c>
    </row>
    <row r="162" spans="1:10" x14ac:dyDescent="0.2">
      <c r="A162" t="s">
        <v>203</v>
      </c>
      <c r="B162" t="s">
        <v>204</v>
      </c>
      <c r="C162">
        <v>5767379</v>
      </c>
      <c r="D162" s="5">
        <f t="shared" si="6"/>
        <v>28836.895</v>
      </c>
      <c r="E162" s="2">
        <f>VLOOKUP(A162,'2.09.2021'!A$3:'2.09.2021'!I$202,5,)</f>
        <v>44254</v>
      </c>
      <c r="F162" s="2">
        <v>44448</v>
      </c>
      <c r="G162" s="23">
        <f>VLOOKUP(A162,'2.09.2021'!A$3:'2.09.2021'!I$202,7,)</f>
        <v>0.15277777777777776</v>
      </c>
      <c r="H162" t="str">
        <f>VLOOKUP(A162,'2.09.2021'!A$3:'2.09.2021'!I$202,8,)</f>
        <v>K-POP</v>
      </c>
      <c r="I162" t="str">
        <f>VLOOKUP(A162,'2.09.2021'!A$3:'2.09.2021'!I$202,9,)</f>
        <v>SUA</v>
      </c>
      <c r="J162" t="str">
        <f>IF(ISNUMBER(SEARCH("with",A162)),"Da","Nu")</f>
        <v>Nu</v>
      </c>
    </row>
    <row r="163" spans="1:10" x14ac:dyDescent="0.2">
      <c r="A163" t="s">
        <v>264</v>
      </c>
      <c r="B163" t="s">
        <v>265</v>
      </c>
      <c r="C163">
        <v>5757943</v>
      </c>
      <c r="D163" s="5">
        <f t="shared" ref="D163:D194" si="8">(C163/1000*5)</f>
        <v>28789.715</v>
      </c>
      <c r="E163" s="2">
        <f>VLOOKUP(A163,'2.09.2021'!A$3:'2.09.2021'!I$202,5,)</f>
        <v>44414</v>
      </c>
      <c r="F163" s="2">
        <v>44448</v>
      </c>
      <c r="G163" s="23">
        <f>VLOOKUP(A163,'2.09.2021'!A$3:'2.09.2021'!I$202,7,)</f>
        <v>0.12013888888888889</v>
      </c>
      <c r="H163" t="str">
        <f>VLOOKUP(A163,'2.09.2021'!A$3:'2.09.2021'!I$202,8,)</f>
        <v>LATIN URBAN</v>
      </c>
      <c r="I163" t="str">
        <f>VLOOKUP(A163,'2.09.2021'!A$3:'2.09.2021'!I$202,9,)</f>
        <v>Australia</v>
      </c>
      <c r="J163" t="str">
        <f t="shared" ref="J163:J202" si="9">IF(ISNUMBER(SEARCH("with",A163)),"Da","Nu")</f>
        <v>Nu</v>
      </c>
    </row>
    <row r="164" spans="1:10" x14ac:dyDescent="0.2">
      <c r="A164" t="s">
        <v>216</v>
      </c>
      <c r="B164" t="s">
        <v>217</v>
      </c>
      <c r="C164">
        <v>5745243</v>
      </c>
      <c r="D164" s="5">
        <f t="shared" si="8"/>
        <v>28726.215000000004</v>
      </c>
      <c r="E164" s="2">
        <f>VLOOKUP(A164,'2.09.2021'!A$3:'2.09.2021'!I$202,5,)</f>
        <v>44316</v>
      </c>
      <c r="F164" s="2">
        <v>44448</v>
      </c>
      <c r="G164" s="23">
        <f>VLOOKUP(A164,'2.09.2021'!A$3:'2.09.2021'!I$202,7,)</f>
        <v>0.14305555555555557</v>
      </c>
      <c r="H164" t="str">
        <f>VLOOKUP(A164,'2.09.2021'!A$3:'2.09.2021'!I$202,8,)</f>
        <v>LATIN</v>
      </c>
      <c r="I164" t="str">
        <f>VLOOKUP(A164,'2.09.2021'!A$3:'2.09.2021'!I$202,9,)</f>
        <v>Canada</v>
      </c>
      <c r="J164" t="str">
        <f t="shared" si="9"/>
        <v>Nu</v>
      </c>
    </row>
    <row r="165" spans="1:10" x14ac:dyDescent="0.2">
      <c r="A165" t="s">
        <v>226</v>
      </c>
      <c r="B165" t="s">
        <v>227</v>
      </c>
      <c r="C165">
        <v>5743636</v>
      </c>
      <c r="D165" s="5">
        <f t="shared" si="8"/>
        <v>28718.18</v>
      </c>
      <c r="E165" s="2">
        <f>VLOOKUP(A165,'2.09.2021'!A$3:'2.09.2021'!I$202,5,)</f>
        <v>44437</v>
      </c>
      <c r="F165" s="2">
        <v>44448</v>
      </c>
      <c r="G165" s="23">
        <f>VLOOKUP(A165,'2.09.2021'!A$3:'2.09.2021'!I$202,7,)</f>
        <v>0.19930555555555554</v>
      </c>
      <c r="H165" t="str">
        <f>VLOOKUP(A165,'2.09.2021'!A$3:'2.09.2021'!I$202,8,)</f>
        <v>LATIN URBAN</v>
      </c>
      <c r="I165" t="str">
        <f>VLOOKUP(A165,'2.09.2021'!A$3:'2.09.2021'!I$202,9,)</f>
        <v>SUA</v>
      </c>
      <c r="J165" t="str">
        <f t="shared" si="9"/>
        <v>Nu</v>
      </c>
    </row>
    <row r="166" spans="1:10" x14ac:dyDescent="0.2">
      <c r="A166" t="s">
        <v>301</v>
      </c>
      <c r="B166" t="s">
        <v>20</v>
      </c>
      <c r="C166">
        <v>5735839</v>
      </c>
      <c r="D166" s="5">
        <f t="shared" si="8"/>
        <v>28679.195</v>
      </c>
      <c r="E166" s="2">
        <v>44328</v>
      </c>
      <c r="F166" s="2">
        <v>44448</v>
      </c>
      <c r="G166" s="23">
        <v>0.14097222222222222</v>
      </c>
      <c r="H166" t="s">
        <v>423</v>
      </c>
      <c r="I166" t="s">
        <v>420</v>
      </c>
      <c r="J166" t="str">
        <f t="shared" si="9"/>
        <v>Nu</v>
      </c>
    </row>
    <row r="167" spans="1:10" x14ac:dyDescent="0.2">
      <c r="A167" t="s">
        <v>239</v>
      </c>
      <c r="B167" t="s">
        <v>240</v>
      </c>
      <c r="C167">
        <v>5722577</v>
      </c>
      <c r="D167" s="5">
        <f t="shared" si="8"/>
        <v>28612.885000000002</v>
      </c>
      <c r="E167" s="2">
        <f>VLOOKUP(A167,'2.09.2021'!A$3:'2.09.2021'!I$202,5,)</f>
        <v>44407</v>
      </c>
      <c r="F167" s="2">
        <v>44448</v>
      </c>
      <c r="G167" s="23">
        <f>VLOOKUP(A167,'2.09.2021'!A$3:'2.09.2021'!I$202,7,)</f>
        <v>0.16874999999999998</v>
      </c>
      <c r="H167" t="str">
        <f>VLOOKUP(A167,'2.09.2021'!A$3:'2.09.2021'!I$202,8,)</f>
        <v>POP</v>
      </c>
      <c r="I167" t="str">
        <f>VLOOKUP(A167,'2.09.2021'!A$3:'2.09.2021'!I$202,9,)</f>
        <v>Irlanda</v>
      </c>
      <c r="J167" t="str">
        <f t="shared" si="9"/>
        <v>Nu</v>
      </c>
    </row>
    <row r="168" spans="1:10" x14ac:dyDescent="0.2">
      <c r="A168" t="s">
        <v>232</v>
      </c>
      <c r="B168" t="s">
        <v>233</v>
      </c>
      <c r="C168">
        <v>5716811</v>
      </c>
      <c r="D168" s="5">
        <f t="shared" si="8"/>
        <v>28584.055</v>
      </c>
      <c r="E168" s="2">
        <f>VLOOKUP(A168,'2.09.2021'!A$3:'2.09.2021'!I$202,5,)</f>
        <v>44389</v>
      </c>
      <c r="F168" s="2">
        <v>44448</v>
      </c>
      <c r="G168" s="23">
        <f>VLOOKUP(A168,'2.09.2021'!A$3:'2.09.2021'!I$202,7,)</f>
        <v>0.14097222222222222</v>
      </c>
      <c r="H168" t="str">
        <f>VLOOKUP(A168,'2.09.2021'!A$3:'2.09.2021'!I$202,8,)</f>
        <v>POP</v>
      </c>
      <c r="I168" t="str">
        <f>VLOOKUP(A168,'2.09.2021'!A$3:'2.09.2021'!I$202,9,)</f>
        <v>SUA</v>
      </c>
      <c r="J168" t="str">
        <f t="shared" si="9"/>
        <v>Nu</v>
      </c>
    </row>
    <row r="169" spans="1:10" x14ac:dyDescent="0.2">
      <c r="A169" t="s">
        <v>228</v>
      </c>
      <c r="B169" t="s">
        <v>229</v>
      </c>
      <c r="C169">
        <v>5716347</v>
      </c>
      <c r="D169" s="5">
        <f t="shared" si="8"/>
        <v>28581.735000000001</v>
      </c>
      <c r="E169" s="2">
        <f>VLOOKUP(A169,'2.09.2021'!A$3:'2.09.2021'!I$202,5,)</f>
        <v>44336</v>
      </c>
      <c r="F169" s="2">
        <v>44448</v>
      </c>
      <c r="G169" s="23">
        <f>VLOOKUP(A169,'2.09.2021'!A$3:'2.09.2021'!I$202,7,)</f>
        <v>9.7916666666666666E-2</v>
      </c>
      <c r="H169" t="str">
        <f>VLOOKUP(A169,'2.09.2021'!A$3:'2.09.2021'!I$202,8,)</f>
        <v>DANCE</v>
      </c>
      <c r="I169" t="str">
        <f>VLOOKUP(A169,'2.09.2021'!A$3:'2.09.2021'!I$202,9,)</f>
        <v>SUA</v>
      </c>
      <c r="J169" t="str">
        <f t="shared" si="9"/>
        <v>Nu</v>
      </c>
    </row>
    <row r="170" spans="1:10" x14ac:dyDescent="0.2">
      <c r="A170" t="s">
        <v>189</v>
      </c>
      <c r="B170" t="s">
        <v>190</v>
      </c>
      <c r="C170">
        <v>5713442</v>
      </c>
      <c r="D170" s="5">
        <f t="shared" si="8"/>
        <v>28567.21</v>
      </c>
      <c r="E170" s="2">
        <f>VLOOKUP(A170,'30.09.2021'!A$3:'30.09.2021'!I$202,5,)</f>
        <v>44246</v>
      </c>
      <c r="F170" s="2">
        <v>44448</v>
      </c>
      <c r="G170" s="23">
        <f>VLOOKUP(A170,'30.09.2021'!A$3:'30.09.2021'!I$202,7,)</f>
        <v>9.8611111111111108E-2</v>
      </c>
      <c r="H170" t="str">
        <f>VLOOKUP(A170,'30.09.2021'!A$3:'30.09.2021'!I$202,8,)</f>
        <v>LATIN</v>
      </c>
      <c r="I170" t="str">
        <f>VLOOKUP(A170,'30.09.2021'!A$3:'30.09.2021'!I$202,9,)</f>
        <v>Columbia</v>
      </c>
      <c r="J170" t="str">
        <f t="shared" si="9"/>
        <v>Nu</v>
      </c>
    </row>
    <row r="171" spans="1:10" x14ac:dyDescent="0.2">
      <c r="A171" t="s">
        <v>245</v>
      </c>
      <c r="B171" t="s">
        <v>246</v>
      </c>
      <c r="C171">
        <v>5704490</v>
      </c>
      <c r="D171" s="5">
        <f t="shared" si="8"/>
        <v>28522.449999999997</v>
      </c>
      <c r="E171" s="2">
        <f>VLOOKUP(A171,'2.09.2021'!A$3:'2.09.2021'!I$202,5,)</f>
        <v>44244</v>
      </c>
      <c r="F171" s="2">
        <v>44448</v>
      </c>
      <c r="G171" s="23">
        <f>VLOOKUP(A171,'2.09.2021'!A$3:'2.09.2021'!I$202,7,)</f>
        <v>0.12013888888888889</v>
      </c>
      <c r="H171" t="str">
        <f>VLOOKUP(A171,'2.09.2021'!A$3:'2.09.2021'!I$202,8,)</f>
        <v>LATIN URBAN</v>
      </c>
      <c r="I171" t="str">
        <f>VLOOKUP(A171,'2.09.2021'!A$3:'2.09.2021'!I$202,9,)</f>
        <v>Australia</v>
      </c>
      <c r="J171" t="str">
        <f t="shared" si="9"/>
        <v>Nu</v>
      </c>
    </row>
    <row r="172" spans="1:10" x14ac:dyDescent="0.2">
      <c r="A172" t="s">
        <v>224</v>
      </c>
      <c r="B172" t="s">
        <v>225</v>
      </c>
      <c r="C172">
        <v>5699706</v>
      </c>
      <c r="D172" s="5">
        <f t="shared" si="8"/>
        <v>28498.53</v>
      </c>
      <c r="E172" s="2">
        <f>VLOOKUP(A172,'2.09.2021'!A$3:'2.09.2021'!I$202,5,)</f>
        <v>44460</v>
      </c>
      <c r="F172" s="2">
        <v>44448</v>
      </c>
      <c r="G172" s="23">
        <f>VLOOKUP(A172,'2.09.2021'!A$3:'2.09.2021'!I$202,7,)</f>
        <v>0.15694444444444444</v>
      </c>
      <c r="H172" t="str">
        <f>VLOOKUP(A172,'2.09.2021'!A$3:'2.09.2021'!I$202,8,)</f>
        <v>HIP-HOP/RAP</v>
      </c>
      <c r="I172" t="str">
        <f>VLOOKUP(A172,'2.09.2021'!A$3:'2.09.2021'!I$202,9,)</f>
        <v>Marea Britanie</v>
      </c>
      <c r="J172" t="str">
        <f t="shared" si="9"/>
        <v>Nu</v>
      </c>
    </row>
    <row r="173" spans="1:10" x14ac:dyDescent="0.2">
      <c r="A173" t="s">
        <v>289</v>
      </c>
      <c r="B173" t="s">
        <v>62</v>
      </c>
      <c r="C173">
        <v>5699022</v>
      </c>
      <c r="D173" s="5">
        <f t="shared" si="8"/>
        <v>28495.11</v>
      </c>
      <c r="E173" s="2">
        <f>VLOOKUP(A173,'30.09.2021'!A$3:'30.09.2021'!I$202,5,)</f>
        <v>44400</v>
      </c>
      <c r="F173" s="2">
        <v>44448</v>
      </c>
      <c r="G173" s="23">
        <f>VLOOKUP(A173,'30.09.2021'!A$3:'30.09.2021'!I$202,7,)</f>
        <v>0.13958333333333334</v>
      </c>
      <c r="H173" t="str">
        <f>VLOOKUP(A173,'30.09.2021'!A$3:'30.09.2021'!I$202,8,)</f>
        <v>POP</v>
      </c>
      <c r="I173" t="str">
        <f>VLOOKUP(A173,'30.09.2021'!A$3:'30.09.2021'!I$202,9,)</f>
        <v>SUA</v>
      </c>
      <c r="J173" t="str">
        <f t="shared" si="9"/>
        <v>Nu</v>
      </c>
    </row>
    <row r="174" spans="1:10" x14ac:dyDescent="0.2">
      <c r="A174" t="s">
        <v>272</v>
      </c>
      <c r="B174" t="s">
        <v>273</v>
      </c>
      <c r="C174">
        <v>5683967</v>
      </c>
      <c r="D174" s="5">
        <f t="shared" si="8"/>
        <v>28419.834999999999</v>
      </c>
      <c r="E174" s="2">
        <f>VLOOKUP(A174,'2.09.2021'!A$3:'2.09.2021'!I$202,5,)</f>
        <v>44360</v>
      </c>
      <c r="F174" s="2">
        <v>44448</v>
      </c>
      <c r="G174" s="23">
        <f>VLOOKUP(A174,'2.09.2021'!A$3:'2.09.2021'!I$202,7,)</f>
        <v>0.15694444444444444</v>
      </c>
      <c r="H174" t="str">
        <f>VLOOKUP(A174,'2.09.2021'!A$3:'2.09.2021'!I$202,8,)</f>
        <v>POP</v>
      </c>
      <c r="I174" t="str">
        <f>VLOOKUP(A174,'2.09.2021'!A$3:'2.09.2021'!I$202,9,)</f>
        <v>India</v>
      </c>
      <c r="J174" t="str">
        <f t="shared" si="9"/>
        <v>Nu</v>
      </c>
    </row>
    <row r="175" spans="1:10" x14ac:dyDescent="0.2">
      <c r="A175" t="s">
        <v>452</v>
      </c>
      <c r="B175" t="s">
        <v>233</v>
      </c>
      <c r="C175">
        <v>5654594</v>
      </c>
      <c r="D175" s="5">
        <f t="shared" si="8"/>
        <v>28272.97</v>
      </c>
      <c r="E175" s="2">
        <f>VLOOKUP(A175,'2.09.2021'!A$3:'2.09.2021'!I$202,5,)</f>
        <v>44341</v>
      </c>
      <c r="F175" s="2">
        <v>44448</v>
      </c>
      <c r="G175" s="23">
        <f>VLOOKUP(A175,'2.09.2021'!A$3:'2.09.2021'!I$202,7,)</f>
        <v>0.14097222222222222</v>
      </c>
      <c r="H175" t="str">
        <f>VLOOKUP(A175,'2.09.2021'!A$3:'2.09.2021'!I$202,8,)</f>
        <v>HIP-HOP/RAP</v>
      </c>
      <c r="I175" t="str">
        <f>VLOOKUP(A175,'2.09.2021'!A$3:'2.09.2021'!I$202,9,)</f>
        <v>SUA</v>
      </c>
      <c r="J175" t="str">
        <f t="shared" si="9"/>
        <v>Da</v>
      </c>
    </row>
    <row r="176" spans="1:10" x14ac:dyDescent="0.2">
      <c r="A176" t="s">
        <v>362</v>
      </c>
      <c r="B176" t="s">
        <v>2</v>
      </c>
      <c r="C176">
        <v>5646641</v>
      </c>
      <c r="D176" s="5">
        <f t="shared" si="8"/>
        <v>28233.204999999998</v>
      </c>
      <c r="E176" s="2">
        <v>44328</v>
      </c>
      <c r="F176" s="2">
        <v>44448</v>
      </c>
      <c r="G176" s="23">
        <v>0.11458333333333333</v>
      </c>
      <c r="H176" t="s">
        <v>423</v>
      </c>
      <c r="I176" t="s">
        <v>468</v>
      </c>
      <c r="J176" t="str">
        <f t="shared" si="9"/>
        <v>Nu</v>
      </c>
    </row>
    <row r="177" spans="1:10" x14ac:dyDescent="0.2">
      <c r="A177" t="s">
        <v>241</v>
      </c>
      <c r="B177" t="s">
        <v>242</v>
      </c>
      <c r="C177">
        <v>5632746</v>
      </c>
      <c r="D177" s="5">
        <f t="shared" si="8"/>
        <v>28163.73</v>
      </c>
      <c r="E177" s="2">
        <f>VLOOKUP(A177,'2.09.2021'!A$3:'2.09.2021'!I$202,5,)</f>
        <v>44377</v>
      </c>
      <c r="F177" s="2">
        <v>44448</v>
      </c>
      <c r="G177" s="23">
        <f>VLOOKUP(A177,'2.09.2021'!A$3:'2.09.2021'!I$202,7,)</f>
        <v>0.16527777777777777</v>
      </c>
      <c r="H177" t="str">
        <f>VLOOKUP(A177,'2.09.2021'!A$3:'2.09.2021'!I$202,8,)</f>
        <v>HIP-HOP/RAP</v>
      </c>
      <c r="I177" t="str">
        <f>VLOOKUP(A177,'2.09.2021'!A$3:'2.09.2021'!I$202,9,)</f>
        <v>Marea Britanie</v>
      </c>
      <c r="J177" t="str">
        <f t="shared" si="9"/>
        <v>Nu</v>
      </c>
    </row>
    <row r="178" spans="1:10" x14ac:dyDescent="0.2">
      <c r="A178" t="s">
        <v>254</v>
      </c>
      <c r="B178" t="s">
        <v>255</v>
      </c>
      <c r="C178">
        <v>5621978</v>
      </c>
      <c r="D178" s="5">
        <f t="shared" si="8"/>
        <v>28109.89</v>
      </c>
      <c r="E178" s="2">
        <f>VLOOKUP(A178,'2.09.2021'!A$3:'2.09.2021'!I$202,5,)</f>
        <v>44339</v>
      </c>
      <c r="F178" s="2">
        <v>44448</v>
      </c>
      <c r="G178" s="23">
        <f>VLOOKUP(A178,'2.09.2021'!A$3:'2.09.2021'!I$202,7,)</f>
        <v>0.24861111111111112</v>
      </c>
      <c r="H178" t="str">
        <f>VLOOKUP(A178,'2.09.2021'!A$3:'2.09.2021'!I$202,8,)</f>
        <v>ROCK</v>
      </c>
      <c r="I178" t="str">
        <f>VLOOKUP(A178,'2.09.2021'!A$3:'2.09.2021'!I$202,9,)</f>
        <v>Țara Galilor</v>
      </c>
      <c r="J178" t="str">
        <f t="shared" si="9"/>
        <v>Nu</v>
      </c>
    </row>
    <row r="179" spans="1:10" x14ac:dyDescent="0.2">
      <c r="A179" t="s">
        <v>453</v>
      </c>
      <c r="B179" t="s">
        <v>20</v>
      </c>
      <c r="C179">
        <v>5598555</v>
      </c>
      <c r="D179" s="5">
        <f t="shared" si="8"/>
        <v>27992.775000000001</v>
      </c>
      <c r="E179" s="2">
        <f>VLOOKUP(A179,'2.09.2021'!A$3:'2.09.2021'!I$202,5,)</f>
        <v>44381</v>
      </c>
      <c r="F179" s="2">
        <v>44448</v>
      </c>
      <c r="G179" s="23">
        <f>VLOOKUP(A179,'2.09.2021'!A$3:'2.09.2021'!I$202,7,)</f>
        <v>0.14444444444444446</v>
      </c>
      <c r="H179" t="str">
        <f>VLOOKUP(A179,'2.09.2021'!A$3:'2.09.2021'!I$202,8,)</f>
        <v>HIP-HOP/RAP</v>
      </c>
      <c r="I179" t="str">
        <f>VLOOKUP(A179,'2.09.2021'!A$3:'2.09.2021'!I$202,9,)</f>
        <v>Canada</v>
      </c>
      <c r="J179" t="str">
        <f t="shared" si="9"/>
        <v>Da</v>
      </c>
    </row>
    <row r="180" spans="1:10" x14ac:dyDescent="0.2">
      <c r="A180" t="s">
        <v>230</v>
      </c>
      <c r="B180" t="s">
        <v>231</v>
      </c>
      <c r="C180">
        <v>5579092</v>
      </c>
      <c r="D180" s="5">
        <f t="shared" si="8"/>
        <v>27895.46</v>
      </c>
      <c r="E180" s="2">
        <f>VLOOKUP(A180,'2.09.2021'!A$3:'2.09.2021'!I$202,5,)</f>
        <v>44339</v>
      </c>
      <c r="F180" s="2">
        <v>44448</v>
      </c>
      <c r="G180" s="23">
        <f>VLOOKUP(A180,'2.09.2021'!A$3:'2.09.2021'!I$202,7,)</f>
        <v>0.16805555555555554</v>
      </c>
      <c r="H180" t="str">
        <f>VLOOKUP(A180,'2.09.2021'!A$3:'2.09.2021'!I$202,8,)</f>
        <v>HIP-HOP/RAP</v>
      </c>
      <c r="I180" t="str">
        <f>VLOOKUP(A180,'2.09.2021'!A$3:'2.09.2021'!I$202,9,)</f>
        <v>Mexic</v>
      </c>
      <c r="J180" t="str">
        <f t="shared" si="9"/>
        <v>Nu</v>
      </c>
    </row>
    <row r="181" spans="1:10" x14ac:dyDescent="0.2">
      <c r="A181" t="s">
        <v>237</v>
      </c>
      <c r="B181" t="s">
        <v>238</v>
      </c>
      <c r="C181">
        <v>5530728</v>
      </c>
      <c r="D181" s="5">
        <f t="shared" si="8"/>
        <v>27653.64</v>
      </c>
      <c r="E181" s="2">
        <f>VLOOKUP(A181,'30.09.2021'!A$3:'30.09.2021'!I$202,5,)</f>
        <v>44230</v>
      </c>
      <c r="F181" s="2">
        <v>44448</v>
      </c>
      <c r="G181" s="23">
        <f>VLOOKUP(A181,'30.09.2021'!A$3:'30.09.2021'!I$202,7,)</f>
        <v>9.7916666666666666E-2</v>
      </c>
      <c r="H181" t="str">
        <f>VLOOKUP(A181,'30.09.2021'!A$3:'30.09.2021'!I$202,8,)</f>
        <v>LATIN URBAN</v>
      </c>
      <c r="I181" t="str">
        <f>VLOOKUP(A181,'30.09.2021'!A$3:'30.09.2021'!I$202,9,)</f>
        <v>Panama</v>
      </c>
      <c r="J181" t="str">
        <f t="shared" si="9"/>
        <v>Nu</v>
      </c>
    </row>
    <row r="182" spans="1:10" x14ac:dyDescent="0.2">
      <c r="A182" t="s">
        <v>263</v>
      </c>
      <c r="B182" t="s">
        <v>213</v>
      </c>
      <c r="C182">
        <v>5499650</v>
      </c>
      <c r="D182" s="5">
        <f t="shared" si="8"/>
        <v>27498.25</v>
      </c>
      <c r="E182" s="2">
        <f>VLOOKUP(A182,'2.09.2021'!A$3:'2.09.2021'!I$202,5,)</f>
        <v>44256</v>
      </c>
      <c r="F182" s="2">
        <v>44448</v>
      </c>
      <c r="G182" s="23">
        <f>VLOOKUP(A182,'2.09.2021'!A$3:'2.09.2021'!I$202,7,)</f>
        <v>0.13749999999999998</v>
      </c>
      <c r="H182" t="str">
        <f>VLOOKUP(A182,'2.09.2021'!A$3:'2.09.2021'!I$202,8,)</f>
        <v>HIP-HOP/RAP</v>
      </c>
      <c r="I182" t="str">
        <f>VLOOKUP(A182,'2.09.2021'!A$3:'2.09.2021'!I$202,9,)</f>
        <v>Suedia</v>
      </c>
      <c r="J182" t="str">
        <f t="shared" si="9"/>
        <v>Nu</v>
      </c>
    </row>
    <row r="183" spans="1:10" x14ac:dyDescent="0.2">
      <c r="A183" t="s">
        <v>253</v>
      </c>
      <c r="B183" t="s">
        <v>34</v>
      </c>
      <c r="C183">
        <v>5492402</v>
      </c>
      <c r="D183" s="5">
        <f t="shared" si="8"/>
        <v>27462.010000000002</v>
      </c>
      <c r="E183" s="2">
        <f>VLOOKUP(A183,'2.09.2021'!A$3:'2.09.2021'!I$202,5,)</f>
        <v>44454</v>
      </c>
      <c r="F183" s="2">
        <v>44448</v>
      </c>
      <c r="G183" s="23">
        <f>VLOOKUP(A183,'2.09.2021'!A$3:'2.09.2021'!I$202,7,)</f>
        <v>0.17500000000000002</v>
      </c>
      <c r="H183" t="str">
        <f>VLOOKUP(A183,'2.09.2021'!A$3:'2.09.2021'!I$202,8,)</f>
        <v>DANCE</v>
      </c>
      <c r="I183" t="str">
        <f>VLOOKUP(A183,'2.09.2021'!A$3:'2.09.2021'!I$202,9,)</f>
        <v>Puerto Rico</v>
      </c>
      <c r="J183" t="str">
        <f>IF(ISNUMBER(SEARCH("with",A183)),"Da","Nu")</f>
        <v>Nu</v>
      </c>
    </row>
    <row r="184" spans="1:10" x14ac:dyDescent="0.2">
      <c r="A184" t="s">
        <v>454</v>
      </c>
      <c r="B184" t="s">
        <v>279</v>
      </c>
      <c r="C184">
        <v>5491736</v>
      </c>
      <c r="D184" s="5">
        <f t="shared" si="8"/>
        <v>27458.68</v>
      </c>
      <c r="E184" s="2">
        <f>VLOOKUP(A184,'2.09.2021'!A$3:'2.09.2021'!I$202,5,)</f>
        <v>44383</v>
      </c>
      <c r="F184" s="2">
        <v>44448</v>
      </c>
      <c r="G184" s="23">
        <f>VLOOKUP(A184,'2.09.2021'!A$3:'2.09.2021'!I$202,7,)</f>
        <v>0.13958333333333334</v>
      </c>
      <c r="H184" t="str">
        <f>VLOOKUP(A184,'2.09.2021'!A$3:'2.09.2021'!I$202,8,)</f>
        <v>HIP-HOP/RAP</v>
      </c>
      <c r="I184" t="str">
        <f>VLOOKUP(A184,'2.09.2021'!A$3:'2.09.2021'!I$202,9,)</f>
        <v>Argentina</v>
      </c>
      <c r="J184" t="str">
        <f t="shared" si="9"/>
        <v>Da</v>
      </c>
    </row>
    <row r="185" spans="1:10" x14ac:dyDescent="0.2">
      <c r="A185" t="s">
        <v>252</v>
      </c>
      <c r="B185" t="s">
        <v>154</v>
      </c>
      <c r="C185">
        <v>5484067</v>
      </c>
      <c r="D185" s="5">
        <f t="shared" si="8"/>
        <v>27420.334999999999</v>
      </c>
      <c r="E185" s="2">
        <f>VLOOKUP(A185,'2.09.2021'!A$3:'2.09.2021'!I$202,5,)</f>
        <v>44338</v>
      </c>
      <c r="F185" s="2">
        <v>44448</v>
      </c>
      <c r="G185" s="23">
        <f>VLOOKUP(A185,'2.09.2021'!A$3:'2.09.2021'!I$202,7,)</f>
        <v>0.10069444444444443</v>
      </c>
      <c r="H185" t="str">
        <f>VLOOKUP(A185,'2.09.2021'!A$3:'2.09.2021'!I$202,8,)</f>
        <v>R&amp;B/SOUL</v>
      </c>
      <c r="I185" t="str">
        <f>VLOOKUP(A185,'2.09.2021'!A$3:'2.09.2021'!I$202,9,)</f>
        <v>SUA</v>
      </c>
      <c r="J185" t="str">
        <f t="shared" si="9"/>
        <v>Nu</v>
      </c>
    </row>
    <row r="186" spans="1:10" x14ac:dyDescent="0.2">
      <c r="A186" t="s">
        <v>270</v>
      </c>
      <c r="B186" t="s">
        <v>271</v>
      </c>
      <c r="C186">
        <v>5474919</v>
      </c>
      <c r="D186" s="5">
        <f t="shared" si="8"/>
        <v>27374.595000000001</v>
      </c>
      <c r="E186" s="2">
        <f>VLOOKUP(A186,'2.09.2021'!A$3:'2.09.2021'!I$202,5,)</f>
        <v>44309</v>
      </c>
      <c r="F186" s="2">
        <v>44448</v>
      </c>
      <c r="G186" s="23">
        <f>VLOOKUP(A186,'2.09.2021'!A$3:'2.09.2021'!I$202,7,)</f>
        <v>0.16805555555555554</v>
      </c>
      <c r="H186" t="str">
        <f>VLOOKUP(A186,'2.09.2021'!A$3:'2.09.2021'!I$202,8,)</f>
        <v>HIP-HOP/RAP</v>
      </c>
      <c r="I186" t="str">
        <f>VLOOKUP(A186,'2.09.2021'!A$3:'2.09.2021'!I$202,9,)</f>
        <v>SUA</v>
      </c>
      <c r="J186" t="str">
        <f t="shared" si="9"/>
        <v>Nu</v>
      </c>
    </row>
    <row r="187" spans="1:10" x14ac:dyDescent="0.2">
      <c r="A187" t="s">
        <v>261</v>
      </c>
      <c r="B187" t="s">
        <v>262</v>
      </c>
      <c r="C187">
        <v>5435438</v>
      </c>
      <c r="D187" s="5">
        <f t="shared" si="8"/>
        <v>27177.190000000002</v>
      </c>
      <c r="E187" s="2">
        <f>VLOOKUP(A187,'2.09.2021'!A$3:'2.09.2021'!I$202,5,)</f>
        <v>44259</v>
      </c>
      <c r="F187" s="2">
        <v>44448</v>
      </c>
      <c r="G187" s="23">
        <f>VLOOKUP(A187,'2.09.2021'!A$3:'2.09.2021'!I$202,7,)</f>
        <v>0.10833333333333334</v>
      </c>
      <c r="H187" t="str">
        <f>VLOOKUP(A187,'2.09.2021'!A$3:'2.09.2021'!I$202,8,)</f>
        <v>HIP-HOP/RAP</v>
      </c>
      <c r="I187" t="str">
        <f>VLOOKUP(A187,'2.09.2021'!A$3:'2.09.2021'!I$202,9,)</f>
        <v>Marea Britanie</v>
      </c>
      <c r="J187" t="str">
        <f t="shared" si="9"/>
        <v>Nu</v>
      </c>
    </row>
    <row r="188" spans="1:10" x14ac:dyDescent="0.2">
      <c r="A188" t="s">
        <v>268</v>
      </c>
      <c r="B188" t="s">
        <v>269</v>
      </c>
      <c r="C188">
        <v>5431486</v>
      </c>
      <c r="D188" s="5">
        <f t="shared" si="8"/>
        <v>27157.43</v>
      </c>
      <c r="E188" s="2">
        <f>VLOOKUP(A188,'16.09.2021'!A$3:'16.09.2021'!I$202,5,)</f>
        <v>44350</v>
      </c>
      <c r="F188" s="2">
        <v>44448</v>
      </c>
      <c r="G188" s="23">
        <f>VLOOKUP(A188,'2.09.2021'!A$3:'2.09.2021'!I$202,7,)</f>
        <v>0.14444444444444446</v>
      </c>
      <c r="H188" t="str">
        <f>VLOOKUP(A188,'2.09.2021'!A$3:'2.09.2021'!I$202,8,)</f>
        <v>HIP-HOP/RAP</v>
      </c>
      <c r="I188" t="str">
        <f>VLOOKUP(A188,'2.09.2021'!A$3:'2.09.2021'!I$202,9,)</f>
        <v>SUA</v>
      </c>
      <c r="J188" t="str">
        <f t="shared" si="9"/>
        <v>Nu</v>
      </c>
    </row>
    <row r="189" spans="1:10" x14ac:dyDescent="0.2">
      <c r="A189" t="s">
        <v>451</v>
      </c>
      <c r="B189" t="s">
        <v>244</v>
      </c>
      <c r="C189">
        <v>5425131</v>
      </c>
      <c r="D189" s="5">
        <f t="shared" si="8"/>
        <v>27125.655000000002</v>
      </c>
      <c r="E189" s="2">
        <f>VLOOKUP(A189,'16.09.2021'!A$3:'16.09.2021'!I$202,5,)</f>
        <v>44199</v>
      </c>
      <c r="F189" s="2">
        <v>44448</v>
      </c>
      <c r="G189" s="23">
        <f>VLOOKUP(A189,'16.09.2021'!A$3:'16.09.2021'!I$202,7,)</f>
        <v>0.12430555555555556</v>
      </c>
      <c r="H189" t="str">
        <f>VLOOKUP(A189,'16.09.2021'!A$3:'16.09.2021'!I$202,8,)</f>
        <v>HIP-HOP/RAP</v>
      </c>
      <c r="I189" t="str">
        <f>VLOOKUP(A189,'16.09.2021'!A$3:'16.09.2021'!I$202,9,)</f>
        <v>SUA</v>
      </c>
      <c r="J189" t="str">
        <f t="shared" si="9"/>
        <v>Da</v>
      </c>
    </row>
    <row r="190" spans="1:10" x14ac:dyDescent="0.2">
      <c r="A190" t="s">
        <v>292</v>
      </c>
      <c r="B190" t="s">
        <v>43</v>
      </c>
      <c r="C190">
        <v>5415289</v>
      </c>
      <c r="D190" s="5">
        <f t="shared" si="8"/>
        <v>27076.445</v>
      </c>
      <c r="E190" s="2">
        <f>VLOOKUP(A190,'2.09.2021'!A$3:'2.09.2021'!I$202,5,)</f>
        <v>44242</v>
      </c>
      <c r="F190" s="2">
        <v>44448</v>
      </c>
      <c r="G190" s="23">
        <f>VLOOKUP(A190,'2.09.2021'!A$3:'2.09.2021'!I$202,7,)</f>
        <v>0.14652777777777778</v>
      </c>
      <c r="H190" t="str">
        <f>VLOOKUP(A190,'2.09.2021'!A$3:'2.09.2021'!I$202,8,)</f>
        <v>RHYTHM &amp; BLUES</v>
      </c>
      <c r="I190" t="str">
        <f>VLOOKUP(A190,'2.09.2021'!A$3:'2.09.2021'!I$202,9,)</f>
        <v>Canada</v>
      </c>
      <c r="J190" t="str">
        <f t="shared" si="9"/>
        <v>Nu</v>
      </c>
    </row>
    <row r="191" spans="1:10" x14ac:dyDescent="0.2">
      <c r="A191" t="s">
        <v>456</v>
      </c>
      <c r="B191" t="s">
        <v>324</v>
      </c>
      <c r="C191">
        <v>5381289</v>
      </c>
      <c r="D191" s="5">
        <f t="shared" si="8"/>
        <v>26906.445</v>
      </c>
      <c r="E191" s="2">
        <f>VLOOKUP(A191,'2.09.2021'!A$3:'2.09.2021'!I$202,5,)</f>
        <v>44409</v>
      </c>
      <c r="F191" s="2">
        <v>44448</v>
      </c>
      <c r="G191" s="23">
        <f>VLOOKUP(A191,'2.09.2021'!A$3:'2.09.2021'!I$202,7,)</f>
        <v>8.5416666666666655E-2</v>
      </c>
      <c r="H191" t="str">
        <f>VLOOKUP(A191,'2.09.2021'!A$3:'2.09.2021'!I$202,8,)</f>
        <v>ROCK</v>
      </c>
      <c r="I191" t="str">
        <f>VLOOKUP(A191,'2.09.2021'!A$3:'2.09.2021'!I$202,9,)</f>
        <v>SUA</v>
      </c>
      <c r="J191" t="str">
        <f t="shared" si="9"/>
        <v>Da</v>
      </c>
    </row>
    <row r="192" spans="1:10" x14ac:dyDescent="0.2">
      <c r="A192" t="s">
        <v>243</v>
      </c>
      <c r="B192" t="s">
        <v>244</v>
      </c>
      <c r="C192">
        <v>5365588</v>
      </c>
      <c r="D192" s="5">
        <f t="shared" si="8"/>
        <v>26827.94</v>
      </c>
      <c r="E192" s="2">
        <f>VLOOKUP(A192,'16.09.2021'!A$3:'16.09.2021'!I$202,5,)</f>
        <v>44199</v>
      </c>
      <c r="F192" s="2">
        <v>44448</v>
      </c>
      <c r="G192" s="23">
        <f>VLOOKUP(A192,'16.09.2021'!A$3:'16.09.2021'!I$202,7,)</f>
        <v>9.930555555555555E-2</v>
      </c>
      <c r="H192" t="str">
        <f>VLOOKUP(A192,'16.09.2021'!A$3:'16.09.2021'!I$202,8,)</f>
        <v>hIP-HOP/RAP</v>
      </c>
      <c r="I192" t="str">
        <f>VLOOKUP(A192,'16.09.2021'!A$3:'16.09.2021'!I$202,9,)</f>
        <v>SUA</v>
      </c>
      <c r="J192" t="str">
        <f t="shared" si="9"/>
        <v>Nu</v>
      </c>
    </row>
    <row r="193" spans="1:10" x14ac:dyDescent="0.2">
      <c r="A193" t="s">
        <v>266</v>
      </c>
      <c r="B193" t="s">
        <v>267</v>
      </c>
      <c r="C193">
        <v>5361387</v>
      </c>
      <c r="D193" s="5">
        <f t="shared" si="8"/>
        <v>26806.934999999998</v>
      </c>
      <c r="E193" s="2">
        <f>VLOOKUP(A193,'16.09.2021'!A$3:'16.09.2021'!I$202,5,)</f>
        <v>43498</v>
      </c>
      <c r="F193" s="2">
        <v>44448</v>
      </c>
      <c r="G193" s="23">
        <f>VLOOKUP(A193,'16.09.2021'!A$3:'16.09.2021'!I$202,7,)</f>
        <v>0.14097222222222222</v>
      </c>
      <c r="H193" t="str">
        <f>VLOOKUP(A193,'16.09.2021'!A$3:'16.09.2021'!I$202,8,)</f>
        <v>POP</v>
      </c>
      <c r="I193" t="str">
        <f>VLOOKUP(A193,'16.09.2021'!A$3:'16.09.2021'!I$202,9,)</f>
        <v>Marea Britanie</v>
      </c>
      <c r="J193" t="str">
        <f t="shared" si="9"/>
        <v>Nu</v>
      </c>
    </row>
    <row r="194" spans="1:10" x14ac:dyDescent="0.2">
      <c r="A194" t="s">
        <v>298</v>
      </c>
      <c r="B194" t="s">
        <v>299</v>
      </c>
      <c r="C194">
        <v>5359388</v>
      </c>
      <c r="D194" s="5">
        <f t="shared" si="8"/>
        <v>26796.94</v>
      </c>
      <c r="E194" s="2">
        <f>VLOOKUP(A194,'16.09.2021'!A$3:'16.09.2021'!I$202,5,)</f>
        <v>44375</v>
      </c>
      <c r="F194" s="2">
        <v>44448</v>
      </c>
      <c r="G194" s="23">
        <f>VLOOKUP(A194,'16.09.2021'!A$3:'16.09.2021'!I$202,7,)</f>
        <v>0.13958333333333334</v>
      </c>
      <c r="H194" t="str">
        <f>VLOOKUP(A194,'16.09.2021'!A$3:'16.09.2021'!I$202,8,)</f>
        <v>LATIN URBAN</v>
      </c>
      <c r="I194" t="str">
        <f>VLOOKUP(A194,'16.09.2021'!A$3:'16.09.2021'!I$202,9,)</f>
        <v>Puerto Rico</v>
      </c>
      <c r="J194" t="str">
        <f t="shared" si="9"/>
        <v>Nu</v>
      </c>
    </row>
    <row r="195" spans="1:10" x14ac:dyDescent="0.2">
      <c r="A195" t="s">
        <v>275</v>
      </c>
      <c r="B195" t="s">
        <v>276</v>
      </c>
      <c r="C195">
        <v>5341858</v>
      </c>
      <c r="D195" s="5">
        <f t="shared" ref="D195:D202" si="10">(C195/1000*5)</f>
        <v>26709.29</v>
      </c>
      <c r="E195" s="2">
        <f>VLOOKUP(A195,'2.09.2021'!A$3:'2.09.2021'!I$202,5,)</f>
        <v>44209</v>
      </c>
      <c r="F195" s="2">
        <v>44448</v>
      </c>
      <c r="G195" s="23">
        <f>VLOOKUP(A195,'2.09.2021'!A$3:'2.09.2021'!I$202,7,)</f>
        <v>0.15902777777777777</v>
      </c>
      <c r="H195" t="str">
        <f>VLOOKUP(A195,'2.09.2021'!A$3:'2.09.2021'!I$202,8,)</f>
        <v>LATIN</v>
      </c>
      <c r="I195" t="str">
        <f>VLOOKUP(A195,'2.09.2021'!A$3:'2.09.2021'!I$202,9,)</f>
        <v>Franța</v>
      </c>
      <c r="J195" t="str">
        <f t="shared" si="9"/>
        <v>Nu</v>
      </c>
    </row>
    <row r="196" spans="1:10" x14ac:dyDescent="0.2">
      <c r="A196" t="s">
        <v>285</v>
      </c>
      <c r="B196" t="s">
        <v>286</v>
      </c>
      <c r="C196">
        <v>5335370</v>
      </c>
      <c r="D196" s="5">
        <f t="shared" si="10"/>
        <v>26676.85</v>
      </c>
      <c r="E196" s="2">
        <f>VLOOKUP(A196,'2.09.2021'!A$3:'2.09.2021'!I$202,5,)</f>
        <v>44439</v>
      </c>
      <c r="F196" s="2">
        <v>44448</v>
      </c>
      <c r="G196" s="23">
        <f>VLOOKUP(A196,'2.09.2021'!A$3:'2.09.2021'!I$202,7,)</f>
        <v>9.5833333333333326E-2</v>
      </c>
      <c r="H196" t="str">
        <f>VLOOKUP(A196,'2.09.2021'!A$3:'2.09.2021'!I$202,8,)</f>
        <v>HIP-HOP/RAP</v>
      </c>
      <c r="I196" t="str">
        <f>VLOOKUP(A196,'2.09.2021'!A$3:'2.09.2021'!I$202,9,)</f>
        <v>Marea Britanie</v>
      </c>
      <c r="J196" t="str">
        <f t="shared" si="9"/>
        <v>Nu</v>
      </c>
    </row>
    <row r="197" spans="1:10" x14ac:dyDescent="0.2">
      <c r="A197" t="s">
        <v>258</v>
      </c>
      <c r="B197" t="s">
        <v>23</v>
      </c>
      <c r="C197">
        <v>5333841</v>
      </c>
      <c r="D197" s="5">
        <f t="shared" si="10"/>
        <v>26669.205000000002</v>
      </c>
      <c r="E197" s="2">
        <f>VLOOKUP(A197,'2.09.2021'!A$3:'2.09.2021'!I$202,5,)</f>
        <v>44245</v>
      </c>
      <c r="F197" s="2">
        <v>44448</v>
      </c>
      <c r="G197" s="23">
        <f>VLOOKUP(A197,'2.09.2021'!A$3:'2.09.2021'!I$202,7,)</f>
        <v>0.11388888888888889</v>
      </c>
      <c r="H197" t="str">
        <f>VLOOKUP(A197,'2.09.2021'!A$3:'2.09.2021'!I$202,8,)</f>
        <v>LATIN URBAN</v>
      </c>
      <c r="I197" t="str">
        <f>VLOOKUP(A197,'2.09.2021'!A$3:'2.09.2021'!I$202,9,)</f>
        <v>SUA</v>
      </c>
      <c r="J197" t="str">
        <f t="shared" si="9"/>
        <v>Nu</v>
      </c>
    </row>
    <row r="198" spans="1:10" x14ac:dyDescent="0.2">
      <c r="A198" t="s">
        <v>300</v>
      </c>
      <c r="B198" t="s">
        <v>20</v>
      </c>
      <c r="C198">
        <v>5320793</v>
      </c>
      <c r="D198" s="5">
        <f t="shared" si="10"/>
        <v>26603.964999999997</v>
      </c>
      <c r="E198" s="2">
        <f>VLOOKUP(A198,'16.09.2021'!A$3:'16.09.2021'!I$202,5,)</f>
        <v>44460</v>
      </c>
      <c r="F198" s="2">
        <v>44448</v>
      </c>
      <c r="G198" s="23">
        <f>VLOOKUP(A198,'16.09.2021'!A$3:'16.09.2021'!I$202,7,)</f>
        <v>0.14305555555555557</v>
      </c>
      <c r="H198" t="str">
        <f>VLOOKUP(A198,'16.09.2021'!A$3:'16.09.2021'!I$202,8,)</f>
        <v>hIP-HOP/RAP</v>
      </c>
      <c r="I198" t="str">
        <f>VLOOKUP(A198,'16.09.2021'!A$3:'16.09.2021'!I$202,9,)</f>
        <v>Canada</v>
      </c>
      <c r="J198" t="str">
        <f t="shared" si="9"/>
        <v>Nu</v>
      </c>
    </row>
    <row r="199" spans="1:10" x14ac:dyDescent="0.2">
      <c r="A199" t="s">
        <v>295</v>
      </c>
      <c r="B199" t="s">
        <v>296</v>
      </c>
      <c r="C199">
        <v>5309756</v>
      </c>
      <c r="D199" s="5">
        <f t="shared" si="10"/>
        <v>26548.780000000002</v>
      </c>
      <c r="E199" s="2">
        <f>VLOOKUP(A199,'2.09.2021'!A$3:'2.09.2021'!I$202,5,)</f>
        <v>44214</v>
      </c>
      <c r="F199" s="2">
        <v>44448</v>
      </c>
      <c r="G199" s="23">
        <f>VLOOKUP(A199,'2.09.2021'!A$3:'2.09.2021'!I$202,7,)</f>
        <v>0.11388888888888889</v>
      </c>
      <c r="H199" t="str">
        <f>VLOOKUP(A199,'2.09.2021'!A$3:'2.09.2021'!I$202,8,)</f>
        <v>HIP-HOP/RAP</v>
      </c>
      <c r="I199" t="str">
        <f>VLOOKUP(A199,'2.09.2021'!A$3:'2.09.2021'!I$202,9,)</f>
        <v>Germania</v>
      </c>
      <c r="J199" t="str">
        <f t="shared" si="9"/>
        <v>Nu</v>
      </c>
    </row>
    <row r="200" spans="1:10" x14ac:dyDescent="0.2">
      <c r="A200" t="s">
        <v>336</v>
      </c>
      <c r="B200" t="s">
        <v>337</v>
      </c>
      <c r="C200">
        <v>5304766</v>
      </c>
      <c r="D200" s="5">
        <f t="shared" si="10"/>
        <v>26523.829999999998</v>
      </c>
      <c r="E200" s="2">
        <f>VLOOKUP(A200,'2.09.2021'!A$3:'2.09.2021'!I$202,5,)</f>
        <v>44304</v>
      </c>
      <c r="F200" s="2">
        <v>44448</v>
      </c>
      <c r="G200" s="23">
        <f>VLOOKUP(A200,'2.09.2021'!A$3:'2.09.2021'!I$202,7,)</f>
        <v>0.14930555555555555</v>
      </c>
      <c r="H200" t="str">
        <f>VLOOKUP(A200,'2.09.2021'!A$3:'2.09.2021'!I$202,8,)</f>
        <v>HIP-HOP/RAP</v>
      </c>
      <c r="I200" t="str">
        <f>VLOOKUP(A200,'2.09.2021'!A$3:'2.09.2021'!I$202,9,)</f>
        <v>Puerto Rico</v>
      </c>
      <c r="J200" t="str">
        <f t="shared" si="9"/>
        <v>Nu</v>
      </c>
    </row>
    <row r="201" spans="1:10" x14ac:dyDescent="0.2">
      <c r="A201" t="s">
        <v>290</v>
      </c>
      <c r="B201" t="s">
        <v>158</v>
      </c>
      <c r="C201">
        <v>5298156</v>
      </c>
      <c r="D201" s="5">
        <f t="shared" si="10"/>
        <v>26490.78</v>
      </c>
      <c r="E201" s="2">
        <f>VLOOKUP(A201,'2.09.2021'!A$3:'2.09.2021'!I$202,5,)</f>
        <v>44208</v>
      </c>
      <c r="F201" s="2">
        <v>44448</v>
      </c>
      <c r="G201" s="23">
        <f>VLOOKUP(A201,'2.09.2021'!A$3:'2.09.2021'!I$202,7,)</f>
        <v>0.16527777777777777</v>
      </c>
      <c r="H201" t="str">
        <f>VLOOKUP(A201,'2.09.2021'!A$3:'2.09.2021'!I$202,8,)</f>
        <v>ROCK</v>
      </c>
      <c r="I201" t="str">
        <f>VLOOKUP(A201,'2.09.2021'!A$3:'2.09.2021'!I$202,9,)</f>
        <v>SUA</v>
      </c>
      <c r="J201" t="str">
        <f t="shared" si="9"/>
        <v>Nu</v>
      </c>
    </row>
    <row r="202" spans="1:10" x14ac:dyDescent="0.2">
      <c r="A202" t="s">
        <v>277</v>
      </c>
      <c r="B202" t="s">
        <v>69</v>
      </c>
      <c r="C202">
        <v>5246602</v>
      </c>
      <c r="D202" s="5">
        <f t="shared" si="10"/>
        <v>26233.01</v>
      </c>
      <c r="E202" s="2">
        <f>VLOOKUP(A202,'2.09.2021'!A$3:'2.09.2021'!I$202,5,)</f>
        <v>44248</v>
      </c>
      <c r="F202" s="2">
        <v>44448</v>
      </c>
      <c r="G202" s="23">
        <f>VLOOKUP(A202,'2.09.2021'!A$3:'2.09.2021'!I$202,7,)</f>
        <v>0.15972222222222224</v>
      </c>
      <c r="H202" t="str">
        <f>VLOOKUP(A202,'2.09.2021'!A$3:'2.09.2021'!I$202,8,)</f>
        <v>HIP-HOP/RAP</v>
      </c>
      <c r="I202" t="str">
        <f>VLOOKUP(A202,'2.09.2021'!A$3:'2.09.2021'!I$202,9,)</f>
        <v>Columbia</v>
      </c>
      <c r="J202" t="str">
        <f t="shared" si="9"/>
        <v>Nu</v>
      </c>
    </row>
    <row r="205" spans="1:10" x14ac:dyDescent="0.2">
      <c r="C205" s="1" t="s">
        <v>402</v>
      </c>
      <c r="D205" s="1" t="s">
        <v>411</v>
      </c>
    </row>
    <row r="206" spans="1:10" x14ac:dyDescent="0.2">
      <c r="C206" s="1">
        <f>AVERAGE(C3:C202)</f>
        <v>9870185.8300000001</v>
      </c>
      <c r="D206" s="6">
        <f>SUM(D3:D202)/200</f>
        <v>49350.929150000011</v>
      </c>
    </row>
    <row r="207" spans="1:10" x14ac:dyDescent="0.2">
      <c r="C207" s="1"/>
      <c r="D207" s="1"/>
    </row>
    <row r="208" spans="1:10" x14ac:dyDescent="0.2">
      <c r="C208" s="1" t="s">
        <v>403</v>
      </c>
      <c r="D208" s="1" t="s">
        <v>410</v>
      </c>
    </row>
    <row r="209" spans="3:4" x14ac:dyDescent="0.2">
      <c r="C209" s="1">
        <f>SUM(C3:C202)</f>
        <v>1974037166</v>
      </c>
      <c r="D209" s="6">
        <f>SUM(D3:D202)</f>
        <v>9870185.8300000019</v>
      </c>
    </row>
  </sheetData>
  <conditionalFormatting sqref="J3:J202">
    <cfRule type="containsText" dxfId="18" priority="1" operator="containsText" text="Da">
      <formula>NOT(ISERROR(SEARCH("Da",J3)))</formula>
    </cfRule>
    <cfRule type="containsText" dxfId="17" priority="2" operator="containsText" text="Nu">
      <formula>NOT(ISERROR(SEARCH("Nu",J3)))</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3495B-6E92-834C-AAA4-D0EBB576A541}">
  <sheetPr>
    <tabColor rgb="FFFFFF00"/>
  </sheetPr>
  <dimension ref="A1:J209"/>
  <sheetViews>
    <sheetView zoomScale="110" zoomScaleNormal="110" workbookViewId="0">
      <selection activeCell="B9" sqref="B9"/>
    </sheetView>
  </sheetViews>
  <sheetFormatPr baseColWidth="10" defaultColWidth="11" defaultRowHeight="16" x14ac:dyDescent="0.2"/>
  <cols>
    <col min="1" max="1" width="49" bestFit="1" customWidth="1"/>
    <col min="2" max="2" width="19.83203125" bestFit="1" customWidth="1"/>
    <col min="3" max="3" width="25.5" bestFit="1" customWidth="1"/>
    <col min="4" max="4" width="26" bestFit="1" customWidth="1"/>
    <col min="5" max="5" width="11.83203125" bestFit="1" customWidth="1"/>
    <col min="6" max="6" width="15.83203125" bestFit="1" customWidth="1"/>
    <col min="7" max="7" width="14.33203125" bestFit="1" customWidth="1"/>
    <col min="8" max="8" width="14.83203125" bestFit="1" customWidth="1"/>
    <col min="9" max="9" width="21.1640625" bestFit="1" customWidth="1"/>
    <col min="10" max="10" width="10" bestFit="1" customWidth="1"/>
  </cols>
  <sheetData>
    <row r="1" spans="1:10" x14ac:dyDescent="0.2">
      <c r="A1" s="12" t="s">
        <v>404</v>
      </c>
      <c r="B1" s="11" t="s">
        <v>405</v>
      </c>
      <c r="C1" s="13" t="s">
        <v>406</v>
      </c>
      <c r="D1" s="14" t="s">
        <v>407</v>
      </c>
      <c r="E1" s="15" t="s">
        <v>408</v>
      </c>
      <c r="F1" s="16" t="s">
        <v>409</v>
      </c>
      <c r="G1" s="17" t="s">
        <v>412</v>
      </c>
      <c r="H1" s="18" t="s">
        <v>413</v>
      </c>
      <c r="I1" s="19" t="s">
        <v>419</v>
      </c>
      <c r="J1" s="20" t="s">
        <v>421</v>
      </c>
    </row>
    <row r="3" spans="1:10" x14ac:dyDescent="0.2">
      <c r="A3" t="s">
        <v>0</v>
      </c>
      <c r="B3" t="s">
        <v>1</v>
      </c>
      <c r="C3">
        <v>62413082</v>
      </c>
      <c r="D3" s="7">
        <f>(C3/1000*5)</f>
        <v>312065.41000000003</v>
      </c>
      <c r="E3" s="2">
        <f>VLOOKUP(A3,'2.09.2021'!A$3:'2.09.2021'!I$202,5,)</f>
        <v>44386</v>
      </c>
      <c r="F3" s="2">
        <v>44455</v>
      </c>
      <c r="G3" s="23">
        <f>VLOOKUP(A3,'2.09.2021'!A$3:'2.09.2021'!I$202,7,)</f>
        <v>9.7916666666666666E-2</v>
      </c>
      <c r="H3" t="str">
        <f>VLOOKUP(A3,'2.09.2021'!A$3:'2.09.2021'!I$202,8,)</f>
        <v>POP</v>
      </c>
      <c r="I3" t="str">
        <f>VLOOKUP(A3,'2.09.2021'!A$3:'2.09.2021'!I$202,9,)</f>
        <v>Australia</v>
      </c>
      <c r="J3" t="str">
        <f>IF(ISNUMBER(SEARCH("with",A3)),"Da","Nu")</f>
        <v>Da</v>
      </c>
    </row>
    <row r="4" spans="1:10" x14ac:dyDescent="0.2">
      <c r="A4" t="s">
        <v>436</v>
      </c>
      <c r="B4" t="s">
        <v>2</v>
      </c>
      <c r="C4">
        <v>41902868</v>
      </c>
      <c r="D4" s="7">
        <f t="shared" ref="D4:D67" si="0">(C4/1000*5)</f>
        <v>209514.34000000003</v>
      </c>
      <c r="E4" s="2">
        <f>VLOOKUP(A4,'2.09.2021'!A$3:'2.09.2021'!I$202,5,)</f>
        <v>44400</v>
      </c>
      <c r="F4" s="2">
        <v>44455</v>
      </c>
      <c r="G4" s="23">
        <f>VLOOKUP(A4,'2.09.2021'!A$3:'2.09.2021'!I$202,7,)</f>
        <v>0.14722222222222223</v>
      </c>
      <c r="H4" t="str">
        <f>VLOOKUP(A4,'2.09.2021'!A$3:'2.09.2021'!I$202,8,)</f>
        <v>HIP-HOP/RAP</v>
      </c>
      <c r="I4" t="str">
        <f>VLOOKUP(A4,'2.09.2021'!A$3:'2.09.2021'!I$202,9,)</f>
        <v>SUA</v>
      </c>
      <c r="J4" t="str">
        <f>IF(ISNUMBER(SEARCH("with",A4)),"Da","Nu")</f>
        <v>Da</v>
      </c>
    </row>
    <row r="5" spans="1:10" x14ac:dyDescent="0.2">
      <c r="A5" t="s">
        <v>9</v>
      </c>
      <c r="B5" t="s">
        <v>10</v>
      </c>
      <c r="C5">
        <v>31351285</v>
      </c>
      <c r="D5" s="7">
        <f t="shared" si="0"/>
        <v>156756.42499999999</v>
      </c>
      <c r="E5" s="2">
        <f>VLOOKUP(A5,'2.09.2021'!A$3:'2.09.2021'!I$202,5,)</f>
        <v>44358</v>
      </c>
      <c r="F5" s="2">
        <v>44455</v>
      </c>
      <c r="G5" s="23">
        <f>VLOOKUP(A5,'2.09.2021'!A$3:'2.09.2021'!I$202,7,)</f>
        <v>0.14722222222222223</v>
      </c>
      <c r="H5" t="str">
        <f>VLOOKUP(A5,'2.09.2021'!A$3:'2.09.2021'!I$202,8,)</f>
        <v>POP</v>
      </c>
      <c r="I5" t="str">
        <f>VLOOKUP(A5,'2.09.2021'!A$3:'2.09.2021'!I$202,9,)</f>
        <v>Marea Britanie</v>
      </c>
      <c r="J5" t="str">
        <f t="shared" ref="J5:J68" si="1">IF(ISNUMBER(SEARCH("with",A5)),"Da","Nu")</f>
        <v>Nu</v>
      </c>
    </row>
    <row r="6" spans="1:10" x14ac:dyDescent="0.2">
      <c r="A6" t="s">
        <v>7</v>
      </c>
      <c r="B6" t="s">
        <v>8</v>
      </c>
      <c r="C6">
        <v>29676719</v>
      </c>
      <c r="D6" s="7">
        <f t="shared" si="0"/>
        <v>148383.595</v>
      </c>
      <c r="E6" s="2">
        <f>VLOOKUP(A6,'2.09.2021'!A$3:'2.09.2021'!I$202,5,)</f>
        <v>44538</v>
      </c>
      <c r="F6" s="2">
        <v>44455</v>
      </c>
      <c r="G6" s="23">
        <f>VLOOKUP(A6,'2.09.2021'!A$3:'2.09.2021'!I$202,7,)</f>
        <v>0.19930555555555554</v>
      </c>
      <c r="H6" t="str">
        <f>VLOOKUP(A6,'2.09.2021'!A$3:'2.09.2021'!I$202,8,)</f>
        <v>LATIN URBAN</v>
      </c>
      <c r="I6" t="str">
        <f>VLOOKUP(A6,'2.09.2021'!A$3:'2.09.2021'!I$202,9,)</f>
        <v>Puerto Rico</v>
      </c>
      <c r="J6" t="str">
        <f t="shared" si="1"/>
        <v>Nu</v>
      </c>
    </row>
    <row r="7" spans="1:10" x14ac:dyDescent="0.2">
      <c r="A7" t="s">
        <v>5</v>
      </c>
      <c r="B7" t="s">
        <v>6</v>
      </c>
      <c r="C7">
        <v>28688699</v>
      </c>
      <c r="D7" s="7">
        <f t="shared" si="0"/>
        <v>143443.495</v>
      </c>
      <c r="E7" s="2">
        <f>VLOOKUP(A7,'2.09.2021'!A$3:'2.09.2021'!I$202,5,)</f>
        <v>44050</v>
      </c>
      <c r="F7" s="2">
        <v>44455</v>
      </c>
      <c r="G7" s="23">
        <f>VLOOKUP(A7,'2.09.2021'!A$3:'2.09.2021'!I$202,7,)</f>
        <v>0.16527777777777777</v>
      </c>
      <c r="H7" t="str">
        <f>VLOOKUP(A7,'2.09.2021'!A$3:'2.09.2021'!I$202,8,)</f>
        <v>POP</v>
      </c>
      <c r="I7" t="str">
        <f>VLOOKUP(A7,'2.09.2021'!A$3:'2.09.2021'!I$202,9,)</f>
        <v>Marea Britanie</v>
      </c>
      <c r="J7" t="str">
        <f t="shared" si="1"/>
        <v>Nu</v>
      </c>
    </row>
    <row r="8" spans="1:10" x14ac:dyDescent="0.2">
      <c r="A8" t="s">
        <v>11</v>
      </c>
      <c r="B8" t="s">
        <v>12</v>
      </c>
      <c r="C8">
        <v>28542372</v>
      </c>
      <c r="D8" s="7">
        <f t="shared" si="0"/>
        <v>142711.85999999999</v>
      </c>
      <c r="E8" s="2">
        <f>VLOOKUP(A8,'2.09.2021'!A$3:'2.09.2021'!I$202,5,)</f>
        <v>44374</v>
      </c>
      <c r="F8" s="2">
        <v>44455</v>
      </c>
      <c r="G8" s="23">
        <f>VLOOKUP(A8,'2.09.2021'!A$3:'2.09.2021'!I$202,7,)</f>
        <v>0.10069444444444443</v>
      </c>
      <c r="H8" t="str">
        <f>VLOOKUP(A8,'2.09.2021'!A$3:'2.09.2021'!I$202,8,)</f>
        <v>POP</v>
      </c>
      <c r="I8" t="str">
        <f>VLOOKUP(A8,'2.09.2021'!A$3:'2.09.2021'!I$202,9,)</f>
        <v>SUA</v>
      </c>
      <c r="J8" t="str">
        <f t="shared" si="1"/>
        <v>Nu</v>
      </c>
    </row>
    <row r="9" spans="1:10" x14ac:dyDescent="0.2">
      <c r="A9" t="s">
        <v>15</v>
      </c>
      <c r="B9" t="s">
        <v>415</v>
      </c>
      <c r="C9">
        <v>26772173</v>
      </c>
      <c r="D9" s="7">
        <f t="shared" si="0"/>
        <v>133860.86499999999</v>
      </c>
      <c r="E9" s="2">
        <f>VLOOKUP(A9,'2.09.2021'!A$3:'2.09.2021'!I$202,5,)</f>
        <v>43077</v>
      </c>
      <c r="F9" s="2">
        <v>44455</v>
      </c>
      <c r="G9" s="23">
        <f>VLOOKUP(A9,'2.09.2021'!A$3:'2.09.2021'!I$202,7,)</f>
        <v>0.14652777777777778</v>
      </c>
      <c r="H9" t="str">
        <f>VLOOKUP(A9,'2.09.2021'!A$3:'2.09.2021'!I$202,8,)</f>
        <v>ROCK</v>
      </c>
      <c r="I9" t="str">
        <f>VLOOKUP(A9,'2.09.2021'!A$3:'2.09.2021'!I$202,9,)</f>
        <v>Italia</v>
      </c>
      <c r="J9" t="str">
        <f t="shared" si="1"/>
        <v>Nu</v>
      </c>
    </row>
    <row r="10" spans="1:10" x14ac:dyDescent="0.2">
      <c r="A10" t="s">
        <v>16</v>
      </c>
      <c r="B10" t="s">
        <v>17</v>
      </c>
      <c r="C10">
        <v>25414611</v>
      </c>
      <c r="D10" s="7">
        <f t="shared" si="0"/>
        <v>127073.05500000001</v>
      </c>
      <c r="E10" s="2">
        <f>VLOOKUP(A10,'2.09.2021'!A$3:'2.09.2021'!I$202,5,)</f>
        <v>44337</v>
      </c>
      <c r="F10" s="2">
        <v>44455</v>
      </c>
      <c r="G10" s="23">
        <f>VLOOKUP(A10,'2.09.2021'!A$3:'2.09.2021'!I$202,7,)</f>
        <v>0.12361111111111112</v>
      </c>
      <c r="H10" t="str">
        <f>VLOOKUP(A10,'2.09.2021'!A$3:'2.09.2021'!I$202,8,)</f>
        <v>POP</v>
      </c>
      <c r="I10" t="str">
        <f>VLOOKUP(A10,'2.09.2021'!A$3:'2.09.2021'!I$202,9,)</f>
        <v>SUA</v>
      </c>
      <c r="J10" t="str">
        <f t="shared" si="1"/>
        <v>Nu</v>
      </c>
    </row>
    <row r="11" spans="1:10" x14ac:dyDescent="0.2">
      <c r="A11" t="s">
        <v>30</v>
      </c>
      <c r="B11" t="s">
        <v>20</v>
      </c>
      <c r="C11">
        <v>25297983</v>
      </c>
      <c r="D11" s="7">
        <f t="shared" si="0"/>
        <v>126489.91500000001</v>
      </c>
      <c r="E11" s="2">
        <f>VLOOKUP(A11,'23.09.2021'!A$3:'23.09.2021'!I$202,5,)</f>
        <v>44460</v>
      </c>
      <c r="F11" s="2">
        <v>44455</v>
      </c>
      <c r="G11" s="23">
        <f>VLOOKUP(A11,'23.09.2021'!A$3:'23.09.2021'!I$202,7,)</f>
        <v>0.14097222222222222</v>
      </c>
      <c r="H11" t="str">
        <f>VLOOKUP(A11,'23.09.2021'!A$3:'23.09.2021'!I$202,8,)</f>
        <v>hIP-HOP/RAP</v>
      </c>
      <c r="I11" t="str">
        <f>VLOOKUP(A11,'23.09.2021'!A$3:'23.09.2021'!I$202,9,)</f>
        <v>Canada</v>
      </c>
      <c r="J11" t="str">
        <f t="shared" si="1"/>
        <v>Da</v>
      </c>
    </row>
    <row r="12" spans="1:10" x14ac:dyDescent="0.2">
      <c r="A12" t="s">
        <v>19</v>
      </c>
      <c r="B12" t="s">
        <v>20</v>
      </c>
      <c r="C12">
        <v>24928604</v>
      </c>
      <c r="D12" s="7">
        <f t="shared" si="0"/>
        <v>124643.01999999999</v>
      </c>
      <c r="E12" s="2">
        <f>VLOOKUP(A12,'23.09.2021'!A$3:'23.09.2021'!I$202,5,)</f>
        <v>44460</v>
      </c>
      <c r="F12" s="2">
        <v>44455</v>
      </c>
      <c r="G12" s="23">
        <f>VLOOKUP(A12,'23.09.2021'!A$3:'23.09.2021'!I$202,7,)</f>
        <v>5.5555555555555552E-2</v>
      </c>
      <c r="H12" t="str">
        <f>VLOOKUP(A12,'23.09.2021'!A$3:'23.09.2021'!I$202,8,)</f>
        <v>HIP-HOP/RAP</v>
      </c>
      <c r="I12" t="str">
        <f>VLOOKUP(A12,'23.09.2021'!A$3:'23.09.2021'!I$202,9,)</f>
        <v>Canada</v>
      </c>
      <c r="J12" t="str">
        <f t="shared" si="1"/>
        <v>Da</v>
      </c>
    </row>
    <row r="13" spans="1:10" x14ac:dyDescent="0.2">
      <c r="A13" t="s">
        <v>13</v>
      </c>
      <c r="B13" t="s">
        <v>10</v>
      </c>
      <c r="C13">
        <v>23729735</v>
      </c>
      <c r="D13" s="7">
        <f t="shared" si="0"/>
        <v>118648.675</v>
      </c>
      <c r="E13" s="2">
        <f>VLOOKUP(A13,'30.09.2021'!A$3:'30.09.2021'!I$202,5,)</f>
        <v>44315</v>
      </c>
      <c r="F13" s="2">
        <v>44455</v>
      </c>
      <c r="G13" s="23">
        <f>VLOOKUP(A13,'30.09.2021'!A$3:'30.09.2021'!I$202,7,)</f>
        <v>0.10555555555555556</v>
      </c>
      <c r="H13" t="str">
        <f>VLOOKUP(A13,'30.09.2021'!A$3:'30.09.2021'!I$202,8,)</f>
        <v>POP</v>
      </c>
      <c r="I13" t="str">
        <f>VLOOKUP(A13,'30.09.2021'!A$3:'30.09.2021'!I$202,9,)</f>
        <v>Marea Britanie</v>
      </c>
      <c r="J13" t="str">
        <f t="shared" si="1"/>
        <v>Nu</v>
      </c>
    </row>
    <row r="14" spans="1:10" x14ac:dyDescent="0.2">
      <c r="A14" t="s">
        <v>50</v>
      </c>
      <c r="B14" t="s">
        <v>20</v>
      </c>
      <c r="C14">
        <v>23379545</v>
      </c>
      <c r="D14" s="7">
        <f t="shared" si="0"/>
        <v>116897.72499999999</v>
      </c>
      <c r="E14" s="2">
        <f>VLOOKUP(A14,'23.09.2021'!A$3:'23.09.2021'!I$202,5,)</f>
        <v>44460</v>
      </c>
      <c r="F14" s="2">
        <v>44455</v>
      </c>
      <c r="G14" s="23">
        <f>VLOOKUP(A14,'23.09.2021'!A$3:'23.09.2021'!I$202,7,)</f>
        <v>8.5416666666666655E-2</v>
      </c>
      <c r="H14" t="str">
        <f>VLOOKUP(A14,'23.09.2021'!A$3:'23.09.2021'!I$202,8,)</f>
        <v>hIP-HOP/RAP</v>
      </c>
      <c r="I14" t="str">
        <f>VLOOKUP(A14,'23.09.2021'!A$3:'23.09.2021'!I$202,9,)</f>
        <v>Canada</v>
      </c>
      <c r="J14" t="str">
        <f t="shared" si="1"/>
        <v>Da</v>
      </c>
    </row>
    <row r="15" spans="1:10" x14ac:dyDescent="0.2">
      <c r="A15" t="s">
        <v>21</v>
      </c>
      <c r="B15" t="s">
        <v>12</v>
      </c>
      <c r="C15">
        <v>23196486</v>
      </c>
      <c r="D15" s="7">
        <f t="shared" si="0"/>
        <v>115982.43000000001</v>
      </c>
      <c r="E15" s="2">
        <f>VLOOKUP(A15,'2.09.2021'!A$3:'2.09.2021'!I$202,5,)</f>
        <v>44371</v>
      </c>
      <c r="F15" s="2">
        <v>44455</v>
      </c>
      <c r="G15" s="23">
        <f>VLOOKUP(A15,'2.09.2021'!A$3:'2.09.2021'!I$202,7,)</f>
        <v>0.14583333333333334</v>
      </c>
      <c r="H15" t="str">
        <f>VLOOKUP(A15,'2.09.2021'!A$3:'2.09.2021'!I$202,8,)</f>
        <v>POP</v>
      </c>
      <c r="I15" t="str">
        <f>VLOOKUP(A15,'2.09.2021'!A$3:'2.09.2021'!I$202,9,)</f>
        <v>SUA</v>
      </c>
      <c r="J15" t="str">
        <f t="shared" si="1"/>
        <v>Nu</v>
      </c>
    </row>
    <row r="16" spans="1:10" x14ac:dyDescent="0.2">
      <c r="A16" t="s">
        <v>18</v>
      </c>
      <c r="B16" t="s">
        <v>2</v>
      </c>
      <c r="C16">
        <v>20710480</v>
      </c>
      <c r="D16" s="7">
        <f t="shared" si="0"/>
        <v>103552.4</v>
      </c>
      <c r="E16" s="2">
        <f>VLOOKUP(A16,'2.09.2021'!A$3:'2.09.2021'!I$202,5,)</f>
        <v>44456</v>
      </c>
      <c r="F16" s="2">
        <v>44455</v>
      </c>
      <c r="G16" s="23">
        <f>VLOOKUP(A16,'2.09.2021'!A$3:'2.09.2021'!I$202,7,)</f>
        <v>9.5138888888888884E-2</v>
      </c>
      <c r="H16" t="str">
        <f>VLOOKUP(A16,'2.09.2021'!A$3:'2.09.2021'!I$202,8,)</f>
        <v>POP</v>
      </c>
      <c r="I16" t="str">
        <f>VLOOKUP(A16,'2.09.2021'!A$3:'2.09.2021'!I$202,9,)</f>
        <v>SUA</v>
      </c>
      <c r="J16" t="str">
        <f t="shared" si="1"/>
        <v>Nu</v>
      </c>
    </row>
    <row r="17" spans="1:10" x14ac:dyDescent="0.2">
      <c r="A17" t="s">
        <v>437</v>
      </c>
      <c r="B17" t="s">
        <v>12</v>
      </c>
      <c r="C17">
        <v>20170105</v>
      </c>
      <c r="D17" s="7">
        <f t="shared" si="0"/>
        <v>100850.52499999999</v>
      </c>
      <c r="E17" s="2">
        <f>VLOOKUP(A17,'2.09.2021'!A$3:'2.09.2021'!I$202,5,)</f>
        <v>44295</v>
      </c>
      <c r="F17" s="2">
        <v>44455</v>
      </c>
      <c r="G17" s="23">
        <f>VLOOKUP(A17,'2.09.2021'!A$3:'2.09.2021'!I$202,7,)</f>
        <v>0.14444444444444446</v>
      </c>
      <c r="H17" t="str">
        <f>VLOOKUP(A17,'2.09.2021'!A$3:'2.09.2021'!I$202,8,)</f>
        <v>POP</v>
      </c>
      <c r="I17" t="str">
        <f>VLOOKUP(A17,'2.09.2021'!A$3:'2.09.2021'!I$202,9,)</f>
        <v>SUA</v>
      </c>
      <c r="J17" t="str">
        <f t="shared" si="1"/>
        <v>Da</v>
      </c>
    </row>
    <row r="18" spans="1:10" x14ac:dyDescent="0.2">
      <c r="A18" t="s">
        <v>22</v>
      </c>
      <c r="B18" t="s">
        <v>23</v>
      </c>
      <c r="C18">
        <v>19664713</v>
      </c>
      <c r="D18" s="7">
        <f t="shared" si="0"/>
        <v>98323.565000000002</v>
      </c>
      <c r="E18" s="2">
        <f>VLOOKUP(A18,'2.09.2021'!A$3:'2.09.2021'!I$202,5,)</f>
        <v>44407</v>
      </c>
      <c r="F18" s="2">
        <v>44455</v>
      </c>
      <c r="G18" s="23">
        <f>VLOOKUP(A18,'2.09.2021'!A$3:'2.09.2021'!I$202,7,)</f>
        <v>0.20694444444444446</v>
      </c>
      <c r="H18" t="str">
        <f>VLOOKUP(A18,'2.09.2021'!A$3:'2.09.2021'!I$202,8,)</f>
        <v>ALTERNATIVE</v>
      </c>
      <c r="I18" t="str">
        <f>VLOOKUP(A18,'2.09.2021'!A$3:'2.09.2021'!I$202,9,)</f>
        <v>SUA</v>
      </c>
      <c r="J18" t="str">
        <f t="shared" si="1"/>
        <v>Nu</v>
      </c>
    </row>
    <row r="19" spans="1:10" x14ac:dyDescent="0.2">
      <c r="A19" t="s">
        <v>51</v>
      </c>
      <c r="B19" t="s">
        <v>52</v>
      </c>
      <c r="C19">
        <v>19370230</v>
      </c>
      <c r="D19" s="7">
        <f t="shared" si="0"/>
        <v>96851.15</v>
      </c>
      <c r="E19" s="2">
        <f>VLOOKUP(A19,'2.09.2021'!A$3:'2.09.2021'!I$202,5,)</f>
        <v>44416</v>
      </c>
      <c r="F19" s="2">
        <v>44455</v>
      </c>
      <c r="G19" s="23">
        <f>VLOOKUP(A19,'2.09.2021'!A$3:'2.09.2021'!I$202,7,)</f>
        <v>0.16874999999999998</v>
      </c>
      <c r="H19" t="str">
        <f>VLOOKUP(A19,'2.09.2021'!A$3:'2.09.2021'!I$202,8,)</f>
        <v>HIP-HOP/RAP</v>
      </c>
      <c r="I19" t="str">
        <f>VLOOKUP(A19,'2.09.2021'!A$3:'2.09.2021'!I$202,9,)</f>
        <v>SUA</v>
      </c>
      <c r="J19" t="str">
        <f t="shared" si="1"/>
        <v>Nu</v>
      </c>
    </row>
    <row r="20" spans="1:10" x14ac:dyDescent="0.2">
      <c r="A20" t="s">
        <v>39</v>
      </c>
      <c r="B20" t="s">
        <v>40</v>
      </c>
      <c r="C20">
        <v>18455241</v>
      </c>
      <c r="D20" s="7">
        <f t="shared" si="0"/>
        <v>92276.205000000016</v>
      </c>
      <c r="E20" s="2">
        <f>VLOOKUP(A20,'30.09.2021'!A$3:'30.09.2021'!I$202,5,)</f>
        <v>44257</v>
      </c>
      <c r="F20" s="2">
        <v>44455</v>
      </c>
      <c r="G20" s="23">
        <f>VLOOKUP(A20,'30.09.2021'!A$3:'30.09.2021'!I$202,7,)</f>
        <v>0.1388888888888889</v>
      </c>
      <c r="H20" t="str">
        <f>VLOOKUP(A20,'30.09.2021'!A$3:'30.09.2021'!I$202,8,)</f>
        <v>HIP-HOP/RAP</v>
      </c>
      <c r="I20" t="str">
        <f>VLOOKUP(A20,'30.09.2021'!A$3:'30.09.2021'!I$202,9,)</f>
        <v>Tailanda</v>
      </c>
      <c r="J20" t="str">
        <f t="shared" si="1"/>
        <v>Nu</v>
      </c>
    </row>
    <row r="21" spans="1:10" x14ac:dyDescent="0.2">
      <c r="A21" t="s">
        <v>35</v>
      </c>
      <c r="B21" t="s">
        <v>20</v>
      </c>
      <c r="C21">
        <v>18375341</v>
      </c>
      <c r="D21" s="7">
        <f t="shared" si="0"/>
        <v>91876.705000000002</v>
      </c>
      <c r="E21" s="2">
        <f>VLOOKUP(A21,'23.09.2021'!A$3:'23.09.2021'!I$202,5,)</f>
        <v>44460</v>
      </c>
      <c r="F21" s="2">
        <v>44455</v>
      </c>
      <c r="G21" s="23">
        <f>VLOOKUP(A21,'23.09.2021'!A$3:'23.09.2021'!I$202,7,)</f>
        <v>0.1673611111111111</v>
      </c>
      <c r="H21" t="str">
        <f>VLOOKUP(A21,'23.09.2021'!A$3:'23.09.2021'!I$202,8,)</f>
        <v>HIP-HOP/RAP</v>
      </c>
      <c r="I21" t="str">
        <f>VLOOKUP(A21,'23.09.2021'!A$3:'23.09.2021'!I$202,9,)</f>
        <v>Canada</v>
      </c>
      <c r="J21" t="str">
        <f t="shared" si="1"/>
        <v>Da</v>
      </c>
    </row>
    <row r="22" spans="1:10" x14ac:dyDescent="0.2">
      <c r="A22" t="s">
        <v>33</v>
      </c>
      <c r="B22" t="s">
        <v>34</v>
      </c>
      <c r="C22">
        <v>18022876</v>
      </c>
      <c r="D22" s="7">
        <f t="shared" si="0"/>
        <v>90114.38</v>
      </c>
      <c r="E22" s="2">
        <f>VLOOKUP(A22,'2.09.2021'!A$3:'2.09.2021'!I$202,5,)</f>
        <v>44338</v>
      </c>
      <c r="F22" s="2">
        <v>44455</v>
      </c>
      <c r="G22" s="23">
        <f>VLOOKUP(A22,'2.09.2021'!A$3:'2.09.2021'!I$202,7,)</f>
        <v>0.13819444444444443</v>
      </c>
      <c r="H22" t="str">
        <f>VLOOKUP(A22,'2.09.2021'!A$3:'2.09.2021'!I$202,8,)</f>
        <v>LATIN URBAN</v>
      </c>
      <c r="I22" t="str">
        <f>VLOOKUP(A22,'2.09.2021'!A$3:'2.09.2021'!I$202,9,)</f>
        <v>Puerto Rico</v>
      </c>
      <c r="J22" t="str">
        <f t="shared" si="1"/>
        <v>Nu</v>
      </c>
    </row>
    <row r="23" spans="1:10" x14ac:dyDescent="0.2">
      <c r="A23" t="s">
        <v>31</v>
      </c>
      <c r="B23" t="s">
        <v>32</v>
      </c>
      <c r="C23">
        <v>17195763</v>
      </c>
      <c r="D23" s="7">
        <f t="shared" si="0"/>
        <v>85978.815000000002</v>
      </c>
      <c r="E23" s="2">
        <f>VLOOKUP(A23,'2.09.2021'!A$3:'2.09.2021'!I$202,5,)</f>
        <v>44351</v>
      </c>
      <c r="F23" s="2">
        <v>44455</v>
      </c>
      <c r="G23" s="23">
        <f>VLOOKUP(A23,'2.09.2021'!A$3:'2.09.2021'!I$202,7,)</f>
        <v>0.14305555555555557</v>
      </c>
      <c r="H23" t="str">
        <f>VLOOKUP(A23,'2.09.2021'!A$3:'2.09.2021'!I$202,8,)</f>
        <v>LATIN URBAN</v>
      </c>
      <c r="I23" t="str">
        <f>VLOOKUP(A23,'2.09.2021'!A$3:'2.09.2021'!I$202,9,)</f>
        <v>Puerto Rico</v>
      </c>
      <c r="J23" t="str">
        <f t="shared" si="1"/>
        <v>Nu</v>
      </c>
    </row>
    <row r="24" spans="1:10" x14ac:dyDescent="0.2">
      <c r="A24" t="s">
        <v>414</v>
      </c>
      <c r="B24" t="s">
        <v>36</v>
      </c>
      <c r="C24">
        <v>16342344</v>
      </c>
      <c r="D24" s="7">
        <f t="shared" si="0"/>
        <v>81711.72</v>
      </c>
      <c r="E24" s="2">
        <f>VLOOKUP(A24,'2.09.2021'!A$3:'2.09.2021'!I$202,5,)</f>
        <v>44411</v>
      </c>
      <c r="F24" s="2">
        <v>44455</v>
      </c>
      <c r="G24" s="23">
        <f>VLOOKUP(A24,'2.09.2021'!A$3:'2.09.2021'!I$202,7,)</f>
        <v>0.15972222222222224</v>
      </c>
      <c r="H24" t="str">
        <f>VLOOKUP(A24,'2.09.2021'!A$3:'2.09.2021'!I$202,8,)</f>
        <v>LATIN URBAN</v>
      </c>
      <c r="I24" t="str">
        <f>VLOOKUP(A24,'2.09.2021'!A$3:'2.09.2021'!I$202,9,)</f>
        <v>Republica Dominicană</v>
      </c>
      <c r="J24" t="str">
        <f t="shared" si="1"/>
        <v>Nu</v>
      </c>
    </row>
    <row r="25" spans="1:10" x14ac:dyDescent="0.2">
      <c r="A25" t="s">
        <v>41</v>
      </c>
      <c r="B25" t="s">
        <v>42</v>
      </c>
      <c r="C25">
        <v>15971386</v>
      </c>
      <c r="D25" s="7">
        <f t="shared" si="0"/>
        <v>79856.930000000008</v>
      </c>
      <c r="E25" s="2">
        <f>VLOOKUP(A25,'2.09.2021'!A$3:'2.09.2021'!I$202,5,)</f>
        <v>44379</v>
      </c>
      <c r="F25" s="2">
        <v>44455</v>
      </c>
      <c r="G25" s="23">
        <f>VLOOKUP(A25,'2.09.2021'!A$3:'2.09.2021'!I$202,7,)</f>
        <v>9.0277777777777776E-2</v>
      </c>
      <c r="H25" t="str">
        <f>VLOOKUP(A25,'2.09.2021'!A$3:'2.09.2021'!I$202,8,)</f>
        <v>LATIN URBAN</v>
      </c>
      <c r="I25" t="str">
        <f>VLOOKUP(A25,'2.09.2021'!A$3:'2.09.2021'!I$202,9,)</f>
        <v>Columbia</v>
      </c>
      <c r="J25" t="str">
        <f t="shared" si="1"/>
        <v>Nu</v>
      </c>
    </row>
    <row r="26" spans="1:10" x14ac:dyDescent="0.2">
      <c r="A26" t="s">
        <v>417</v>
      </c>
      <c r="B26" t="s">
        <v>42</v>
      </c>
      <c r="C26">
        <v>15384428</v>
      </c>
      <c r="D26" s="7">
        <f t="shared" si="0"/>
        <v>76922.14</v>
      </c>
      <c r="E26" s="2">
        <f>VLOOKUP(A26,'2.09.2021'!A$3:'2.09.2021'!I$202,5,)</f>
        <v>44344</v>
      </c>
      <c r="F26" s="2">
        <v>44455</v>
      </c>
      <c r="G26" s="23">
        <f>VLOOKUP(A26,'2.09.2021'!A$3:'2.09.2021'!I$202,7,)</f>
        <v>0.15069444444444444</v>
      </c>
      <c r="H26" t="str">
        <f>VLOOKUP(A26,'2.09.2021'!A$3:'2.09.2021'!I$202,8,)</f>
        <v>LATIN URBAN</v>
      </c>
      <c r="I26" t="str">
        <f>VLOOKUP(A26,'2.09.2021'!A$3:'2.09.2021'!I$202,9,)</f>
        <v>Columbia</v>
      </c>
      <c r="J26" t="str">
        <f t="shared" si="1"/>
        <v>Nu</v>
      </c>
    </row>
    <row r="27" spans="1:10" x14ac:dyDescent="0.2">
      <c r="A27" t="s">
        <v>439</v>
      </c>
      <c r="B27" t="s">
        <v>38</v>
      </c>
      <c r="C27">
        <v>15279109</v>
      </c>
      <c r="D27" s="7">
        <f t="shared" si="0"/>
        <v>76395.544999999998</v>
      </c>
      <c r="E27" s="2">
        <f>VLOOKUP(A27,'2.09.2021'!A$3:'2.09.2021'!I$202,5,)</f>
        <v>43917</v>
      </c>
      <c r="F27" s="2">
        <v>44455</v>
      </c>
      <c r="G27" s="23">
        <f>VLOOKUP(A27,'2.09.2021'!A$3:'2.09.2021'!I$202,7,)</f>
        <v>0.14097222222222222</v>
      </c>
      <c r="H27" t="str">
        <f>VLOOKUP(A27,'2.09.2021'!A$3:'2.09.2021'!I$202,8,)</f>
        <v>POP</v>
      </c>
      <c r="I27" t="str">
        <f>VLOOKUP(A27,'2.09.2021'!A$3:'2.09.2021'!I$202,9,)</f>
        <v>Marea Britanie</v>
      </c>
      <c r="J27" t="str">
        <f t="shared" si="1"/>
        <v>Da</v>
      </c>
    </row>
    <row r="28" spans="1:10" x14ac:dyDescent="0.2">
      <c r="A28" t="s">
        <v>37</v>
      </c>
      <c r="B28" t="s">
        <v>17</v>
      </c>
      <c r="C28">
        <v>14922433</v>
      </c>
      <c r="D28" s="7">
        <f t="shared" si="0"/>
        <v>74612.165000000008</v>
      </c>
      <c r="E28" s="2">
        <f>VLOOKUP(A28,'2.09.2021'!A$3:'2.09.2021'!I$202,5,)</f>
        <v>44337</v>
      </c>
      <c r="F28" s="2">
        <v>44455</v>
      </c>
      <c r="G28" s="23">
        <f>VLOOKUP(A28,'2.09.2021'!A$3:'2.09.2021'!I$202,7,)</f>
        <v>0.15902777777777777</v>
      </c>
      <c r="H28" t="str">
        <f>VLOOKUP(A28,'2.09.2021'!A$3:'2.09.2021'!I$202,8,)</f>
        <v>POP</v>
      </c>
      <c r="I28" t="str">
        <f>VLOOKUP(A28,'2.09.2021'!A$3:'2.09.2021'!I$202,9,)</f>
        <v>SUA</v>
      </c>
      <c r="J28" t="str">
        <f t="shared" si="1"/>
        <v>Nu</v>
      </c>
    </row>
    <row r="29" spans="1:10" x14ac:dyDescent="0.2">
      <c r="A29" t="s">
        <v>26</v>
      </c>
      <c r="B29" t="s">
        <v>27</v>
      </c>
      <c r="C29">
        <v>14689417</v>
      </c>
      <c r="D29" s="7">
        <f t="shared" si="0"/>
        <v>73447.084999999992</v>
      </c>
      <c r="E29" s="2">
        <f>VLOOKUP(A29,'2.09.2021'!A$3:'2.09.2021'!I$202,5,)</f>
        <v>44421</v>
      </c>
      <c r="F29" s="2">
        <v>44455</v>
      </c>
      <c r="G29" s="23">
        <f>VLOOKUP(A29,'2.09.2021'!A$3:'2.09.2021'!I$202,7,)</f>
        <v>0.14027777777777778</v>
      </c>
      <c r="H29" t="str">
        <f>VLOOKUP(A29,'2.09.2021'!A$3:'2.09.2021'!I$202,8,)</f>
        <v>POP</v>
      </c>
      <c r="I29" t="str">
        <f>VLOOKUP(A29,'2.09.2021'!A$3:'2.09.2021'!I$202,9,)</f>
        <v>Marea Britanie</v>
      </c>
      <c r="J29" t="str">
        <f t="shared" si="1"/>
        <v>Nu</v>
      </c>
    </row>
    <row r="30" spans="1:10" x14ac:dyDescent="0.2">
      <c r="A30" t="s">
        <v>440</v>
      </c>
      <c r="B30" t="s">
        <v>43</v>
      </c>
      <c r="C30">
        <v>14439357</v>
      </c>
      <c r="D30" s="7">
        <f t="shared" si="0"/>
        <v>72196.785000000003</v>
      </c>
      <c r="E30" s="2">
        <f>VLOOKUP(A30,'2.09.2021'!A$3:'2.09.2021'!I$202,5,)</f>
        <v>44274</v>
      </c>
      <c r="F30" s="2">
        <v>44455</v>
      </c>
      <c r="G30" s="23">
        <f>VLOOKUP(A30,'2.09.2021'!A$3:'2.09.2021'!I$202,7,)</f>
        <v>0.13749999999999998</v>
      </c>
      <c r="H30" t="str">
        <f>VLOOKUP(A30,'2.09.2021'!A$3:'2.09.2021'!I$202,8,)</f>
        <v>POP</v>
      </c>
      <c r="I30" t="str">
        <f>VLOOKUP(A30,'2.09.2021'!A$3:'2.09.2021'!I$202,9,)</f>
        <v>Canada</v>
      </c>
      <c r="J30" t="str">
        <f t="shared" si="1"/>
        <v>Da</v>
      </c>
    </row>
    <row r="31" spans="1:10" x14ac:dyDescent="0.2">
      <c r="A31" t="s">
        <v>45</v>
      </c>
      <c r="B31" t="s">
        <v>46</v>
      </c>
      <c r="C31">
        <v>14287625</v>
      </c>
      <c r="D31" s="7">
        <f t="shared" si="0"/>
        <v>71438.125</v>
      </c>
      <c r="E31" s="2">
        <f>VLOOKUP(A31,'2.09.2021'!A$3:'2.09.2021'!I$202,5,)</f>
        <v>44414</v>
      </c>
      <c r="F31" s="2">
        <v>44455</v>
      </c>
      <c r="G31" s="23">
        <f>VLOOKUP(A31,'2.09.2021'!A$3:'2.09.2021'!I$202,7,)</f>
        <v>0.15277777777777776</v>
      </c>
      <c r="H31" t="str">
        <f>VLOOKUP(A31,'2.09.2021'!A$3:'2.09.2021'!I$202,8,)</f>
        <v>R&amp;B/SOUL</v>
      </c>
      <c r="I31" t="str">
        <f>VLOOKUP(A31,'2.09.2021'!A$3:'2.09.2021'!I$202,9,)</f>
        <v>Canada</v>
      </c>
      <c r="J31" t="str">
        <f t="shared" si="1"/>
        <v>Nu</v>
      </c>
    </row>
    <row r="32" spans="1:10" x14ac:dyDescent="0.2">
      <c r="A32" t="s">
        <v>79</v>
      </c>
      <c r="B32" t="s">
        <v>80</v>
      </c>
      <c r="C32">
        <v>14079036</v>
      </c>
      <c r="D32" s="7">
        <f t="shared" si="0"/>
        <v>70395.179999999993</v>
      </c>
      <c r="E32" s="2">
        <f>VLOOKUP(A32,'2.09.2021'!A$3:'2.09.2021'!I$202,5,)</f>
        <v>44435</v>
      </c>
      <c r="F32" s="2">
        <v>44455</v>
      </c>
      <c r="G32" s="23">
        <f>VLOOKUP(A32,'2.09.2021'!A$3:'2.09.2021'!I$202,7,)</f>
        <v>0.17500000000000002</v>
      </c>
      <c r="H32" t="str">
        <f>VLOOKUP(A32,'2.09.2021'!A$3:'2.09.2021'!I$202,8,)</f>
        <v>HIP-HOP/RAP</v>
      </c>
      <c r="I32" t="str">
        <f>VLOOKUP(A32,'2.09.2021'!A$3:'2.09.2021'!I$202,9,)</f>
        <v>SUA</v>
      </c>
      <c r="J32" t="str">
        <f t="shared" si="1"/>
        <v>Da</v>
      </c>
    </row>
    <row r="33" spans="1:10" x14ac:dyDescent="0.2">
      <c r="A33" t="s">
        <v>53</v>
      </c>
      <c r="B33" t="s">
        <v>415</v>
      </c>
      <c r="C33">
        <v>14073872</v>
      </c>
      <c r="D33" s="7">
        <f t="shared" si="0"/>
        <v>70369.36</v>
      </c>
      <c r="E33" s="2">
        <f>VLOOKUP(A33,'2.09.2021'!A$3:'2.09.2021'!I$202,5,)</f>
        <v>44274</v>
      </c>
      <c r="F33" s="2">
        <v>44455</v>
      </c>
      <c r="G33" s="23">
        <f>VLOOKUP(A33,'2.09.2021'!A$3:'2.09.2021'!I$202,7,)</f>
        <v>0.12013888888888889</v>
      </c>
      <c r="H33" t="str">
        <f>VLOOKUP(A33,'2.09.2021'!A$3:'2.09.2021'!I$202,8,)</f>
        <v>ROCK</v>
      </c>
      <c r="I33" t="str">
        <f>VLOOKUP(A33,'2.09.2021'!A$3:'2.09.2021'!I$202,9,)</f>
        <v>Italia</v>
      </c>
      <c r="J33" t="str">
        <f t="shared" si="1"/>
        <v>Nu</v>
      </c>
    </row>
    <row r="34" spans="1:10" x14ac:dyDescent="0.2">
      <c r="A34" t="s">
        <v>28</v>
      </c>
      <c r="B34" t="s">
        <v>29</v>
      </c>
      <c r="C34">
        <v>13828796</v>
      </c>
      <c r="D34" s="7">
        <f t="shared" si="0"/>
        <v>69143.98</v>
      </c>
      <c r="E34" s="2">
        <f>VLOOKUP(A34,'23.09.2021'!A$3:'23.09.2021'!I$202,5,)</f>
        <v>44460</v>
      </c>
      <c r="F34" s="2">
        <v>44455</v>
      </c>
      <c r="G34" s="23">
        <f>VLOOKUP(A34,'23.09.2021'!A$3:'23.09.2021'!I$202,7,)</f>
        <v>0.13958333333333334</v>
      </c>
      <c r="H34" t="str">
        <f>VLOOKUP(A34,'23.09.2021'!A$3:'23.09.2021'!I$202,8,)</f>
        <v>POP</v>
      </c>
      <c r="I34" t="str">
        <f>VLOOKUP(A34,'23.09.2021'!A$3:'23.09.2021'!I$202,9,)</f>
        <v>SUA</v>
      </c>
      <c r="J34" t="str">
        <f t="shared" si="1"/>
        <v>Nu</v>
      </c>
    </row>
    <row r="35" spans="1:10" x14ac:dyDescent="0.2">
      <c r="A35" t="s">
        <v>143</v>
      </c>
      <c r="B35" t="s">
        <v>20</v>
      </c>
      <c r="C35">
        <v>13239717</v>
      </c>
      <c r="D35" s="7">
        <f t="shared" si="0"/>
        <v>66198.585000000006</v>
      </c>
      <c r="E35" s="2">
        <f>VLOOKUP(A35,'23.09.2021'!A$3:'23.09.2021'!I$202,5,)</f>
        <v>44460</v>
      </c>
      <c r="F35" s="2">
        <v>44455</v>
      </c>
      <c r="G35" s="23">
        <f>VLOOKUP(A35,'23.09.2021'!A$3:'23.09.2021'!I$202,7,)</f>
        <v>0.16388888888888889</v>
      </c>
      <c r="H35" t="str">
        <f>VLOOKUP(A35,'23.09.2021'!A$3:'23.09.2021'!I$202,8,)</f>
        <v>HIP-HOP/RAP</v>
      </c>
      <c r="I35" t="str">
        <f>VLOOKUP(A35,'23.09.2021'!A$3:'23.09.2021'!I$202,9,)</f>
        <v>Canada</v>
      </c>
      <c r="J35" t="str">
        <f t="shared" si="1"/>
        <v>Nu</v>
      </c>
    </row>
    <row r="36" spans="1:10" x14ac:dyDescent="0.2">
      <c r="A36" t="s">
        <v>49</v>
      </c>
      <c r="B36" t="s">
        <v>46</v>
      </c>
      <c r="C36">
        <v>13064129</v>
      </c>
      <c r="D36" s="7">
        <f t="shared" si="0"/>
        <v>65320.645000000004</v>
      </c>
      <c r="E36" s="2">
        <f>VLOOKUP(A36,'2.09.2021'!A$3:'2.09.2021'!I$202,5,)</f>
        <v>43798</v>
      </c>
      <c r="F36" s="2">
        <v>44455</v>
      </c>
      <c r="G36" s="23">
        <f>VLOOKUP(A36,'2.09.2021'!A$3:'2.09.2021'!I$202,7,)</f>
        <v>0.13958333333333334</v>
      </c>
      <c r="H36" t="str">
        <f>VLOOKUP(A36,'2.09.2021'!A$3:'2.09.2021'!I$202,8,)</f>
        <v>R&amp;B/SOUL</v>
      </c>
      <c r="I36" t="str">
        <f>VLOOKUP(A36,'2.09.2021'!A$3:'2.09.2021'!I$202,9,)</f>
        <v>Canada</v>
      </c>
      <c r="J36" t="str">
        <f t="shared" si="1"/>
        <v>Nu</v>
      </c>
    </row>
    <row r="37" spans="1:10" x14ac:dyDescent="0.2">
      <c r="A37" t="s">
        <v>56</v>
      </c>
      <c r="B37" t="s">
        <v>46</v>
      </c>
      <c r="C37">
        <v>12574176</v>
      </c>
      <c r="D37" s="7">
        <f t="shared" si="0"/>
        <v>62870.879999999997</v>
      </c>
      <c r="E37" s="2">
        <f>VLOOKUP(A37,'2.09.2021'!A$3:'2.09.2021'!I$202,5,)</f>
        <v>43910</v>
      </c>
      <c r="F37" s="2">
        <v>44455</v>
      </c>
      <c r="G37" s="23">
        <f>VLOOKUP(A37,'2.09.2021'!A$3:'2.09.2021'!I$202,7,)</f>
        <v>0.14930555555555555</v>
      </c>
      <c r="H37" t="str">
        <f>VLOOKUP(A37,'2.09.2021'!A$3:'2.09.2021'!I$202,8,)</f>
        <v>R&amp;B/SOUL</v>
      </c>
      <c r="I37" t="str">
        <f>VLOOKUP(A37,'2.09.2021'!A$3:'2.09.2021'!I$202,9,)</f>
        <v>Canada</v>
      </c>
      <c r="J37" t="str">
        <f t="shared" si="1"/>
        <v>Da</v>
      </c>
    </row>
    <row r="38" spans="1:10" x14ac:dyDescent="0.2">
      <c r="A38" t="s">
        <v>65</v>
      </c>
      <c r="B38" t="s">
        <v>12</v>
      </c>
      <c r="C38">
        <v>12006248</v>
      </c>
      <c r="D38" s="7">
        <f t="shared" si="0"/>
        <v>60031.24</v>
      </c>
      <c r="E38" s="2">
        <f>VLOOKUP(A38,'2.09.2021'!A$3:'2.09.2021'!I$202,5,)</f>
        <v>44372</v>
      </c>
      <c r="F38" s="2">
        <v>44455</v>
      </c>
      <c r="G38" s="23">
        <f>VLOOKUP(A38,'2.09.2021'!A$3:'2.09.2021'!I$202,7,)</f>
        <v>9.5833333333333326E-2</v>
      </c>
      <c r="H38" t="str">
        <f>VLOOKUP(A38,'2.09.2021'!A$3:'2.09.2021'!I$202,8,)</f>
        <v>POP</v>
      </c>
      <c r="I38" t="str">
        <f>VLOOKUP(A38,'2.09.2021'!A$3:'2.09.2021'!I$202,9,)</f>
        <v>SUA</v>
      </c>
      <c r="J38" t="str">
        <f t="shared" si="1"/>
        <v>Nu</v>
      </c>
    </row>
    <row r="39" spans="1:10" x14ac:dyDescent="0.2">
      <c r="A39" t="s">
        <v>77</v>
      </c>
      <c r="B39" t="s">
        <v>78</v>
      </c>
      <c r="C39">
        <v>11940428</v>
      </c>
      <c r="D39" s="7">
        <f t="shared" si="0"/>
        <v>59702.14</v>
      </c>
      <c r="E39" s="2">
        <f>VLOOKUP(A39,'23.09.2021'!A$3:'23.09.2021'!I$202,5,)</f>
        <v>44460</v>
      </c>
      <c r="F39" s="2">
        <v>44455</v>
      </c>
      <c r="G39" s="23">
        <f>VLOOKUP(A39,'23.09.2021'!A$3:'23.09.2021'!I$202,7,)</f>
        <v>0.13125000000000001</v>
      </c>
      <c r="H39" t="str">
        <f>VLOOKUP(A39,'23.09.2021'!A$3:'23.09.2021'!I$202,8,)</f>
        <v>ALTERNATIVE</v>
      </c>
      <c r="I39" t="str">
        <f>VLOOKUP(A39,'23.09.2021'!A$3:'23.09.2021'!I$202,9,)</f>
        <v>Panama</v>
      </c>
      <c r="J39" t="str">
        <f t="shared" si="1"/>
        <v>Nu</v>
      </c>
    </row>
    <row r="40" spans="1:10" x14ac:dyDescent="0.2">
      <c r="A40">
        <v>2055</v>
      </c>
      <c r="B40" t="s">
        <v>60</v>
      </c>
      <c r="C40">
        <v>11928780</v>
      </c>
      <c r="D40" s="7">
        <f t="shared" si="0"/>
        <v>59643.9</v>
      </c>
      <c r="E40" s="2">
        <f>VLOOKUP(A40,'2.09.2021'!A$3:'2.09.2021'!I$202,5,)</f>
        <v>44300</v>
      </c>
      <c r="F40" s="2">
        <v>44455</v>
      </c>
      <c r="G40" s="23">
        <f>VLOOKUP(A40,'2.09.2021'!A$3:'2.09.2021'!I$202,7,)</f>
        <v>8.5416666666666655E-2</v>
      </c>
      <c r="H40" t="str">
        <f>VLOOKUP(A40,'2.09.2021'!A$3:'2.09.2021'!I$202,8,)</f>
        <v>HIP-HOP/RAP</v>
      </c>
      <c r="I40" t="str">
        <f>VLOOKUP(A40,'2.09.2021'!A$3:'2.09.2021'!I$202,9,)</f>
        <v>Jamaica</v>
      </c>
      <c r="J40" t="str">
        <f t="shared" si="1"/>
        <v>Nu</v>
      </c>
    </row>
    <row r="41" spans="1:10" x14ac:dyDescent="0.2">
      <c r="A41" t="s">
        <v>57</v>
      </c>
      <c r="B41" t="s">
        <v>17</v>
      </c>
      <c r="C41">
        <v>11772296</v>
      </c>
      <c r="D41" s="7">
        <f t="shared" si="0"/>
        <v>58861.48</v>
      </c>
      <c r="E41" s="2">
        <f>VLOOKUP(A41,'2.09.2021'!A$3:'2.09.2021'!I$202,5,)</f>
        <v>44204</v>
      </c>
      <c r="F41" s="2">
        <v>44455</v>
      </c>
      <c r="G41" s="23">
        <f>VLOOKUP(A41,'2.09.2021'!A$3:'2.09.2021'!I$202,7,)</f>
        <v>0.16805555555555554</v>
      </c>
      <c r="H41" t="str">
        <f>VLOOKUP(A41,'2.09.2021'!A$3:'2.09.2021'!I$202,8,)</f>
        <v>POP</v>
      </c>
      <c r="I41" t="str">
        <f>VLOOKUP(A41,'2.09.2021'!A$3:'2.09.2021'!I$202,9,)</f>
        <v>SUA</v>
      </c>
      <c r="J41" t="str">
        <f t="shared" si="1"/>
        <v>Nu</v>
      </c>
    </row>
    <row r="42" spans="1:10" x14ac:dyDescent="0.2">
      <c r="A42" t="s">
        <v>72</v>
      </c>
      <c r="B42" t="s">
        <v>73</v>
      </c>
      <c r="C42">
        <v>11318170</v>
      </c>
      <c r="D42" s="7">
        <f t="shared" si="0"/>
        <v>56590.85</v>
      </c>
      <c r="E42" s="2">
        <f>VLOOKUP(A42,'2.09.2021'!A$3:'2.09.2021'!I$202,5,)</f>
        <v>44385</v>
      </c>
      <c r="F42" s="2">
        <v>44455</v>
      </c>
      <c r="G42" s="23">
        <f>VLOOKUP(A42,'2.09.2021'!A$3:'2.09.2021'!I$202,7,)</f>
        <v>0.18958333333333333</v>
      </c>
      <c r="H42" t="str">
        <f>VLOOKUP(A42,'2.09.2021'!A$3:'2.09.2021'!I$202,8,)</f>
        <v>LATIN</v>
      </c>
      <c r="I42" t="str">
        <f>VLOOKUP(A42,'2.09.2021'!A$3:'2.09.2021'!I$202,9,)</f>
        <v>Puerto Rico</v>
      </c>
      <c r="J42" t="str">
        <f t="shared" si="1"/>
        <v>Nu</v>
      </c>
    </row>
    <row r="43" spans="1:10" x14ac:dyDescent="0.2">
      <c r="A43" t="s">
        <v>74</v>
      </c>
      <c r="B43" t="s">
        <v>17</v>
      </c>
      <c r="C43">
        <v>11239468</v>
      </c>
      <c r="D43" s="7">
        <f t="shared" si="0"/>
        <v>56197.340000000004</v>
      </c>
      <c r="E43" s="2">
        <f>VLOOKUP(A43,'2.09.2021'!A$3:'2.09.2021'!I$202,5,)</f>
        <v>44337</v>
      </c>
      <c r="F43" s="2">
        <v>44455</v>
      </c>
      <c r="G43" s="23">
        <f>VLOOKUP(A43,'2.09.2021'!A$3:'2.09.2021'!I$202,7,)</f>
        <v>0.14930555555555555</v>
      </c>
      <c r="H43" t="str">
        <f>VLOOKUP(A43,'2.09.2021'!A$3:'2.09.2021'!I$202,8,)</f>
        <v>POP</v>
      </c>
      <c r="I43" t="str">
        <f>VLOOKUP(A43,'2.09.2021'!A$3:'2.09.2021'!I$202,9,)</f>
        <v>SUA</v>
      </c>
      <c r="J43" t="str">
        <f t="shared" si="1"/>
        <v>Nu</v>
      </c>
    </row>
    <row r="44" spans="1:10" x14ac:dyDescent="0.2">
      <c r="A44" t="s">
        <v>70</v>
      </c>
      <c r="B44" t="s">
        <v>71</v>
      </c>
      <c r="C44">
        <v>11223289</v>
      </c>
      <c r="D44" s="7">
        <f t="shared" si="0"/>
        <v>56116.445000000007</v>
      </c>
      <c r="E44" s="2">
        <f>VLOOKUP(A44,'2.09.2021'!A$3:'2.09.2021'!I$202,5,)</f>
        <v>44371</v>
      </c>
      <c r="F44" s="2">
        <v>44455</v>
      </c>
      <c r="G44" s="23">
        <f>VLOOKUP(A44,'2.09.2021'!A$3:'2.09.2021'!I$202,7,)</f>
        <v>0.18124999999999999</v>
      </c>
      <c r="H44" t="str">
        <f>VLOOKUP(A44,'2.09.2021'!A$3:'2.09.2021'!I$202,8,)</f>
        <v>LATIN URBAN</v>
      </c>
      <c r="I44" t="str">
        <f>VLOOKUP(A44,'2.09.2021'!A$3:'2.09.2021'!I$202,9,)</f>
        <v>Puerto Rico</v>
      </c>
      <c r="J44" t="str">
        <f t="shared" si="1"/>
        <v>Nu</v>
      </c>
    </row>
    <row r="45" spans="1:10" x14ac:dyDescent="0.2">
      <c r="A45" t="s">
        <v>427</v>
      </c>
      <c r="B45" t="s">
        <v>34</v>
      </c>
      <c r="C45">
        <v>10920030</v>
      </c>
      <c r="D45" s="7">
        <f t="shared" si="0"/>
        <v>54600.15</v>
      </c>
      <c r="E45" s="2">
        <f>VLOOKUP(A45,'2.09.2021'!A$3:'2.09.2021'!I$202,5,)</f>
        <v>44372</v>
      </c>
      <c r="F45" s="2">
        <v>44455</v>
      </c>
      <c r="G45" s="23">
        <f>VLOOKUP(A45,'2.09.2021'!A$3:'2.09.2021'!I$202,7,)</f>
        <v>0.11388888888888889</v>
      </c>
      <c r="H45" t="str">
        <f>VLOOKUP(A45,'2.09.2021'!A$3:'2.09.2021'!I$202,8,)</f>
        <v>LATIN URBAN</v>
      </c>
      <c r="I45" t="str">
        <f>VLOOKUP(A45,'2.09.2021'!A$3:'2.09.2021'!I$202,9,)</f>
        <v>Puerto Rico</v>
      </c>
      <c r="J45" t="str">
        <f t="shared" si="1"/>
        <v>Nu</v>
      </c>
    </row>
    <row r="46" spans="1:10" x14ac:dyDescent="0.2">
      <c r="A46" t="s">
        <v>58</v>
      </c>
      <c r="B46" t="s">
        <v>59</v>
      </c>
      <c r="C46">
        <v>10784250</v>
      </c>
      <c r="D46" s="7">
        <f t="shared" si="0"/>
        <v>53921.25</v>
      </c>
      <c r="E46" s="2">
        <f>VLOOKUP(A46,'2.09.2021'!A$3:'2.09.2021'!I$202,5,)</f>
        <v>44320</v>
      </c>
      <c r="F46" s="2">
        <v>44455</v>
      </c>
      <c r="G46" s="23">
        <f>VLOOKUP(A46,'2.09.2021'!A$3:'2.09.2021'!I$202,7,)</f>
        <v>0.14097222222222222</v>
      </c>
      <c r="H46" t="str">
        <f>VLOOKUP(A46,'2.09.2021'!A$3:'2.09.2021'!I$202,8,)</f>
        <v>R&amp;B/SOUL</v>
      </c>
      <c r="I46" t="str">
        <f>VLOOKUP(A46,'2.09.2021'!A$3:'2.09.2021'!I$202,9,)</f>
        <v>Olanda</v>
      </c>
      <c r="J46" t="str">
        <f t="shared" si="1"/>
        <v>Nu</v>
      </c>
    </row>
    <row r="47" spans="1:10" x14ac:dyDescent="0.2">
      <c r="A47" t="s">
        <v>54</v>
      </c>
      <c r="B47" t="s">
        <v>55</v>
      </c>
      <c r="C47">
        <v>10746280</v>
      </c>
      <c r="D47" s="7">
        <f t="shared" si="0"/>
        <v>53731.4</v>
      </c>
      <c r="E47" s="2">
        <f>VLOOKUP(A47,'2.09.2021'!A$3:'2.09.2021'!I$202,5,)</f>
        <v>44337</v>
      </c>
      <c r="F47" s="2">
        <v>44455</v>
      </c>
      <c r="G47" s="23">
        <f>VLOOKUP(A47,'2.09.2021'!A$3:'2.09.2021'!I$202,7,)</f>
        <v>0.11388888888888889</v>
      </c>
      <c r="H47" t="str">
        <f>VLOOKUP(A47,'2.09.2021'!A$3:'2.09.2021'!I$202,8,)</f>
        <v>K-POP</v>
      </c>
      <c r="I47" t="str">
        <f>VLOOKUP(A47,'2.09.2021'!A$3:'2.09.2021'!I$202,9,)</f>
        <v>Korea de Sud</v>
      </c>
      <c r="J47" t="str">
        <f t="shared" si="1"/>
        <v>Nu</v>
      </c>
    </row>
    <row r="48" spans="1:10" x14ac:dyDescent="0.2">
      <c r="A48" t="s">
        <v>68</v>
      </c>
      <c r="B48" t="s">
        <v>69</v>
      </c>
      <c r="C48">
        <v>10575749</v>
      </c>
      <c r="D48" s="7">
        <f t="shared" si="0"/>
        <v>52878.744999999995</v>
      </c>
      <c r="E48" s="2">
        <f>VLOOKUP(A48,'2.09.2021'!A$3:'2.09.2021'!I$202,5,)</f>
        <v>44385</v>
      </c>
      <c r="F48" s="2">
        <v>44455</v>
      </c>
      <c r="G48" s="23">
        <f>VLOOKUP(A48,'2.09.2021'!A$3:'2.09.2021'!I$202,7,)</f>
        <v>0.13958333333333334</v>
      </c>
      <c r="H48" t="str">
        <f>VLOOKUP(A48,'2.09.2021'!A$3:'2.09.2021'!I$202,8,)</f>
        <v>LATIN URBAN</v>
      </c>
      <c r="I48" t="str">
        <f>VLOOKUP(A48,'2.09.2021'!A$3:'2.09.2021'!I$202,9,)</f>
        <v>Columbia</v>
      </c>
      <c r="J48" t="str">
        <f t="shared" si="1"/>
        <v>Nu</v>
      </c>
    </row>
    <row r="49" spans="1:10" x14ac:dyDescent="0.2">
      <c r="A49" t="s">
        <v>47</v>
      </c>
      <c r="B49" t="s">
        <v>48</v>
      </c>
      <c r="C49">
        <v>10568134</v>
      </c>
      <c r="D49" s="7">
        <f t="shared" si="0"/>
        <v>52840.67</v>
      </c>
      <c r="E49" s="2">
        <f>VLOOKUP(A49,'23.09.2021'!A$3:'23.09.2021'!I$202,5,)</f>
        <v>44305</v>
      </c>
      <c r="F49" s="2">
        <v>44455</v>
      </c>
      <c r="G49" s="23">
        <f>VLOOKUP(A49,'23.09.2021'!A$3:'23.09.2021'!I$202,7,)</f>
        <v>0.12638888888888888</v>
      </c>
      <c r="H49" t="str">
        <f>VLOOKUP(A49,'23.09.2021'!A$3:'23.09.2021'!I$202,8,)</f>
        <v>HIP-HOP/RAP</v>
      </c>
      <c r="I49" t="str">
        <f>VLOOKUP(A49,'23.09.2021'!A$3:'23.09.2021'!I$202,9,)</f>
        <v>SUA</v>
      </c>
      <c r="J49" t="str">
        <f t="shared" si="1"/>
        <v>Nu</v>
      </c>
    </row>
    <row r="50" spans="1:10" x14ac:dyDescent="0.2">
      <c r="A50" t="s">
        <v>145</v>
      </c>
      <c r="B50" t="s">
        <v>52</v>
      </c>
      <c r="C50">
        <v>10483865</v>
      </c>
      <c r="D50" s="7">
        <f t="shared" si="0"/>
        <v>52419.324999999997</v>
      </c>
      <c r="E50" s="2">
        <f>VLOOKUP(A50,'2.09.2021'!A$3:'2.09.2021'!I$202,5,)</f>
        <v>44437</v>
      </c>
      <c r="F50" s="2">
        <v>44455</v>
      </c>
      <c r="G50" s="23">
        <f>VLOOKUP(A50,'2.09.2021'!A$3:'2.09.2021'!I$202,7,)</f>
        <v>0.10833333333333334</v>
      </c>
      <c r="H50" t="str">
        <f>VLOOKUP(A50,'2.09.2021'!A$3:'2.09.2021'!I$202,8,)</f>
        <v>HIP-HOP/RAP</v>
      </c>
      <c r="I50" t="str">
        <f>VLOOKUP(A50,'2.09.2021'!A$3:'2.09.2021'!I$202,9,)</f>
        <v>SUA</v>
      </c>
      <c r="J50" t="str">
        <f t="shared" si="1"/>
        <v>Nu</v>
      </c>
    </row>
    <row r="51" spans="1:10" x14ac:dyDescent="0.2">
      <c r="A51" t="s">
        <v>63</v>
      </c>
      <c r="B51" t="s">
        <v>64</v>
      </c>
      <c r="C51">
        <v>10423194</v>
      </c>
      <c r="D51" s="7">
        <f t="shared" si="0"/>
        <v>52115.97</v>
      </c>
      <c r="E51" s="2">
        <f>VLOOKUP(A51,'23.09.2021'!A$3:'23.09.2021'!I$202,5,)</f>
        <v>44290</v>
      </c>
      <c r="F51" s="2">
        <v>44455</v>
      </c>
      <c r="G51" s="23">
        <f>VLOOKUP(A51,'23.09.2021'!A$3:'23.09.2021'!I$202,7,)</f>
        <v>0.20555555555555557</v>
      </c>
      <c r="H51" s="23" t="str">
        <f>VLOOKUP(B51,'23.09.2021'!B$3:'23.09.2021'!J$202,7,)</f>
        <v>LATIN URBAN</v>
      </c>
      <c r="I51" s="23" t="s">
        <v>474</v>
      </c>
      <c r="J51" t="str">
        <f t="shared" si="1"/>
        <v>Nu</v>
      </c>
    </row>
    <row r="52" spans="1:10" x14ac:dyDescent="0.2">
      <c r="A52" t="s">
        <v>100</v>
      </c>
      <c r="B52" t="s">
        <v>42</v>
      </c>
      <c r="C52">
        <v>10060200</v>
      </c>
      <c r="D52" s="7">
        <f t="shared" si="0"/>
        <v>50301</v>
      </c>
      <c r="E52" s="2">
        <f>VLOOKUP(A52,'30.09.2021'!A$3:'30.09.2021'!I$202,5,)</f>
        <v>44229</v>
      </c>
      <c r="F52" s="2">
        <v>44455</v>
      </c>
      <c r="G52" s="23">
        <f>VLOOKUP(A52,'30.09.2021'!A$3:'30.09.2021'!I$202,7,)</f>
        <v>0.10555555555555556</v>
      </c>
      <c r="H52" s="23" t="str">
        <f>VLOOKUP(B52,'23.09.2021'!B$3:'23.09.2021'!J$202,7,)</f>
        <v>LATIN URBAN</v>
      </c>
      <c r="I52" s="23" t="s">
        <v>472</v>
      </c>
      <c r="J52" t="str">
        <f t="shared" si="1"/>
        <v>Nu</v>
      </c>
    </row>
    <row r="53" spans="1:10" x14ac:dyDescent="0.2">
      <c r="A53" t="s">
        <v>247</v>
      </c>
      <c r="B53" t="s">
        <v>20</v>
      </c>
      <c r="C53">
        <v>10034595</v>
      </c>
      <c r="D53" s="7">
        <f t="shared" si="0"/>
        <v>50172.974999999999</v>
      </c>
      <c r="E53" s="2">
        <f>VLOOKUP(A53,'23.09.2021'!A$3:'23.09.2021'!I$202,5,)</f>
        <v>44460</v>
      </c>
      <c r="F53" s="2">
        <v>44455</v>
      </c>
      <c r="G53" s="23">
        <f>VLOOKUP(A53,'23.09.2021'!A$3:'23.09.2021'!I$202,7,)</f>
        <v>0.12847222222222224</v>
      </c>
      <c r="H53" s="23" t="s">
        <v>423</v>
      </c>
      <c r="I53" s="23" t="s">
        <v>420</v>
      </c>
      <c r="J53" t="str">
        <f t="shared" si="1"/>
        <v>Nu</v>
      </c>
    </row>
    <row r="54" spans="1:10" x14ac:dyDescent="0.2">
      <c r="A54" t="s">
        <v>93</v>
      </c>
      <c r="B54" t="s">
        <v>94</v>
      </c>
      <c r="C54">
        <v>10033710</v>
      </c>
      <c r="D54" s="7">
        <f t="shared" si="0"/>
        <v>50168.549999999996</v>
      </c>
      <c r="E54" s="2">
        <f>VLOOKUP(A54,'2.09.2021'!A$3:'2.09.2021'!I$202,5,)</f>
        <v>44386</v>
      </c>
      <c r="F54" s="2">
        <v>44455</v>
      </c>
      <c r="G54" s="23">
        <f>VLOOKUP(A54,'2.09.2021'!A$3:'2.09.2021'!I$202,7,)</f>
        <v>0.13333333333333333</v>
      </c>
      <c r="H54" t="str">
        <f>VLOOKUP(A54,'2.09.2021'!A$3:'2.09.2021'!I$202,8,)</f>
        <v>RHYTHM &amp; BLUES</v>
      </c>
      <c r="I54" t="str">
        <f>VLOOKUP(A54,'2.09.2021'!A$3:'2.09.2021'!I$202,9,)</f>
        <v>Argentina</v>
      </c>
      <c r="J54" t="str">
        <f t="shared" si="1"/>
        <v>Nu</v>
      </c>
    </row>
    <row r="55" spans="1:10" x14ac:dyDescent="0.2">
      <c r="A55" t="s">
        <v>83</v>
      </c>
      <c r="B55" t="s">
        <v>84</v>
      </c>
      <c r="C55">
        <v>9959249</v>
      </c>
      <c r="D55" s="7">
        <f t="shared" si="0"/>
        <v>49796.244999999995</v>
      </c>
      <c r="E55" s="2">
        <f>VLOOKUP(A55,'2.09.2021'!A$3:'2.09.2021'!I$202,5,)</f>
        <v>43812</v>
      </c>
      <c r="F55" s="2">
        <v>44455</v>
      </c>
      <c r="G55" s="23">
        <f>VLOOKUP(A55,'2.09.2021'!A$3:'2.09.2021'!I$202,7,)</f>
        <v>0.12013888888888889</v>
      </c>
      <c r="H55" t="str">
        <f>VLOOKUP(A55,'2.09.2021'!A$3:'2.09.2021'!I$202,8,)</f>
        <v>POP</v>
      </c>
      <c r="I55" t="str">
        <f>VLOOKUP(A55,'2.09.2021'!A$3:'2.09.2021'!I$202,9,)</f>
        <v>Marea Britanie</v>
      </c>
      <c r="J55" t="str">
        <f t="shared" si="1"/>
        <v>Nu</v>
      </c>
    </row>
    <row r="56" spans="1:10" x14ac:dyDescent="0.2">
      <c r="A56" t="s">
        <v>178</v>
      </c>
      <c r="B56" t="s">
        <v>52</v>
      </c>
      <c r="C56">
        <v>9867544</v>
      </c>
      <c r="D56" s="7">
        <f t="shared" si="0"/>
        <v>49337.72</v>
      </c>
      <c r="E56" s="2">
        <f>VLOOKUP(A56,'2.09.2021'!A$3:'2.09.2021'!I$202,5,)</f>
        <v>44437</v>
      </c>
      <c r="F56" s="2">
        <v>44455</v>
      </c>
      <c r="G56" s="23">
        <f>VLOOKUP(A56,'2.09.2021'!A$3:'2.09.2021'!I$202,7,)</f>
        <v>0.23541666666666669</v>
      </c>
      <c r="H56" t="str">
        <f>VLOOKUP(A56,'2.09.2021'!A$3:'2.09.2021'!I$202,8,)</f>
        <v>HIP-HOP/RAP</v>
      </c>
      <c r="I56" t="str">
        <f>VLOOKUP(A56,'2.09.2021'!A$3:'2.09.2021'!I$202,9,)</f>
        <v>SUA</v>
      </c>
      <c r="J56" t="str">
        <f t="shared" si="1"/>
        <v>Nu</v>
      </c>
    </row>
    <row r="57" spans="1:10" x14ac:dyDescent="0.2">
      <c r="A57" t="s">
        <v>44</v>
      </c>
      <c r="B57" t="s">
        <v>40</v>
      </c>
      <c r="C57">
        <v>9574461</v>
      </c>
      <c r="D57" s="7">
        <f t="shared" si="0"/>
        <v>47872.304999999993</v>
      </c>
      <c r="E57" s="2">
        <f>VLOOKUP(A57,'30.09.2021'!A$3:'30.09.2021'!I$202,5,)</f>
        <v>44445</v>
      </c>
      <c r="F57" s="2">
        <v>44455</v>
      </c>
      <c r="G57" s="23">
        <f>VLOOKUP(A57,'30.09.2021'!A$3:'30.09.2021'!I$202,7,)</f>
        <v>9.8611111111111108E-2</v>
      </c>
      <c r="H57" t="str">
        <f>VLOOKUP(A57,'30.09.2021'!A$3:'30.09.2021'!I$202,8,)</f>
        <v>POP</v>
      </c>
      <c r="I57" t="str">
        <f>VLOOKUP(A57,'30.09.2021'!A$3:'30.09.2021'!I$202,9,)</f>
        <v>Canada</v>
      </c>
      <c r="J57" t="str">
        <f t="shared" si="1"/>
        <v>Nu</v>
      </c>
    </row>
    <row r="58" spans="1:10" x14ac:dyDescent="0.2">
      <c r="A58" t="s">
        <v>87</v>
      </c>
      <c r="B58" t="s">
        <v>88</v>
      </c>
      <c r="C58">
        <v>9556410</v>
      </c>
      <c r="D58" s="7">
        <f t="shared" si="0"/>
        <v>47782.05</v>
      </c>
      <c r="E58" s="2">
        <f>VLOOKUP(A58,'2.09.2021'!A$3:'2.09.2021'!I$202,5,)</f>
        <v>44260</v>
      </c>
      <c r="F58" s="2">
        <v>44455</v>
      </c>
      <c r="G58" s="23">
        <f>VLOOKUP(A58,'2.09.2021'!A$3:'2.09.2021'!I$202,7,)</f>
        <v>0.16805555555555554</v>
      </c>
      <c r="H58" t="str">
        <f>VLOOKUP(A58,'2.09.2021'!A$3:'2.09.2021'!I$202,8,)</f>
        <v>R&amp;B/SOUL</v>
      </c>
      <c r="I58" t="str">
        <f>VLOOKUP(A58,'2.09.2021'!A$3:'2.09.2021'!I$202,9,)</f>
        <v>Puerto Rico</v>
      </c>
      <c r="J58" t="str">
        <f t="shared" si="1"/>
        <v>Nu</v>
      </c>
    </row>
    <row r="59" spans="1:10" x14ac:dyDescent="0.2">
      <c r="A59" t="s">
        <v>81</v>
      </c>
      <c r="B59" t="s">
        <v>82</v>
      </c>
      <c r="C59">
        <v>9494671</v>
      </c>
      <c r="D59" s="7">
        <f t="shared" si="0"/>
        <v>47473.355000000003</v>
      </c>
      <c r="E59" s="2">
        <f>VLOOKUP(A59,'2.09.2021'!A$3:'2.09.2021'!I$202,5,)</f>
        <v>44400</v>
      </c>
      <c r="F59" s="2">
        <v>44455</v>
      </c>
      <c r="G59" s="23">
        <f>VLOOKUP(A59,'2.09.2021'!A$3:'2.09.2021'!I$202,7,)</f>
        <v>0.11388888888888889</v>
      </c>
      <c r="H59" t="str">
        <f>VLOOKUP(A59,'2.09.2021'!A$3:'2.09.2021'!I$202,8,)</f>
        <v>POP</v>
      </c>
      <c r="I59" t="str">
        <f>VLOOKUP(A59,'2.09.2021'!A$3:'2.09.2021'!I$202,9,)</f>
        <v>Cuba</v>
      </c>
      <c r="J59" t="str">
        <f t="shared" si="1"/>
        <v>Nu</v>
      </c>
    </row>
    <row r="60" spans="1:10" x14ac:dyDescent="0.2">
      <c r="A60" t="s">
        <v>91</v>
      </c>
      <c r="B60" t="s">
        <v>92</v>
      </c>
      <c r="C60">
        <v>9402105</v>
      </c>
      <c r="D60" s="7">
        <f t="shared" si="0"/>
        <v>47010.524999999994</v>
      </c>
      <c r="E60" s="2">
        <f>VLOOKUP(A60,'2.09.2021'!A$3:'2.09.2021'!I$202,5,)</f>
        <v>44276</v>
      </c>
      <c r="F60" s="2">
        <v>44455</v>
      </c>
      <c r="G60" s="23">
        <f>VLOOKUP(A60,'2.09.2021'!A$3:'2.09.2021'!I$202,7,)</f>
        <v>0.17500000000000002</v>
      </c>
      <c r="H60" t="str">
        <f>VLOOKUP(A60,'2.09.2021'!A$3:'2.09.2021'!I$202,8,)</f>
        <v>POP</v>
      </c>
      <c r="I60" t="str">
        <f>VLOOKUP(A60,'2.09.2021'!A$3:'2.09.2021'!I$202,9,)</f>
        <v>Marea Britanie</v>
      </c>
      <c r="J60" t="str">
        <f t="shared" si="1"/>
        <v>Nu</v>
      </c>
    </row>
    <row r="61" spans="1:10" x14ac:dyDescent="0.2">
      <c r="A61" t="s">
        <v>95</v>
      </c>
      <c r="B61" t="s">
        <v>17</v>
      </c>
      <c r="C61">
        <v>9335437</v>
      </c>
      <c r="D61" s="7">
        <f t="shared" si="0"/>
        <v>46677.184999999998</v>
      </c>
      <c r="E61" s="2">
        <f>VLOOKUP(A61,'2.09.2021'!A$3:'2.09.2021'!I$202,5,)</f>
        <v>44337</v>
      </c>
      <c r="F61" s="2">
        <v>44455</v>
      </c>
      <c r="G61" s="23">
        <f>VLOOKUP(A61,'2.09.2021'!A$3:'2.09.2021'!I$202,7,)</f>
        <v>0.12152777777777778</v>
      </c>
      <c r="H61" t="str">
        <f>VLOOKUP(A61,'2.09.2021'!A$3:'2.09.2021'!I$202,8,)</f>
        <v>POP</v>
      </c>
      <c r="I61" t="str">
        <f>VLOOKUP(A61,'2.09.2021'!A$3:'2.09.2021'!I$202,9,)</f>
        <v>SUA</v>
      </c>
      <c r="J61" t="str">
        <f t="shared" si="1"/>
        <v>Nu</v>
      </c>
    </row>
    <row r="62" spans="1:10" x14ac:dyDescent="0.2">
      <c r="A62" t="s">
        <v>430</v>
      </c>
      <c r="B62" t="s">
        <v>32</v>
      </c>
      <c r="C62">
        <v>9212447</v>
      </c>
      <c r="D62" s="7">
        <f t="shared" si="0"/>
        <v>46062.235000000001</v>
      </c>
      <c r="E62" s="2">
        <f>VLOOKUP(A62,'2.09.2021'!A$3:'2.09.2021'!I$202,5,)</f>
        <v>44134</v>
      </c>
      <c r="F62" s="2">
        <v>44455</v>
      </c>
      <c r="G62" s="23">
        <f>VLOOKUP(A62,'2.09.2021'!A$3:'2.09.2021'!I$202,7,)</f>
        <v>0.1423611111111111</v>
      </c>
      <c r="H62" t="str">
        <f>VLOOKUP(A62,'2.09.2021'!A$3:'2.09.2021'!I$202,8,)</f>
        <v>LATIN</v>
      </c>
      <c r="I62" t="str">
        <f>VLOOKUP(A62,'2.09.2021'!A$3:'2.09.2021'!I$202,9,)</f>
        <v>Puerto Rico</v>
      </c>
      <c r="J62" t="str">
        <f t="shared" si="1"/>
        <v>Nu</v>
      </c>
    </row>
    <row r="63" spans="1:10" x14ac:dyDescent="0.2">
      <c r="A63" t="s">
        <v>301</v>
      </c>
      <c r="B63" t="s">
        <v>20</v>
      </c>
      <c r="C63">
        <v>9123400</v>
      </c>
      <c r="D63" s="7">
        <f t="shared" si="0"/>
        <v>45617</v>
      </c>
      <c r="E63" s="2">
        <f>VLOOKUP(A63,'23.09.2021'!A$3:'23.09.2021'!I$202,5,)</f>
        <v>44460</v>
      </c>
      <c r="F63" s="2">
        <v>44455</v>
      </c>
      <c r="G63" s="23">
        <f>VLOOKUP(A63,'23.09.2021'!A$3:'23.09.2021'!I$202,7,)</f>
        <v>0.13958333333333334</v>
      </c>
      <c r="H63" s="23" t="str">
        <f>VLOOKUP(B63,'23.09.2021'!B$3:'23.09.2021'!J$202,7,)</f>
        <v>hIP-HOP/RAP</v>
      </c>
      <c r="I63" s="23" t="s">
        <v>420</v>
      </c>
      <c r="J63" t="str">
        <f t="shared" si="1"/>
        <v>Nu</v>
      </c>
    </row>
    <row r="64" spans="1:10" x14ac:dyDescent="0.2">
      <c r="A64" t="s">
        <v>96</v>
      </c>
      <c r="B64" t="s">
        <v>97</v>
      </c>
      <c r="C64">
        <v>9105727</v>
      </c>
      <c r="D64" s="7">
        <f t="shared" si="0"/>
        <v>45528.635000000002</v>
      </c>
      <c r="E64" s="2">
        <f>VLOOKUP(A64,'2.09.2021'!A$3:'2.09.2021'!I$202,5,)</f>
        <v>43083</v>
      </c>
      <c r="F64" s="2">
        <v>44455</v>
      </c>
      <c r="G64" s="23">
        <f>VLOOKUP(A64,'2.09.2021'!A$3:'2.09.2021'!I$202,7,)</f>
        <v>0.1673611111111111</v>
      </c>
      <c r="H64" t="str">
        <f>VLOOKUP(A64,'2.09.2021'!A$3:'2.09.2021'!I$202,8,)</f>
        <v>ELECTRONIC</v>
      </c>
      <c r="I64" t="str">
        <f>VLOOKUP(A64,'2.09.2021'!A$3:'2.09.2021'!I$202,9,)</f>
        <v>Australia</v>
      </c>
      <c r="J64" t="str">
        <f t="shared" si="1"/>
        <v>Nu</v>
      </c>
    </row>
    <row r="65" spans="1:10" x14ac:dyDescent="0.2">
      <c r="A65" t="s">
        <v>441</v>
      </c>
      <c r="B65" t="s">
        <v>76</v>
      </c>
      <c r="C65">
        <v>9098393</v>
      </c>
      <c r="D65" s="7">
        <f t="shared" si="0"/>
        <v>45491.964999999997</v>
      </c>
      <c r="E65" s="2">
        <f>VLOOKUP(A65,'2.09.2021'!A$3:'2.09.2021'!I$202,5,)</f>
        <v>44370</v>
      </c>
      <c r="F65" s="2">
        <v>44455</v>
      </c>
      <c r="G65" s="23">
        <f>VLOOKUP(A65,'2.09.2021'!A$3:'2.09.2021'!I$202,7,)</f>
        <v>0.18124999999999999</v>
      </c>
      <c r="H65" t="str">
        <f>VLOOKUP(A65,'2.09.2021'!A$3:'2.09.2021'!I$202,8,)</f>
        <v>ROCK</v>
      </c>
      <c r="I65" t="str">
        <f>VLOOKUP(A65,'2.09.2021'!A$3:'2.09.2021'!I$202,9,)</f>
        <v>Marea Britanie</v>
      </c>
      <c r="J65" t="str">
        <f t="shared" si="1"/>
        <v>Da</v>
      </c>
    </row>
    <row r="66" spans="1:10" x14ac:dyDescent="0.2">
      <c r="A66" t="s">
        <v>75</v>
      </c>
      <c r="B66" t="s">
        <v>55</v>
      </c>
      <c r="C66">
        <v>9059053</v>
      </c>
      <c r="D66" s="7">
        <f t="shared" si="0"/>
        <v>45295.264999999999</v>
      </c>
      <c r="E66" s="2">
        <f>VLOOKUP(A66,'2.09.2021'!A$3:'2.09.2021'!I$202,5,)</f>
        <v>44386</v>
      </c>
      <c r="F66" s="2">
        <v>44455</v>
      </c>
      <c r="G66" s="23">
        <f>VLOOKUP(A66,'2.09.2021'!A$3:'2.09.2021'!I$202,7,)</f>
        <v>0.12986111111111112</v>
      </c>
      <c r="H66" t="str">
        <f>VLOOKUP(A66,'2.09.2021'!A$3:'2.09.2021'!I$202,8,)</f>
        <v>K-POP</v>
      </c>
      <c r="I66" t="str">
        <f>VLOOKUP(A66,'2.09.2021'!A$3:'2.09.2021'!I$202,9,)</f>
        <v>Korea de Sud</v>
      </c>
      <c r="J66" t="str">
        <f t="shared" si="1"/>
        <v>Nu</v>
      </c>
    </row>
    <row r="67" spans="1:10" x14ac:dyDescent="0.2">
      <c r="A67" t="s">
        <v>442</v>
      </c>
      <c r="B67" t="s">
        <v>98</v>
      </c>
      <c r="C67">
        <v>9054989</v>
      </c>
      <c r="D67" s="7">
        <f t="shared" si="0"/>
        <v>45274.945</v>
      </c>
      <c r="E67" s="2">
        <f>VLOOKUP(A67,'2.09.2021'!A$3:'2.09.2021'!I$202,5,)</f>
        <v>44336</v>
      </c>
      <c r="F67" s="2">
        <v>44455</v>
      </c>
      <c r="G67" s="23">
        <f>VLOOKUP(A67,'2.09.2021'!A$3:'2.09.2021'!I$202,7,)</f>
        <v>9.5138888888888884E-2</v>
      </c>
      <c r="H67" t="str">
        <f>VLOOKUP(A67,'2.09.2021'!A$3:'2.09.2021'!I$202,8,)</f>
        <v>HIP-HOP/RAP</v>
      </c>
      <c r="I67" t="str">
        <f>VLOOKUP(A67,'2.09.2021'!A$3:'2.09.2021'!I$202,9,)</f>
        <v>SUA</v>
      </c>
      <c r="J67" t="str">
        <f t="shared" si="1"/>
        <v>Da</v>
      </c>
    </row>
    <row r="68" spans="1:10" x14ac:dyDescent="0.2">
      <c r="A68" t="s">
        <v>101</v>
      </c>
      <c r="B68" t="s">
        <v>102</v>
      </c>
      <c r="C68">
        <v>8930762</v>
      </c>
      <c r="D68" s="7">
        <f t="shared" ref="D68:D131" si="2">(C68/1000*5)</f>
        <v>44653.810000000005</v>
      </c>
      <c r="E68" s="2">
        <f>VLOOKUP(A68,'2.09.2021'!A$3:'2.09.2021'!I$202,5,)</f>
        <v>44306</v>
      </c>
      <c r="F68" s="2">
        <v>44455</v>
      </c>
      <c r="G68" s="23">
        <f>VLOOKUP(A68,'2.09.2021'!A$3:'2.09.2021'!I$202,7,)</f>
        <v>0.15347222222222223</v>
      </c>
      <c r="H68" t="str">
        <f>VLOOKUP(A68,'2.09.2021'!A$3:'2.09.2021'!I$202,8,)</f>
        <v>DANCE</v>
      </c>
      <c r="I68" t="str">
        <f>VLOOKUP(A68,'2.09.2021'!A$3:'2.09.2021'!I$202,9,)</f>
        <v>SUA</v>
      </c>
      <c r="J68" t="str">
        <f t="shared" si="1"/>
        <v>Nu</v>
      </c>
    </row>
    <row r="69" spans="1:10" x14ac:dyDescent="0.2">
      <c r="A69" t="s">
        <v>127</v>
      </c>
      <c r="B69" t="s">
        <v>12</v>
      </c>
      <c r="C69">
        <v>8916313</v>
      </c>
      <c r="D69" s="7">
        <f t="shared" si="2"/>
        <v>44581.565000000002</v>
      </c>
      <c r="E69" s="2">
        <f>VLOOKUP(A69,'2.09.2021'!A$3:'2.09.2021'!I$202,5,)</f>
        <v>44372</v>
      </c>
      <c r="F69" s="2">
        <v>44455</v>
      </c>
      <c r="G69" s="23">
        <f>VLOOKUP(A69,'2.09.2021'!A$3:'2.09.2021'!I$202,7,)</f>
        <v>0.12083333333333333</v>
      </c>
      <c r="H69" t="str">
        <f>VLOOKUP(A69,'2.09.2021'!A$3:'2.09.2021'!I$202,8,)</f>
        <v>POP</v>
      </c>
      <c r="I69" t="str">
        <f>VLOOKUP(A69,'2.09.2021'!A$3:'2.09.2021'!I$202,9,)</f>
        <v>SUA</v>
      </c>
      <c r="J69" t="str">
        <f t="shared" ref="J69:J132" si="3">IF(ISNUMBER(SEARCH("with",A69)),"Da","Nu")</f>
        <v>Nu</v>
      </c>
    </row>
    <row r="70" spans="1:10" x14ac:dyDescent="0.2">
      <c r="A70" t="s">
        <v>85</v>
      </c>
      <c r="B70" t="s">
        <v>86</v>
      </c>
      <c r="C70">
        <v>8791698</v>
      </c>
      <c r="D70" s="7">
        <f t="shared" si="2"/>
        <v>43958.490000000005</v>
      </c>
      <c r="E70" s="2">
        <f>VLOOKUP(A70,'2.09.2021'!A$3:'2.09.2021'!I$202,5,)</f>
        <v>44230</v>
      </c>
      <c r="F70" s="2">
        <v>44455</v>
      </c>
      <c r="G70" s="23">
        <f>VLOOKUP(A70,'2.09.2021'!A$3:'2.09.2021'!I$202,7,)</f>
        <v>9.5833333333333326E-2</v>
      </c>
      <c r="H70" t="str">
        <f>VLOOKUP(A70,'2.09.2021'!A$3:'2.09.2021'!I$202,8,)</f>
        <v>R&amp;B/SOUL</v>
      </c>
      <c r="I70" t="str">
        <f>VLOOKUP(A70,'2.09.2021'!A$3:'2.09.2021'!I$202,9,)</f>
        <v>SUA</v>
      </c>
      <c r="J70" t="str">
        <f t="shared" si="3"/>
        <v>Nu</v>
      </c>
    </row>
    <row r="71" spans="1:10" x14ac:dyDescent="0.2">
      <c r="A71" t="s">
        <v>431</v>
      </c>
      <c r="B71" t="s">
        <v>111</v>
      </c>
      <c r="C71">
        <v>8661757</v>
      </c>
      <c r="D71" s="7">
        <f t="shared" si="2"/>
        <v>43308.784999999996</v>
      </c>
      <c r="E71" s="2">
        <f>VLOOKUP(A71,'2.09.2021'!A$3:'2.09.2021'!I$202,5,)</f>
        <v>44317</v>
      </c>
      <c r="F71" s="2">
        <v>44455</v>
      </c>
      <c r="G71" s="23">
        <f>VLOOKUP(A71,'2.09.2021'!A$3:'2.09.2021'!I$202,7,)</f>
        <v>0.11458333333333333</v>
      </c>
      <c r="H71" t="str">
        <f>VLOOKUP(A71,'2.09.2021'!A$3:'2.09.2021'!I$202,8,)</f>
        <v>LATIN URBAN</v>
      </c>
      <c r="I71" t="str">
        <f>VLOOKUP(A71,'2.09.2021'!A$3:'2.09.2021'!I$202,9,)</f>
        <v>Argentina</v>
      </c>
      <c r="J71" t="str">
        <f t="shared" si="3"/>
        <v>Nu</v>
      </c>
    </row>
    <row r="72" spans="1:10" x14ac:dyDescent="0.2">
      <c r="A72" t="s">
        <v>112</v>
      </c>
      <c r="B72" t="s">
        <v>113</v>
      </c>
      <c r="C72">
        <v>8659515</v>
      </c>
      <c r="D72" s="7">
        <f t="shared" si="2"/>
        <v>43297.574999999997</v>
      </c>
      <c r="E72" s="2">
        <f>VLOOKUP(A72,'2.09.2021'!A$3:'2.09.2021'!I$202,5,)</f>
        <v>44238</v>
      </c>
      <c r="F72" s="2">
        <v>44455</v>
      </c>
      <c r="G72" s="23">
        <f>VLOOKUP(A72,'2.09.2021'!A$3:'2.09.2021'!I$202,7,)</f>
        <v>0.20625000000000002</v>
      </c>
      <c r="H72" t="str">
        <f>VLOOKUP(A72,'2.09.2021'!A$3:'2.09.2021'!I$202,8,)</f>
        <v>LATIN URBAN</v>
      </c>
      <c r="I72" t="str">
        <f>VLOOKUP(A72,'2.09.2021'!A$3:'2.09.2021'!I$202,9,)</f>
        <v>Columbia</v>
      </c>
      <c r="J72" t="str">
        <f t="shared" si="3"/>
        <v>Nu</v>
      </c>
    </row>
    <row r="73" spans="1:10" x14ac:dyDescent="0.2">
      <c r="A73" t="s">
        <v>443</v>
      </c>
      <c r="B73" t="s">
        <v>116</v>
      </c>
      <c r="C73">
        <v>8652845</v>
      </c>
      <c r="D73" s="7">
        <f t="shared" si="2"/>
        <v>43264.224999999999</v>
      </c>
      <c r="E73" s="2">
        <f>VLOOKUP(A73,'2.09.2021'!A$3:'2.09.2021'!I$202,5,)</f>
        <v>44211</v>
      </c>
      <c r="F73" s="2">
        <v>44455</v>
      </c>
      <c r="G73" s="23">
        <f>VLOOKUP(A73,'2.09.2021'!A$3:'2.09.2021'!I$202,7,)</f>
        <v>0.1173611111111111</v>
      </c>
      <c r="H73" t="str">
        <f>VLOOKUP(A73,'2.09.2021'!A$3:'2.09.2021'!I$202,8,)</f>
        <v>DANCE</v>
      </c>
      <c r="I73" t="str">
        <f>VLOOKUP(A73,'2.09.2021'!A$3:'2.09.2021'!I$202,9,)</f>
        <v>Marea Britanie</v>
      </c>
      <c r="J73" t="str">
        <f t="shared" si="3"/>
        <v>Da</v>
      </c>
    </row>
    <row r="74" spans="1:10" x14ac:dyDescent="0.2">
      <c r="A74" t="s">
        <v>300</v>
      </c>
      <c r="B74" t="s">
        <v>20</v>
      </c>
      <c r="C74">
        <v>8522529</v>
      </c>
      <c r="D74" s="7">
        <f t="shared" si="2"/>
        <v>42612.645000000004</v>
      </c>
      <c r="E74" s="2">
        <f>VLOOKUP(A74,'23.09.2021'!A$3:'23.09.2021'!I$202,5,)</f>
        <v>44460</v>
      </c>
      <c r="F74" s="2">
        <v>44455</v>
      </c>
      <c r="G74" s="23">
        <f>VLOOKUP(A74,'23.09.2021'!A$3:'23.09.2021'!I$202,7,)</f>
        <v>0.14305555555555557</v>
      </c>
      <c r="H74" s="23" t="str">
        <f>VLOOKUP(B74,'23.09.2021'!B$3:'23.09.2021'!J$202,7,)</f>
        <v>hIP-HOP/RAP</v>
      </c>
      <c r="I74" s="23" t="s">
        <v>420</v>
      </c>
      <c r="J74" t="str">
        <f t="shared" si="3"/>
        <v>Nu</v>
      </c>
    </row>
    <row r="75" spans="1:10" x14ac:dyDescent="0.2">
      <c r="A75" t="s">
        <v>103</v>
      </c>
      <c r="B75" t="s">
        <v>104</v>
      </c>
      <c r="C75">
        <v>8495021</v>
      </c>
      <c r="D75" s="7">
        <f t="shared" si="2"/>
        <v>42475.105000000003</v>
      </c>
      <c r="E75" s="2">
        <f>VLOOKUP(A75,'2.09.2021'!A$3:'2.09.2021'!I$202,5,)</f>
        <v>44229</v>
      </c>
      <c r="F75" s="2">
        <v>44455</v>
      </c>
      <c r="G75" s="23">
        <f>VLOOKUP(A75,'2.09.2021'!A$3:'2.09.2021'!I$202,7,)</f>
        <v>0.14097222222222222</v>
      </c>
      <c r="H75" t="str">
        <f>VLOOKUP(A75,'2.09.2021'!A$3:'2.09.2021'!I$202,8,)</f>
        <v>POP</v>
      </c>
      <c r="I75" t="str">
        <f>VLOOKUP(A75,'2.09.2021'!A$3:'2.09.2021'!I$202,9,)</f>
        <v>SUA</v>
      </c>
      <c r="J75" t="str">
        <f t="shared" si="3"/>
        <v>Nu</v>
      </c>
    </row>
    <row r="76" spans="1:10" x14ac:dyDescent="0.2">
      <c r="A76" t="s">
        <v>99</v>
      </c>
      <c r="B76" t="s">
        <v>55</v>
      </c>
      <c r="C76">
        <v>8494434</v>
      </c>
      <c r="D76" s="7">
        <f t="shared" si="2"/>
        <v>42472.17</v>
      </c>
      <c r="E76" s="2">
        <f>VLOOKUP(A76,'2.09.2021'!A$3:'2.09.2021'!I$202,5,)</f>
        <v>44459</v>
      </c>
      <c r="F76" s="2">
        <v>44455</v>
      </c>
      <c r="G76" s="23">
        <f>VLOOKUP(A76,'2.09.2021'!A$3:'2.09.2021'!I$202,7,)</f>
        <v>9.7916666666666666E-2</v>
      </c>
      <c r="H76" t="str">
        <f>VLOOKUP(A76,'2.09.2021'!A$3:'2.09.2021'!I$202,8,)</f>
        <v>K-POP</v>
      </c>
      <c r="I76" t="str">
        <f>VLOOKUP(A76,'2.09.2021'!A$3:'2.09.2021'!I$202,9,)</f>
        <v>Korea de Sud</v>
      </c>
      <c r="J76" t="str">
        <f t="shared" si="3"/>
        <v>Nu</v>
      </c>
    </row>
    <row r="77" spans="1:10" x14ac:dyDescent="0.2">
      <c r="A77" t="s">
        <v>117</v>
      </c>
      <c r="B77" t="s">
        <v>118</v>
      </c>
      <c r="C77">
        <v>8465865</v>
      </c>
      <c r="D77" s="7">
        <f t="shared" si="2"/>
        <v>42329.324999999997</v>
      </c>
      <c r="E77" s="2">
        <f>VLOOKUP(A77,'2.09.2021'!A$3:'2.09.2021'!I$202,5,)</f>
        <v>44287</v>
      </c>
      <c r="F77" s="2">
        <v>44455</v>
      </c>
      <c r="G77" s="23">
        <f>VLOOKUP(A77,'2.09.2021'!A$3:'2.09.2021'!I$202,7,)</f>
        <v>0.22291666666666665</v>
      </c>
      <c r="H77" t="str">
        <f>VLOOKUP(A77,'2.09.2021'!A$3:'2.09.2021'!I$202,8,)</f>
        <v>LATIN URBAN</v>
      </c>
      <c r="I77" t="str">
        <f>VLOOKUP(A77,'2.09.2021'!A$3:'2.09.2021'!I$202,9,)</f>
        <v>Puerto Rico</v>
      </c>
      <c r="J77" t="str">
        <f t="shared" si="3"/>
        <v>Nu</v>
      </c>
    </row>
    <row r="78" spans="1:10" x14ac:dyDescent="0.2">
      <c r="A78" t="s">
        <v>105</v>
      </c>
      <c r="B78" t="s">
        <v>106</v>
      </c>
      <c r="C78">
        <v>8329722</v>
      </c>
      <c r="D78" s="7">
        <f t="shared" si="2"/>
        <v>41648.61</v>
      </c>
      <c r="E78" s="2">
        <f>VLOOKUP(A78,'2.09.2021'!A$3:'2.09.2021'!I$202,5,)</f>
        <v>44377</v>
      </c>
      <c r="F78" s="2">
        <v>44455</v>
      </c>
      <c r="G78" s="23">
        <f>VLOOKUP(A78,'2.09.2021'!A$3:'2.09.2021'!I$202,7,)</f>
        <v>0.14444444444444446</v>
      </c>
      <c r="H78" t="str">
        <f>VLOOKUP(A78,'2.09.2021'!A$3:'2.09.2021'!I$202,8,)</f>
        <v>HIP-HOP/RAP</v>
      </c>
      <c r="I78" t="str">
        <f>VLOOKUP(A78,'2.09.2021'!A$3:'2.09.2021'!I$202,9,)</f>
        <v>Scoția</v>
      </c>
      <c r="J78" t="str">
        <f t="shared" si="3"/>
        <v>Nu</v>
      </c>
    </row>
    <row r="79" spans="1:10" x14ac:dyDescent="0.2">
      <c r="A79" t="s">
        <v>114</v>
      </c>
      <c r="B79" t="s">
        <v>115</v>
      </c>
      <c r="C79">
        <v>8314437</v>
      </c>
      <c r="D79" s="7">
        <f t="shared" si="2"/>
        <v>41572.184999999998</v>
      </c>
      <c r="E79" s="2">
        <f>VLOOKUP(A79,'2.09.2021'!A$3:'2.09.2021'!I$202,5,)</f>
        <v>44352</v>
      </c>
      <c r="F79" s="2">
        <v>44455</v>
      </c>
      <c r="G79" s="23">
        <f>VLOOKUP(A79,'2.09.2021'!A$3:'2.09.2021'!I$202,7,)</f>
        <v>0.11388888888888889</v>
      </c>
      <c r="H79" t="str">
        <f>VLOOKUP(A79,'2.09.2021'!A$3:'2.09.2021'!I$202,8,)</f>
        <v>HIP-HOP/RAP</v>
      </c>
      <c r="I79" t="str">
        <f>VLOOKUP(A79,'2.09.2021'!A$3:'2.09.2021'!I$202,9,)</f>
        <v>Norvegia</v>
      </c>
      <c r="J79" t="str">
        <f t="shared" si="3"/>
        <v>Nu</v>
      </c>
    </row>
    <row r="80" spans="1:10" x14ac:dyDescent="0.2">
      <c r="A80" t="s">
        <v>107</v>
      </c>
      <c r="B80" t="s">
        <v>108</v>
      </c>
      <c r="C80">
        <v>8298712</v>
      </c>
      <c r="D80" s="7">
        <f t="shared" si="2"/>
        <v>41493.56</v>
      </c>
      <c r="E80" s="2">
        <f>VLOOKUP(A80,'2.09.2021'!A$3:'2.09.2021'!I$202,5,)</f>
        <v>44466</v>
      </c>
      <c r="F80" s="2">
        <v>44455</v>
      </c>
      <c r="G80" s="23">
        <f>VLOOKUP(A80,'2.09.2021'!A$3:'2.09.2021'!I$202,7,)</f>
        <v>0.16805555555555554</v>
      </c>
      <c r="H80" t="str">
        <f>VLOOKUP(A80,'2.09.2021'!A$3:'2.09.2021'!I$202,8,)</f>
        <v>ROCK</v>
      </c>
      <c r="I80" t="str">
        <f>VLOOKUP(A80,'2.09.2021'!A$3:'2.09.2021'!I$202,9,)</f>
        <v>SUA</v>
      </c>
      <c r="J80" t="str">
        <f t="shared" si="3"/>
        <v>Da</v>
      </c>
    </row>
    <row r="81" spans="1:10" x14ac:dyDescent="0.2">
      <c r="A81" t="s">
        <v>119</v>
      </c>
      <c r="B81" t="s">
        <v>120</v>
      </c>
      <c r="C81">
        <v>8259911</v>
      </c>
      <c r="D81" s="7">
        <f t="shared" si="2"/>
        <v>41299.555</v>
      </c>
      <c r="E81" s="2">
        <f>VLOOKUP(A81,'2.09.2021'!A$3:'2.09.2021'!I$202,5,)</f>
        <v>44438</v>
      </c>
      <c r="F81" s="2">
        <v>44455</v>
      </c>
      <c r="G81" s="23">
        <f>VLOOKUP(A81,'2.09.2021'!A$3:'2.09.2021'!I$202,7,)</f>
        <v>0.16874999999999998</v>
      </c>
      <c r="H81" t="str">
        <f>VLOOKUP(A81,'2.09.2021'!A$3:'2.09.2021'!I$202,8,)</f>
        <v>POP</v>
      </c>
      <c r="I81" t="str">
        <f>VLOOKUP(A81,'2.09.2021'!A$3:'2.09.2021'!I$202,9,)</f>
        <v>Australia</v>
      </c>
      <c r="J81" t="str">
        <f t="shared" si="3"/>
        <v>Nu</v>
      </c>
    </row>
    <row r="82" spans="1:10" x14ac:dyDescent="0.2">
      <c r="A82" t="s">
        <v>109</v>
      </c>
      <c r="B82" t="s">
        <v>38</v>
      </c>
      <c r="C82">
        <v>8202435</v>
      </c>
      <c r="D82" s="7">
        <f t="shared" si="2"/>
        <v>41012.174999999996</v>
      </c>
      <c r="E82" s="2">
        <f>VLOOKUP(A82,'2.09.2021'!A$3:'2.09.2021'!I$202,5,)</f>
        <v>44248</v>
      </c>
      <c r="F82" s="2">
        <v>44455</v>
      </c>
      <c r="G82" s="23">
        <f>VLOOKUP(A82,'2.09.2021'!A$3:'2.09.2021'!I$202,7,)</f>
        <v>0.1173611111111111</v>
      </c>
      <c r="H82" t="str">
        <f>VLOOKUP(A82,'2.09.2021'!A$3:'2.09.2021'!I$202,8,)</f>
        <v>K-POP</v>
      </c>
      <c r="I82" t="str">
        <f>VLOOKUP(A82,'2.09.2021'!A$3:'2.09.2021'!I$202,9,)</f>
        <v>Marea Britanie</v>
      </c>
      <c r="J82" t="str">
        <f t="shared" si="3"/>
        <v>Nu</v>
      </c>
    </row>
    <row r="83" spans="1:10" x14ac:dyDescent="0.2">
      <c r="A83" t="s">
        <v>134</v>
      </c>
      <c r="B83" t="s">
        <v>135</v>
      </c>
      <c r="C83">
        <v>8155094</v>
      </c>
      <c r="D83" s="7">
        <f t="shared" si="2"/>
        <v>40775.47</v>
      </c>
      <c r="E83" s="2">
        <f>VLOOKUP(A83,'2.09.2021'!A$3:'2.09.2021'!I$202,5,)</f>
        <v>44386</v>
      </c>
      <c r="F83" s="2">
        <v>44455</v>
      </c>
      <c r="G83" s="23">
        <f>VLOOKUP(A83,'2.09.2021'!A$3:'2.09.2021'!I$202,7,)</f>
        <v>0.14444444444444446</v>
      </c>
      <c r="H83" t="str">
        <f>VLOOKUP(A83,'2.09.2021'!A$3:'2.09.2021'!I$202,8,)</f>
        <v>LATIN URBAN</v>
      </c>
      <c r="I83" t="str">
        <f>VLOOKUP(A83,'2.09.2021'!A$3:'2.09.2021'!I$202,9,)</f>
        <v>Panama</v>
      </c>
      <c r="J83" t="str">
        <f t="shared" si="3"/>
        <v>Nu</v>
      </c>
    </row>
    <row r="84" spans="1:10" x14ac:dyDescent="0.2">
      <c r="A84" t="s">
        <v>125</v>
      </c>
      <c r="B84" t="s">
        <v>17</v>
      </c>
      <c r="C84">
        <v>8077632</v>
      </c>
      <c r="D84" s="7">
        <f t="shared" si="2"/>
        <v>40388.159999999996</v>
      </c>
      <c r="E84" s="2">
        <f>VLOOKUP(A84,'2.09.2021'!A$3:'2.09.2021'!I$202,5,)</f>
        <v>44337</v>
      </c>
      <c r="F84" s="2">
        <v>44455</v>
      </c>
      <c r="G84" s="23">
        <f>VLOOKUP(A84,'2.09.2021'!A$3:'2.09.2021'!I$202,7,)</f>
        <v>0.12013888888888889</v>
      </c>
      <c r="H84" t="str">
        <f>VLOOKUP(A84,'2.09.2021'!A$3:'2.09.2021'!I$202,8,)</f>
        <v>POP</v>
      </c>
      <c r="I84" t="str">
        <f>VLOOKUP(A84,'2.09.2021'!A$3:'2.09.2021'!I$202,9,)</f>
        <v>SUA</v>
      </c>
      <c r="J84" t="str">
        <f t="shared" si="3"/>
        <v>Nu</v>
      </c>
    </row>
    <row r="85" spans="1:10" x14ac:dyDescent="0.2">
      <c r="A85" t="s">
        <v>66</v>
      </c>
      <c r="B85" t="s">
        <v>67</v>
      </c>
      <c r="C85">
        <v>8064157</v>
      </c>
      <c r="D85" s="7">
        <f t="shared" si="2"/>
        <v>40320.785000000003</v>
      </c>
      <c r="E85" s="2">
        <f>VLOOKUP(A85,'23.09.2021'!A$3:'23.09.2021'!I$202,5,)</f>
        <v>43714</v>
      </c>
      <c r="F85" s="2">
        <v>44455</v>
      </c>
      <c r="G85" s="23">
        <f>VLOOKUP(A85,'23.09.2021'!A$3:'23.09.2021'!I$202,7,)</f>
        <v>9.930555555555555E-2</v>
      </c>
      <c r="H85" t="str">
        <f>VLOOKUP(A85,'23.09.2021'!A$3:'23.09.2021'!I$202,8,)</f>
        <v>POP</v>
      </c>
      <c r="I85" t="str">
        <f>VLOOKUP(A85,'23.09.2021'!A$3:'23.09.2021'!I$202,9,)</f>
        <v>SUA</v>
      </c>
      <c r="J85" t="str">
        <f t="shared" si="3"/>
        <v>Nu</v>
      </c>
    </row>
    <row r="86" spans="1:10" x14ac:dyDescent="0.2">
      <c r="A86" t="s">
        <v>302</v>
      </c>
      <c r="B86" t="s">
        <v>20</v>
      </c>
      <c r="C86">
        <v>8039670</v>
      </c>
      <c r="D86" s="7">
        <f t="shared" si="2"/>
        <v>40198.35</v>
      </c>
      <c r="E86" s="2">
        <f>VLOOKUP(A86,'23.09.2021'!A$3:'23.09.2021'!I$202,5,)</f>
        <v>44460</v>
      </c>
      <c r="F86" s="2">
        <v>44455</v>
      </c>
      <c r="G86" s="23">
        <f>VLOOKUP(A86,'23.09.2021'!A$3:'23.09.2021'!I$202,7,)</f>
        <v>9.930555555555555E-2</v>
      </c>
      <c r="H86" t="str">
        <f>VLOOKUP(A86,'23.09.2021'!A$3:'23.09.2021'!I$202,8,)</f>
        <v>HIP-HOP/RAP</v>
      </c>
      <c r="I86" t="str">
        <f>VLOOKUP(A86,'23.09.2021'!A$3:'23.09.2021'!I$202,9,)</f>
        <v>Canada</v>
      </c>
      <c r="J86" t="str">
        <f t="shared" si="3"/>
        <v>Da</v>
      </c>
    </row>
    <row r="87" spans="1:10" x14ac:dyDescent="0.2">
      <c r="A87" t="s">
        <v>303</v>
      </c>
      <c r="B87" t="s">
        <v>20</v>
      </c>
      <c r="C87">
        <v>8007543</v>
      </c>
      <c r="D87" s="7">
        <f t="shared" si="2"/>
        <v>40037.714999999997</v>
      </c>
      <c r="E87" s="2">
        <f>VLOOKUP(A87,'23.09.2021'!A$3:'23.09.2021'!I$202,5,)</f>
        <v>44460</v>
      </c>
      <c r="F87" s="2">
        <v>44455</v>
      </c>
      <c r="G87" s="23">
        <f>VLOOKUP(A87,'23.09.2021'!A$3:'23.09.2021'!I$202,7,)</f>
        <v>0.1277777777777778</v>
      </c>
      <c r="H87" t="str">
        <f>VLOOKUP(A87,'23.09.2021'!A$3:'23.09.2021'!I$202,8,)</f>
        <v>HIP-HOP/RAP</v>
      </c>
      <c r="I87" t="str">
        <f>VLOOKUP(A87,'23.09.2021'!A$3:'23.09.2021'!I$202,9,)</f>
        <v>Canada</v>
      </c>
      <c r="J87" t="str">
        <f t="shared" si="3"/>
        <v>Da</v>
      </c>
    </row>
    <row r="88" spans="1:10" x14ac:dyDescent="0.2">
      <c r="A88" t="s">
        <v>126</v>
      </c>
      <c r="B88" t="s">
        <v>38</v>
      </c>
      <c r="C88">
        <v>8006303</v>
      </c>
      <c r="D88" s="7">
        <f t="shared" si="2"/>
        <v>40031.514999999999</v>
      </c>
      <c r="E88" s="2">
        <f>VLOOKUP(A88,'2.09.2021'!A$3:'2.09.2021'!I$202,5,)</f>
        <v>44259</v>
      </c>
      <c r="F88" s="2">
        <v>44455</v>
      </c>
      <c r="G88" s="23">
        <f>VLOOKUP(A88,'2.09.2021'!A$3:'2.09.2021'!I$202,7,)</f>
        <v>0.14027777777777778</v>
      </c>
      <c r="H88" t="str">
        <f>VLOOKUP(A88,'2.09.2021'!A$3:'2.09.2021'!I$202,8,)</f>
        <v>ELECTRONIC</v>
      </c>
      <c r="I88" t="str">
        <f>VLOOKUP(A88,'2.09.2021'!A$3:'2.09.2021'!I$202,9,)</f>
        <v>Marea Britanie</v>
      </c>
      <c r="J88" t="str">
        <f t="shared" si="3"/>
        <v>Nu</v>
      </c>
    </row>
    <row r="89" spans="1:10" x14ac:dyDescent="0.2">
      <c r="A89" t="s">
        <v>137</v>
      </c>
      <c r="B89" t="s">
        <v>138</v>
      </c>
      <c r="C89">
        <v>8004957</v>
      </c>
      <c r="D89" s="7">
        <f t="shared" si="2"/>
        <v>40024.785000000003</v>
      </c>
      <c r="E89" s="2">
        <f>VLOOKUP(A89,'2.09.2021'!A$3:'2.09.2021'!I$202,5,)</f>
        <v>44428</v>
      </c>
      <c r="F89" s="2">
        <v>44455</v>
      </c>
      <c r="G89" s="23">
        <f>VLOOKUP(A89,'2.09.2021'!A$3:'2.09.2021'!I$202,7,)</f>
        <v>0.1277777777777778</v>
      </c>
      <c r="H89" t="str">
        <f>VLOOKUP(A89,'2.09.2021'!A$3:'2.09.2021'!I$202,8,)</f>
        <v>POP</v>
      </c>
      <c r="I89" t="str">
        <f>VLOOKUP(A89,'2.09.2021'!A$3:'2.09.2021'!I$202,9,)</f>
        <v>Canada</v>
      </c>
      <c r="J89" t="str">
        <f t="shared" si="3"/>
        <v>Nu</v>
      </c>
    </row>
    <row r="90" spans="1:10" x14ac:dyDescent="0.2">
      <c r="A90" t="s">
        <v>122</v>
      </c>
      <c r="B90" t="s">
        <v>59</v>
      </c>
      <c r="C90">
        <v>7804531</v>
      </c>
      <c r="D90" s="7">
        <f t="shared" si="2"/>
        <v>39022.654999999999</v>
      </c>
      <c r="E90" s="2">
        <f>VLOOKUP(A90,'2.09.2021'!A$3:'2.09.2021'!I$202,5,)</f>
        <v>44336</v>
      </c>
      <c r="F90" s="2">
        <v>44455</v>
      </c>
      <c r="G90" s="23">
        <f>VLOOKUP(A90,'2.09.2021'!A$3:'2.09.2021'!I$202,7,)</f>
        <v>0.12152777777777778</v>
      </c>
      <c r="H90" t="str">
        <f>VLOOKUP(A90,'2.09.2021'!A$3:'2.09.2021'!I$202,8,)</f>
        <v>DANCE</v>
      </c>
      <c r="I90" t="str">
        <f>VLOOKUP(A90,'2.09.2021'!A$3:'2.09.2021'!I$202,9,)</f>
        <v>Olanda</v>
      </c>
      <c r="J90" t="str">
        <f t="shared" si="3"/>
        <v>Nu</v>
      </c>
    </row>
    <row r="91" spans="1:10" x14ac:dyDescent="0.2">
      <c r="A91" t="s">
        <v>133</v>
      </c>
      <c r="B91" t="s">
        <v>17</v>
      </c>
      <c r="C91">
        <v>7716236</v>
      </c>
      <c r="D91" s="7">
        <f t="shared" si="2"/>
        <v>38581.18</v>
      </c>
      <c r="E91" s="2">
        <f>VLOOKUP(A91,'2.09.2021'!A$3:'2.09.2021'!I$202,5,)</f>
        <v>44346</v>
      </c>
      <c r="F91" s="2">
        <v>44455</v>
      </c>
      <c r="G91" s="23">
        <f>VLOOKUP(A91,'2.09.2021'!A$3:'2.09.2021'!I$202,7,)</f>
        <v>0.14930555555555555</v>
      </c>
      <c r="H91" t="str">
        <f>VLOOKUP(A91,'2.09.2021'!A$3:'2.09.2021'!I$202,8,)</f>
        <v>ALTERNATIVE</v>
      </c>
      <c r="I91" t="str">
        <f>VLOOKUP(A91,'2.09.2021'!A$3:'2.09.2021'!I$202,9,)</f>
        <v>SUA</v>
      </c>
      <c r="J91" t="str">
        <f t="shared" si="3"/>
        <v>Nu</v>
      </c>
    </row>
    <row r="92" spans="1:10" x14ac:dyDescent="0.2">
      <c r="A92" t="s">
        <v>148</v>
      </c>
      <c r="B92" t="s">
        <v>149</v>
      </c>
      <c r="C92">
        <v>7664269</v>
      </c>
      <c r="D92" s="7">
        <f t="shared" si="2"/>
        <v>38321.345000000001</v>
      </c>
      <c r="E92" s="2">
        <f>VLOOKUP(A92,'2.09.2021'!A$3:'2.09.2021'!I$202,5,)</f>
        <v>44309</v>
      </c>
      <c r="F92" s="2">
        <v>44455</v>
      </c>
      <c r="G92" s="23">
        <f>VLOOKUP(A92,'2.09.2021'!A$3:'2.09.2021'!I$202,7,)</f>
        <v>0.19930555555555554</v>
      </c>
      <c r="H92" t="str">
        <f>VLOOKUP(A92,'2.09.2021'!A$3:'2.09.2021'!I$202,8,)</f>
        <v>K-POP</v>
      </c>
      <c r="I92" t="str">
        <f>VLOOKUP(A92,'2.09.2021'!A$3:'2.09.2021'!I$202,9,)</f>
        <v>SUA</v>
      </c>
      <c r="J92" t="str">
        <f t="shared" si="3"/>
        <v>Nu</v>
      </c>
    </row>
    <row r="93" spans="1:10" x14ac:dyDescent="0.2">
      <c r="A93" t="s">
        <v>304</v>
      </c>
      <c r="B93" t="s">
        <v>20</v>
      </c>
      <c r="C93">
        <v>7553884</v>
      </c>
      <c r="D93" s="7">
        <f t="shared" si="2"/>
        <v>37769.42</v>
      </c>
      <c r="E93" s="2">
        <f>VLOOKUP(A93,'23.09.2021'!A$3:'23.09.2021'!I$202,5,)</f>
        <v>44460</v>
      </c>
      <c r="F93" s="2">
        <v>44455</v>
      </c>
      <c r="G93" s="23">
        <f>VLOOKUP(A93,'23.09.2021'!A$3:'23.09.2021'!I$202,7,)</f>
        <v>0.15763888888888888</v>
      </c>
      <c r="H93" t="str">
        <f>VLOOKUP(A93,'23.09.2021'!A$3:'23.09.2021'!I$202,8,)</f>
        <v>HIP-HOP/RAP</v>
      </c>
      <c r="I93" t="str">
        <f>VLOOKUP(A93,'23.09.2021'!A$3:'23.09.2021'!I$202,9,)</f>
        <v>Canada</v>
      </c>
      <c r="J93" t="str">
        <f t="shared" si="3"/>
        <v>Nu</v>
      </c>
    </row>
    <row r="94" spans="1:10" x14ac:dyDescent="0.2">
      <c r="A94" t="s">
        <v>139</v>
      </c>
      <c r="B94" t="s">
        <v>46</v>
      </c>
      <c r="C94">
        <v>7510269</v>
      </c>
      <c r="D94" s="7">
        <f t="shared" si="2"/>
        <v>37551.345000000001</v>
      </c>
      <c r="E94" s="2">
        <f>VLOOKUP(A94,'2.09.2021'!A$3:'2.09.2021'!I$202,5,)</f>
        <v>44209</v>
      </c>
      <c r="F94" s="2">
        <v>44455</v>
      </c>
      <c r="G94" s="23">
        <f>VLOOKUP(A94,'2.09.2021'!A$3:'2.09.2021'!I$202,7,)</f>
        <v>0.16874999999999998</v>
      </c>
      <c r="H94" t="str">
        <f>VLOOKUP(A94,'2.09.2021'!A$3:'2.09.2021'!I$202,8,)</f>
        <v>ELECTRONIC</v>
      </c>
      <c r="I94" t="str">
        <f>VLOOKUP(A94,'2.09.2021'!A$3:'2.09.2021'!I$202,9,)</f>
        <v>Canada</v>
      </c>
      <c r="J94" t="str">
        <f t="shared" si="3"/>
        <v>Nu</v>
      </c>
    </row>
    <row r="95" spans="1:10" x14ac:dyDescent="0.2">
      <c r="A95" t="s">
        <v>445</v>
      </c>
      <c r="B95" t="s">
        <v>140</v>
      </c>
      <c r="C95">
        <v>7506959</v>
      </c>
      <c r="D95" s="7">
        <f t="shared" si="2"/>
        <v>37534.794999999998</v>
      </c>
      <c r="E95" s="2">
        <f>VLOOKUP(A95,'2.09.2021'!A$3:'2.09.2021'!I$202,5,)</f>
        <v>44389</v>
      </c>
      <c r="F95" s="2">
        <v>44455</v>
      </c>
      <c r="G95" s="23">
        <f>VLOOKUP(A95,'2.09.2021'!A$3:'2.09.2021'!I$202,7,)</f>
        <v>0.20694444444444446</v>
      </c>
      <c r="H95" t="str">
        <f>VLOOKUP(A95,'2.09.2021'!A$3:'2.09.2021'!I$202,8,)</f>
        <v>ALTERNATIVE</v>
      </c>
      <c r="I95" t="str">
        <f>VLOOKUP(A95,'2.09.2021'!A$3:'2.09.2021'!I$202,9,)</f>
        <v>SUA</v>
      </c>
      <c r="J95" t="str">
        <f t="shared" si="3"/>
        <v>Da</v>
      </c>
    </row>
    <row r="96" spans="1:10" x14ac:dyDescent="0.2">
      <c r="A96" t="s">
        <v>181</v>
      </c>
      <c r="B96" t="s">
        <v>42</v>
      </c>
      <c r="C96">
        <v>7486880</v>
      </c>
      <c r="D96" s="7">
        <f t="shared" si="2"/>
        <v>37434.400000000001</v>
      </c>
      <c r="E96" s="2">
        <f>VLOOKUP(A96,'2.09.2021'!A$3:'2.09.2021'!I$202,5,)</f>
        <v>44316</v>
      </c>
      <c r="F96" s="2">
        <v>44455</v>
      </c>
      <c r="G96" s="23">
        <f>VLOOKUP(A96,'2.09.2021'!A$3:'2.09.2021'!I$202,7,)</f>
        <v>0.12013888888888889</v>
      </c>
      <c r="H96" t="str">
        <f>VLOOKUP(A96,'2.09.2021'!A$3:'2.09.2021'!I$202,8,)</f>
        <v>ELECTRONIC</v>
      </c>
      <c r="I96" t="str">
        <f>VLOOKUP(A96,'2.09.2021'!A$3:'2.09.2021'!I$202,9,)</f>
        <v>Columbia</v>
      </c>
      <c r="J96" t="str">
        <f t="shared" si="3"/>
        <v>Nu</v>
      </c>
    </row>
    <row r="97" spans="1:10" x14ac:dyDescent="0.2">
      <c r="A97" t="s">
        <v>165</v>
      </c>
      <c r="B97" t="s">
        <v>166</v>
      </c>
      <c r="C97">
        <v>7393139</v>
      </c>
      <c r="D97" s="7">
        <f t="shared" si="2"/>
        <v>36965.695</v>
      </c>
      <c r="E97" s="2">
        <f>VLOOKUP(A97,'2.09.2021'!A$3:'2.09.2021'!I$202,5,)</f>
        <v>44406</v>
      </c>
      <c r="F97" s="2">
        <v>44455</v>
      </c>
      <c r="G97" s="23">
        <f>VLOOKUP(A97,'2.09.2021'!A$3:'2.09.2021'!I$202,7,)</f>
        <v>0.14652777777777778</v>
      </c>
      <c r="H97" t="str">
        <f>VLOOKUP(A97,'2.09.2021'!A$3:'2.09.2021'!I$202,8,)</f>
        <v>LATIN</v>
      </c>
      <c r="I97" t="str">
        <f>VLOOKUP(A97,'2.09.2021'!A$3:'2.09.2021'!I$202,9,)</f>
        <v>India</v>
      </c>
      <c r="J97" t="str">
        <f t="shared" si="3"/>
        <v>Nu</v>
      </c>
    </row>
    <row r="98" spans="1:10" x14ac:dyDescent="0.2">
      <c r="A98" t="s">
        <v>444</v>
      </c>
      <c r="B98" t="s">
        <v>121</v>
      </c>
      <c r="C98">
        <v>7337211</v>
      </c>
      <c r="D98" s="7">
        <f t="shared" si="2"/>
        <v>36686.055</v>
      </c>
      <c r="E98" s="2">
        <f>VLOOKUP(A98,'2.09.2021'!A$3:'2.09.2021'!I$202,5,)</f>
        <v>43945</v>
      </c>
      <c r="F98" s="2">
        <v>44455</v>
      </c>
      <c r="G98" s="23">
        <f>VLOOKUP(A98,'2.09.2021'!A$3:'2.09.2021'!I$202,7,)</f>
        <v>9.0277777777777776E-2</v>
      </c>
      <c r="H98" t="str">
        <f>VLOOKUP(A98,'2.09.2021'!A$3:'2.09.2021'!I$202,8,)</f>
        <v>R&amp;B/SOUL</v>
      </c>
      <c r="I98" t="str">
        <f>VLOOKUP(A98,'2.09.2021'!A$3:'2.09.2021'!I$202,9,)</f>
        <v>Canada</v>
      </c>
      <c r="J98" t="str">
        <f t="shared" si="3"/>
        <v>Da</v>
      </c>
    </row>
    <row r="99" spans="1:10" x14ac:dyDescent="0.2">
      <c r="A99" t="s">
        <v>155</v>
      </c>
      <c r="B99" t="s">
        <v>156</v>
      </c>
      <c r="C99">
        <v>7335785</v>
      </c>
      <c r="D99" s="7">
        <f t="shared" si="2"/>
        <v>36678.925000000003</v>
      </c>
      <c r="E99" s="2">
        <f>VLOOKUP(A99,'2.09.2021'!A$3:'2.09.2021'!I$202,5,)</f>
        <v>44245</v>
      </c>
      <c r="F99" s="2">
        <v>44455</v>
      </c>
      <c r="G99" s="23">
        <f>VLOOKUP(A99,'2.09.2021'!A$3:'2.09.2021'!I$202,7,)</f>
        <v>0.10069444444444443</v>
      </c>
      <c r="H99" t="str">
        <f>VLOOKUP(A99,'2.09.2021'!A$3:'2.09.2021'!I$202,8,)</f>
        <v>RHYTHM &amp; BLUES</v>
      </c>
      <c r="I99" t="str">
        <f>VLOOKUP(A99,'2.09.2021'!A$3:'2.09.2021'!I$202,9,)</f>
        <v>SUA</v>
      </c>
      <c r="J99" t="str">
        <f t="shared" si="3"/>
        <v>Nu</v>
      </c>
    </row>
    <row r="100" spans="1:10" x14ac:dyDescent="0.2">
      <c r="A100" t="s">
        <v>313</v>
      </c>
      <c r="B100" t="s">
        <v>52</v>
      </c>
      <c r="C100">
        <v>7290622</v>
      </c>
      <c r="D100" s="7">
        <f t="shared" si="2"/>
        <v>36453.11</v>
      </c>
      <c r="E100" s="2">
        <f>VLOOKUP(A100,'2.09.2021'!A$3:'2.09.2021'!I$202,5,)</f>
        <v>44437</v>
      </c>
      <c r="F100" s="2">
        <v>44455</v>
      </c>
      <c r="G100" s="23">
        <f>VLOOKUP(A100,'2.09.2021'!A$3:'2.09.2021'!I$202,7,)</f>
        <v>0.20625000000000002</v>
      </c>
      <c r="H100" t="str">
        <f>VLOOKUP(A100,'2.09.2021'!A$3:'2.09.2021'!I$202,8,)</f>
        <v>HIP-HOP/RAP</v>
      </c>
      <c r="I100" t="str">
        <f>VLOOKUP(A100,'2.09.2021'!A$3:'2.09.2021'!I$202,9,)</f>
        <v>SUA</v>
      </c>
      <c r="J100" t="str">
        <f t="shared" si="3"/>
        <v>Nu</v>
      </c>
    </row>
    <row r="101" spans="1:10" x14ac:dyDescent="0.2">
      <c r="A101" t="s">
        <v>150</v>
      </c>
      <c r="B101" t="s">
        <v>151</v>
      </c>
      <c r="C101">
        <v>7057115</v>
      </c>
      <c r="D101" s="7">
        <f t="shared" si="2"/>
        <v>35285.574999999997</v>
      </c>
      <c r="E101" s="2">
        <f>VLOOKUP(A101,'2.09.2021'!A$3:'2.09.2021'!I$202,5,)</f>
        <v>44244</v>
      </c>
      <c r="F101" s="2">
        <v>44455</v>
      </c>
      <c r="G101" s="23">
        <f>VLOOKUP(A101,'2.09.2021'!A$3:'2.09.2021'!I$202,7,)</f>
        <v>0.1173611111111111</v>
      </c>
      <c r="H101" t="str">
        <f>VLOOKUP(A101,'2.09.2021'!A$3:'2.09.2021'!I$202,8,)</f>
        <v>LATIN URBAN</v>
      </c>
      <c r="I101" t="str">
        <f>VLOOKUP(A101,'2.09.2021'!A$3:'2.09.2021'!I$202,9,)</f>
        <v>Brazilia</v>
      </c>
      <c r="J101" t="str">
        <f t="shared" si="3"/>
        <v>Nu</v>
      </c>
    </row>
    <row r="102" spans="1:10" x14ac:dyDescent="0.2">
      <c r="A102" t="s">
        <v>170</v>
      </c>
      <c r="B102" t="s">
        <v>171</v>
      </c>
      <c r="C102">
        <v>7005873</v>
      </c>
      <c r="D102" s="7">
        <f t="shared" si="2"/>
        <v>35029.364999999998</v>
      </c>
      <c r="E102" s="2">
        <f>VLOOKUP(A102,'2.09.2021'!A$3:'2.09.2021'!I$202,5,)</f>
        <v>44446</v>
      </c>
      <c r="F102" s="2">
        <v>44455</v>
      </c>
      <c r="G102" s="23">
        <f>VLOOKUP(A102,'2.09.2021'!A$3:'2.09.2021'!I$202,7,)</f>
        <v>9.5138888888888884E-2</v>
      </c>
      <c r="H102" t="str">
        <f>VLOOKUP(A102,'2.09.2021'!A$3:'2.09.2021'!I$202,8,)</f>
        <v>ALTERNATIVE</v>
      </c>
      <c r="I102" t="str">
        <f>VLOOKUP(A102,'2.09.2021'!A$3:'2.09.2021'!I$202,9,)</f>
        <v>SUA</v>
      </c>
      <c r="J102" t="str">
        <f t="shared" si="3"/>
        <v>Nu</v>
      </c>
    </row>
    <row r="103" spans="1:10" x14ac:dyDescent="0.2">
      <c r="A103" t="s">
        <v>205</v>
      </c>
      <c r="B103" t="s">
        <v>206</v>
      </c>
      <c r="C103">
        <v>6966457</v>
      </c>
      <c r="D103" s="7">
        <f t="shared" si="2"/>
        <v>34832.285000000003</v>
      </c>
      <c r="E103" s="2">
        <f>VLOOKUP(A103,'2.09.2021'!A$3:'2.09.2021'!I$202,5,)</f>
        <v>44308</v>
      </c>
      <c r="F103" s="2">
        <v>44455</v>
      </c>
      <c r="G103" s="23">
        <f>VLOOKUP(A103,'2.09.2021'!A$3:'2.09.2021'!I$202,7,)</f>
        <v>0.14722222222222223</v>
      </c>
      <c r="H103" t="str">
        <f>VLOOKUP(A103,'2.09.2021'!A$3:'2.09.2021'!I$202,8,)</f>
        <v>HIP-HOP/RAP</v>
      </c>
      <c r="I103" t="str">
        <f>VLOOKUP(A103,'2.09.2021'!A$3:'2.09.2021'!I$202,9,)</f>
        <v>India</v>
      </c>
      <c r="J103" t="str">
        <f t="shared" si="3"/>
        <v>Nu</v>
      </c>
    </row>
    <row r="104" spans="1:10" x14ac:dyDescent="0.2">
      <c r="A104" t="s">
        <v>146</v>
      </c>
      <c r="B104" t="s">
        <v>147</v>
      </c>
      <c r="C104">
        <v>6952543</v>
      </c>
      <c r="D104" s="7">
        <f t="shared" si="2"/>
        <v>34762.714999999997</v>
      </c>
      <c r="E104" s="2">
        <f>VLOOKUP(A104,'2.09.2021'!A$3:'2.09.2021'!I$202,5,)</f>
        <v>44370</v>
      </c>
      <c r="F104" s="2">
        <v>44455</v>
      </c>
      <c r="G104" s="23">
        <f>VLOOKUP(A104,'2.09.2021'!A$3:'2.09.2021'!I$202,7,)</f>
        <v>0.15972222222222224</v>
      </c>
      <c r="H104" t="str">
        <f>VLOOKUP(A104,'2.09.2021'!A$3:'2.09.2021'!I$202,8,)</f>
        <v>HIP-HOP/RAP</v>
      </c>
      <c r="I104" t="str">
        <f>VLOOKUP(A104,'2.09.2021'!A$3:'2.09.2021'!I$202,9,)</f>
        <v>SUA</v>
      </c>
      <c r="J104" t="str">
        <f t="shared" si="3"/>
        <v>Nu</v>
      </c>
    </row>
    <row r="105" spans="1:10" x14ac:dyDescent="0.2">
      <c r="A105" t="s">
        <v>130</v>
      </c>
      <c r="B105" t="s">
        <v>23</v>
      </c>
      <c r="C105">
        <v>6914740</v>
      </c>
      <c r="D105" s="7">
        <f t="shared" si="2"/>
        <v>34573.699999999997</v>
      </c>
      <c r="E105" s="2">
        <f>VLOOKUP(A105,'2.09.2021'!A$3:'2.09.2021'!I$202,5,)</f>
        <v>44385</v>
      </c>
      <c r="F105" s="2">
        <v>44455</v>
      </c>
      <c r="G105" s="23">
        <f>VLOOKUP(A105,'2.09.2021'!A$3:'2.09.2021'!I$202,7,)</f>
        <v>0.16805555555555554</v>
      </c>
      <c r="H105" t="str">
        <f>VLOOKUP(A105,'2.09.2021'!A$3:'2.09.2021'!I$202,8,)</f>
        <v>LATIN URBAN</v>
      </c>
      <c r="I105" t="str">
        <f>VLOOKUP(A105,'2.09.2021'!A$3:'2.09.2021'!I$202,9,)</f>
        <v>SUA</v>
      </c>
      <c r="J105" t="str">
        <f t="shared" si="3"/>
        <v>Da</v>
      </c>
    </row>
    <row r="106" spans="1:10" x14ac:dyDescent="0.2">
      <c r="A106" t="s">
        <v>136</v>
      </c>
      <c r="B106" t="s">
        <v>10</v>
      </c>
      <c r="C106">
        <v>6881233</v>
      </c>
      <c r="D106" s="7">
        <f t="shared" si="2"/>
        <v>34406.165000000001</v>
      </c>
      <c r="E106" s="2">
        <f>VLOOKUP(A106,'2.09.2021'!A$3:'2.09.2021'!I$202,5,)</f>
        <v>44240</v>
      </c>
      <c r="F106" s="2">
        <v>44455</v>
      </c>
      <c r="G106" s="23">
        <f>VLOOKUP(A106,'2.09.2021'!A$3:'2.09.2021'!I$202,7,)</f>
        <v>0.13958333333333334</v>
      </c>
      <c r="H106" t="str">
        <f>VLOOKUP(A106,'2.09.2021'!A$3:'2.09.2021'!I$202,8,)</f>
        <v>POP</v>
      </c>
      <c r="I106" t="str">
        <f>VLOOKUP(A106,'2.09.2021'!A$3:'2.09.2021'!I$202,9,)</f>
        <v>Marea Britanie</v>
      </c>
      <c r="J106" t="str">
        <f t="shared" si="3"/>
        <v>Nu</v>
      </c>
    </row>
    <row r="107" spans="1:10" x14ac:dyDescent="0.2">
      <c r="A107" t="s">
        <v>152</v>
      </c>
      <c r="B107" t="s">
        <v>106</v>
      </c>
      <c r="C107">
        <v>6854130</v>
      </c>
      <c r="D107" s="7">
        <f t="shared" si="2"/>
        <v>34270.65</v>
      </c>
      <c r="E107" s="2">
        <f>VLOOKUP(A107,'2.09.2021'!A$3:'2.09.2021'!I$202,5,)</f>
        <v>44226</v>
      </c>
      <c r="F107" s="2">
        <v>44455</v>
      </c>
      <c r="G107" s="23">
        <f>VLOOKUP(A107,'2.09.2021'!A$3:'2.09.2021'!I$202,7,)</f>
        <v>0.13541666666666666</v>
      </c>
      <c r="H107" t="str">
        <f>VLOOKUP(A107,'2.09.2021'!A$3:'2.09.2021'!I$202,8,)</f>
        <v>HIP-HOP/RAP</v>
      </c>
      <c r="I107" t="str">
        <f>VLOOKUP(A107,'2.09.2021'!A$3:'2.09.2021'!I$202,9,)</f>
        <v>Scoția</v>
      </c>
      <c r="J107" t="str">
        <f t="shared" si="3"/>
        <v>Nu</v>
      </c>
    </row>
    <row r="108" spans="1:10" x14ac:dyDescent="0.2">
      <c r="A108" t="s">
        <v>153</v>
      </c>
      <c r="B108" t="s">
        <v>154</v>
      </c>
      <c r="C108">
        <v>6842222</v>
      </c>
      <c r="D108" s="7">
        <f t="shared" si="2"/>
        <v>34211.11</v>
      </c>
      <c r="E108" s="2">
        <f>VLOOKUP(A108,'2.09.2021'!A$3:'2.09.2021'!I$202,5,)</f>
        <v>44307</v>
      </c>
      <c r="F108" s="2">
        <v>44455</v>
      </c>
      <c r="G108" s="23">
        <f>VLOOKUP(A108,'2.09.2021'!A$3:'2.09.2021'!I$202,7,)</f>
        <v>0.15069444444444444</v>
      </c>
      <c r="H108" t="str">
        <f>VLOOKUP(A108,'2.09.2021'!A$3:'2.09.2021'!I$202,8,)</f>
        <v>POP</v>
      </c>
      <c r="I108" t="str">
        <f>VLOOKUP(A108,'2.09.2021'!A$3:'2.09.2021'!I$202,9,)</f>
        <v>SUA</v>
      </c>
      <c r="J108" t="str">
        <f t="shared" si="3"/>
        <v>Nu</v>
      </c>
    </row>
    <row r="109" spans="1:10" x14ac:dyDescent="0.2">
      <c r="A109" t="s">
        <v>89</v>
      </c>
      <c r="B109" t="s">
        <v>34</v>
      </c>
      <c r="C109">
        <v>6827051</v>
      </c>
      <c r="D109" s="7">
        <f t="shared" si="2"/>
        <v>34135.255000000005</v>
      </c>
      <c r="E109" s="2">
        <v>44276</v>
      </c>
      <c r="F109" s="2">
        <v>44455</v>
      </c>
      <c r="G109" s="23">
        <v>0.18124999999999999</v>
      </c>
      <c r="H109" t="s">
        <v>418</v>
      </c>
      <c r="I109" t="s">
        <v>474</v>
      </c>
      <c r="J109" t="str">
        <f t="shared" si="3"/>
        <v>Nu</v>
      </c>
    </row>
    <row r="110" spans="1:10" x14ac:dyDescent="0.2">
      <c r="A110" t="s">
        <v>208</v>
      </c>
      <c r="B110" t="s">
        <v>209</v>
      </c>
      <c r="C110">
        <v>6821787</v>
      </c>
      <c r="D110" s="7">
        <f t="shared" si="2"/>
        <v>34108.934999999998</v>
      </c>
      <c r="E110" s="2">
        <f>VLOOKUP(A110,'2.09.2021'!A$3:'2.09.2021'!I$202,5,)</f>
        <v>44452</v>
      </c>
      <c r="F110" s="2">
        <v>44455</v>
      </c>
      <c r="G110" s="23">
        <f>VLOOKUP(A110,'2.09.2021'!A$3:'2.09.2021'!I$202,7,)</f>
        <v>0.13819444444444443</v>
      </c>
      <c r="H110" t="str">
        <f>VLOOKUP(A110,'2.09.2021'!A$3:'2.09.2021'!I$202,8,)</f>
        <v>HIP-HOP/RAP</v>
      </c>
      <c r="I110" t="str">
        <f>VLOOKUP(A110,'2.09.2021'!A$3:'2.09.2021'!I$202,9,)</f>
        <v>Brazilia</v>
      </c>
      <c r="J110" t="str">
        <f t="shared" si="3"/>
        <v>Nu</v>
      </c>
    </row>
    <row r="111" spans="1:10" x14ac:dyDescent="0.2">
      <c r="A111" t="s">
        <v>161</v>
      </c>
      <c r="B111" t="s">
        <v>162</v>
      </c>
      <c r="C111">
        <v>6808681</v>
      </c>
      <c r="D111" s="7">
        <f t="shared" si="2"/>
        <v>34043.404999999999</v>
      </c>
      <c r="E111" s="2">
        <f>VLOOKUP(A111,'2.09.2021'!A$3:'2.09.2021'!I$202,5,)</f>
        <v>44408</v>
      </c>
      <c r="F111" s="2">
        <v>44455</v>
      </c>
      <c r="G111" s="23">
        <f>VLOOKUP(A111,'2.09.2021'!A$3:'2.09.2021'!I$202,7,)</f>
        <v>0.15277777777777776</v>
      </c>
      <c r="H111" t="str">
        <f>VLOOKUP(A111,'2.09.2021'!A$3:'2.09.2021'!I$202,8,)</f>
        <v>HIP-HOP/RAP</v>
      </c>
      <c r="I111" t="str">
        <f>VLOOKUP(A111,'2.09.2021'!A$3:'2.09.2021'!I$202,9,)</f>
        <v>Australia</v>
      </c>
      <c r="J111" t="str">
        <f t="shared" si="3"/>
        <v>Nu</v>
      </c>
    </row>
    <row r="112" spans="1:10" x14ac:dyDescent="0.2">
      <c r="A112" t="s">
        <v>157</v>
      </c>
      <c r="B112" t="s">
        <v>158</v>
      </c>
      <c r="C112">
        <v>6802792</v>
      </c>
      <c r="D112" s="7">
        <f t="shared" si="2"/>
        <v>34013.96</v>
      </c>
      <c r="E112" s="2">
        <f>VLOOKUP(A112,'2.09.2021'!A$3:'2.09.2021'!I$202,5,)</f>
        <v>44245</v>
      </c>
      <c r="F112" s="2">
        <v>44455</v>
      </c>
      <c r="G112" s="23">
        <f>VLOOKUP(A112,'2.09.2021'!A$3:'2.09.2021'!I$202,7,)</f>
        <v>0.14305555555555557</v>
      </c>
      <c r="H112" t="str">
        <f>VLOOKUP(A112,'2.09.2021'!A$3:'2.09.2021'!I$202,8,)</f>
        <v>POP</v>
      </c>
      <c r="I112" t="str">
        <f>VLOOKUP(A112,'2.09.2021'!A$3:'2.09.2021'!I$202,9,)</f>
        <v>SUA</v>
      </c>
      <c r="J112" t="str">
        <f t="shared" si="3"/>
        <v>Nu</v>
      </c>
    </row>
    <row r="113" spans="1:10" x14ac:dyDescent="0.2">
      <c r="A113" t="s">
        <v>248</v>
      </c>
      <c r="B113" t="s">
        <v>211</v>
      </c>
      <c r="C113">
        <v>6789965</v>
      </c>
      <c r="D113" s="7">
        <f t="shared" si="2"/>
        <v>33949.824999999997</v>
      </c>
      <c r="E113" s="2">
        <f>VLOOKUP(A113,'2.09.2021'!A$3:'2.09.2021'!I$202,5,)</f>
        <v>44282</v>
      </c>
      <c r="F113" s="2">
        <v>44455</v>
      </c>
      <c r="G113" s="23">
        <f>VLOOKUP(A113,'2.09.2021'!A$3:'2.09.2021'!I$202,7,)</f>
        <v>9.7916666666666666E-2</v>
      </c>
      <c r="H113" t="str">
        <f>VLOOKUP(A113,'2.09.2021'!A$3:'2.09.2021'!I$202,8,)</f>
        <v>R&amp;B/SOUL</v>
      </c>
      <c r="I113" t="str">
        <f>VLOOKUP(A113,'2.09.2021'!A$3:'2.09.2021'!I$202,9,)</f>
        <v>SUA</v>
      </c>
      <c r="J113" t="str">
        <f t="shared" si="3"/>
        <v>Nu</v>
      </c>
    </row>
    <row r="114" spans="1:10" x14ac:dyDescent="0.2">
      <c r="A114" t="s">
        <v>450</v>
      </c>
      <c r="B114" t="s">
        <v>55</v>
      </c>
      <c r="C114">
        <v>6764457</v>
      </c>
      <c r="D114" s="7">
        <f t="shared" si="2"/>
        <v>33822.285000000003</v>
      </c>
      <c r="E114" s="2">
        <f>VLOOKUP(A114,'2.09.2021'!A$3:'2.09.2021'!I$202,5,)</f>
        <v>44435</v>
      </c>
      <c r="F114" s="2">
        <v>44455</v>
      </c>
      <c r="G114" s="23">
        <f>VLOOKUP(A114,'2.09.2021'!A$3:'2.09.2021'!I$202,7,)</f>
        <v>0.11388888888888889</v>
      </c>
      <c r="H114" t="str">
        <f>VLOOKUP(A114,'2.09.2021'!A$3:'2.09.2021'!I$202,8,)</f>
        <v>K-POP</v>
      </c>
      <c r="I114" t="str">
        <f>VLOOKUP(A114,'2.09.2021'!A$3:'2.09.2021'!I$202,9,)</f>
        <v>Korea de Sud</v>
      </c>
      <c r="J114" t="str">
        <f t="shared" si="3"/>
        <v>Da</v>
      </c>
    </row>
    <row r="115" spans="1:10" x14ac:dyDescent="0.2">
      <c r="A115" t="s">
        <v>179</v>
      </c>
      <c r="B115" t="s">
        <v>180</v>
      </c>
      <c r="C115">
        <v>6629131</v>
      </c>
      <c r="D115" s="7">
        <f t="shared" si="2"/>
        <v>33145.654999999999</v>
      </c>
      <c r="E115" s="2">
        <f>VLOOKUP(A115,'2.09.2021'!A$3:'2.09.2021'!I$202,5,)</f>
        <v>44303</v>
      </c>
      <c r="F115" s="2">
        <v>44455</v>
      </c>
      <c r="G115" s="23">
        <f>VLOOKUP(A115,'2.09.2021'!A$3:'2.09.2021'!I$202,7,)</f>
        <v>0.15902777777777777</v>
      </c>
      <c r="H115" t="str">
        <f>VLOOKUP(A115,'2.09.2021'!A$3:'2.09.2021'!I$202,8,)</f>
        <v>HIP-HOP/RAP</v>
      </c>
      <c r="I115" t="str">
        <f>VLOOKUP(A115,'2.09.2021'!A$3:'2.09.2021'!I$202,9,)</f>
        <v>Olanda</v>
      </c>
      <c r="J115" t="str">
        <f t="shared" si="3"/>
        <v>Nu</v>
      </c>
    </row>
    <row r="116" spans="1:10" x14ac:dyDescent="0.2">
      <c r="A116" t="s">
        <v>351</v>
      </c>
      <c r="B116" t="s">
        <v>80</v>
      </c>
      <c r="C116">
        <v>6609971</v>
      </c>
      <c r="D116" s="7">
        <f t="shared" si="2"/>
        <v>33049.854999999996</v>
      </c>
      <c r="E116" s="2">
        <v>44303</v>
      </c>
      <c r="F116" s="2">
        <v>44455</v>
      </c>
      <c r="G116" s="23">
        <v>0.13958333333333334</v>
      </c>
      <c r="H116" t="s">
        <v>423</v>
      </c>
      <c r="I116" t="s">
        <v>503</v>
      </c>
      <c r="J116" t="str">
        <f t="shared" si="3"/>
        <v>Da</v>
      </c>
    </row>
    <row r="117" spans="1:10" x14ac:dyDescent="0.2">
      <c r="A117" t="s">
        <v>256</v>
      </c>
      <c r="B117" t="s">
        <v>257</v>
      </c>
      <c r="C117">
        <v>6521903</v>
      </c>
      <c r="D117" s="7">
        <f t="shared" si="2"/>
        <v>32609.514999999999</v>
      </c>
      <c r="E117" s="2">
        <f>VLOOKUP(A117,'2.09.2021'!A$3:'2.09.2021'!I$202,5,)</f>
        <v>44307</v>
      </c>
      <c r="F117" s="2">
        <v>44455</v>
      </c>
      <c r="G117" s="23">
        <f>VLOOKUP(A117,'2.09.2021'!A$3:'2.09.2021'!I$202,7,)</f>
        <v>0.14583333333333334</v>
      </c>
      <c r="H117" t="str">
        <f>VLOOKUP(A117,'2.09.2021'!A$3:'2.09.2021'!I$202,8,)</f>
        <v>R&amp;B/SOUL</v>
      </c>
      <c r="I117" t="str">
        <f>VLOOKUP(A117,'2.09.2021'!A$3:'2.09.2021'!I$202,9,)</f>
        <v>Brazilia</v>
      </c>
      <c r="J117" t="str">
        <f t="shared" si="3"/>
        <v>Nu</v>
      </c>
    </row>
    <row r="118" spans="1:10" x14ac:dyDescent="0.2">
      <c r="A118" t="s">
        <v>194</v>
      </c>
      <c r="B118" t="s">
        <v>12</v>
      </c>
      <c r="C118">
        <v>6505182</v>
      </c>
      <c r="D118" s="7">
        <f t="shared" si="2"/>
        <v>32525.91</v>
      </c>
      <c r="E118" s="2">
        <f>VLOOKUP(A118,'2.09.2021'!A$3:'2.09.2021'!I$202,5,)</f>
        <v>44262</v>
      </c>
      <c r="F118" s="2">
        <v>44455</v>
      </c>
      <c r="G118" s="23">
        <f>VLOOKUP(A118,'2.09.2021'!A$3:'2.09.2021'!I$202,7,)</f>
        <v>0.10833333333333334</v>
      </c>
      <c r="H118" t="str">
        <f>VLOOKUP(A118,'2.09.2021'!A$3:'2.09.2021'!I$202,8,)</f>
        <v>LATIN URBAN</v>
      </c>
      <c r="I118" t="str">
        <f>VLOOKUP(A118,'2.09.2021'!A$3:'2.09.2021'!I$202,9,)</f>
        <v>SUA</v>
      </c>
      <c r="J118" t="str">
        <f t="shared" si="3"/>
        <v>Nu</v>
      </c>
    </row>
    <row r="119" spans="1:10" x14ac:dyDescent="0.2">
      <c r="A119" t="s">
        <v>221</v>
      </c>
      <c r="B119" t="s">
        <v>222</v>
      </c>
      <c r="C119">
        <v>6486642</v>
      </c>
      <c r="D119" s="7">
        <f t="shared" si="2"/>
        <v>32433.21</v>
      </c>
      <c r="E119" s="2">
        <f>VLOOKUP(A119,'2.09.2021'!A$3:'2.09.2021'!I$202,5,)</f>
        <v>44286</v>
      </c>
      <c r="F119" s="2">
        <v>44455</v>
      </c>
      <c r="G119" s="23">
        <f>VLOOKUP(A119,'2.09.2021'!A$3:'2.09.2021'!I$202,7,)</f>
        <v>8.8888888888888892E-2</v>
      </c>
      <c r="H119" t="str">
        <f>VLOOKUP(A119,'2.09.2021'!A$3:'2.09.2021'!I$202,8,)</f>
        <v>HIP-HOP/RAP</v>
      </c>
      <c r="I119" t="str">
        <f>VLOOKUP(A119,'2.09.2021'!A$3:'2.09.2021'!I$202,9,)</f>
        <v>Brazilia</v>
      </c>
      <c r="J119" t="str">
        <f t="shared" si="3"/>
        <v>Nu</v>
      </c>
    </row>
    <row r="120" spans="1:10" x14ac:dyDescent="0.2">
      <c r="A120" t="s">
        <v>172</v>
      </c>
      <c r="B120" t="s">
        <v>173</v>
      </c>
      <c r="C120">
        <v>6475476</v>
      </c>
      <c r="D120" s="7">
        <f t="shared" si="2"/>
        <v>32377.379999999997</v>
      </c>
      <c r="E120" s="2">
        <f>VLOOKUP(A120,'2.09.2021'!A$3:'2.09.2021'!I$202,5,)</f>
        <v>44227</v>
      </c>
      <c r="F120" s="2">
        <v>44455</v>
      </c>
      <c r="G120" s="23">
        <f>VLOOKUP(A120,'2.09.2021'!A$3:'2.09.2021'!I$202,7,)</f>
        <v>0.23124999999999998</v>
      </c>
      <c r="H120" t="str">
        <f>VLOOKUP(A120,'2.09.2021'!A$3:'2.09.2021'!I$202,8,)</f>
        <v>HIP-HOP/RAP</v>
      </c>
      <c r="I120" t="str">
        <f>VLOOKUP(A120,'2.09.2021'!A$3:'2.09.2021'!I$202,9,)</f>
        <v>SUA</v>
      </c>
      <c r="J120" t="str">
        <f t="shared" si="3"/>
        <v>Nu</v>
      </c>
    </row>
    <row r="121" spans="1:10" x14ac:dyDescent="0.2">
      <c r="A121" t="s">
        <v>163</v>
      </c>
      <c r="B121" t="s">
        <v>164</v>
      </c>
      <c r="C121">
        <v>6462929</v>
      </c>
      <c r="D121" s="7">
        <f t="shared" si="2"/>
        <v>32314.645</v>
      </c>
      <c r="E121" s="2">
        <f>VLOOKUP(A121,'2.09.2021'!A$3:'2.09.2021'!I$202,5,)</f>
        <v>44412</v>
      </c>
      <c r="F121" s="2">
        <v>44455</v>
      </c>
      <c r="G121" s="23">
        <f>VLOOKUP(A121,'2.09.2021'!A$3:'2.09.2021'!I$202,7,)</f>
        <v>0.10069444444444443</v>
      </c>
      <c r="H121" t="str">
        <f>VLOOKUP(A121,'2.09.2021'!A$3:'2.09.2021'!I$202,8,)</f>
        <v>HIP-HOP/RAP</v>
      </c>
      <c r="I121" t="str">
        <f>VLOOKUP(A121,'2.09.2021'!A$3:'2.09.2021'!I$202,9,)</f>
        <v>SUA</v>
      </c>
      <c r="J121" t="str">
        <f t="shared" si="3"/>
        <v>Nu</v>
      </c>
    </row>
    <row r="122" spans="1:10" x14ac:dyDescent="0.2">
      <c r="A122" t="s">
        <v>168</v>
      </c>
      <c r="B122" t="s">
        <v>158</v>
      </c>
      <c r="C122">
        <v>6448362</v>
      </c>
      <c r="D122" s="7">
        <f t="shared" si="2"/>
        <v>32241.81</v>
      </c>
      <c r="E122" s="2">
        <f>VLOOKUP(A122,'2.09.2021'!A$3:'2.09.2021'!I$202,5,)</f>
        <v>44464</v>
      </c>
      <c r="F122" s="2">
        <v>44455</v>
      </c>
      <c r="G122" s="23">
        <f>VLOOKUP(A122,'2.09.2021'!A$3:'2.09.2021'!I$202,7,)</f>
        <v>0.12361111111111112</v>
      </c>
      <c r="H122" t="str">
        <f>VLOOKUP(A122,'2.09.2021'!A$3:'2.09.2021'!I$202,8,)</f>
        <v>LATIN URBAN</v>
      </c>
      <c r="I122" t="str">
        <f>VLOOKUP(A122,'2.09.2021'!A$3:'2.09.2021'!I$202,9,)</f>
        <v>SUA</v>
      </c>
      <c r="J122" t="str">
        <f t="shared" si="3"/>
        <v>Nu</v>
      </c>
    </row>
    <row r="123" spans="1:10" x14ac:dyDescent="0.2">
      <c r="A123" t="s">
        <v>454</v>
      </c>
      <c r="B123" t="s">
        <v>279</v>
      </c>
      <c r="C123">
        <v>6435858</v>
      </c>
      <c r="D123" s="7">
        <f t="shared" si="2"/>
        <v>32179.29</v>
      </c>
      <c r="E123" s="2">
        <f>VLOOKUP(A123,'2.09.2021'!A$3:'2.09.2021'!I$202,5,)</f>
        <v>44383</v>
      </c>
      <c r="F123" s="2">
        <v>44455</v>
      </c>
      <c r="G123" s="23">
        <f>VLOOKUP(A123,'2.09.2021'!A$3:'2.09.2021'!I$202,7,)</f>
        <v>0.13958333333333334</v>
      </c>
      <c r="H123" t="str">
        <f>VLOOKUP(A123,'2.09.2021'!A$3:'2.09.2021'!I$202,8,)</f>
        <v>HIP-HOP/RAP</v>
      </c>
      <c r="I123" t="str">
        <f>VLOOKUP(A123,'2.09.2021'!A$3:'2.09.2021'!I$202,9,)</f>
        <v>Argentina</v>
      </c>
      <c r="J123" t="str">
        <f t="shared" si="3"/>
        <v>Da</v>
      </c>
    </row>
    <row r="124" spans="1:10" x14ac:dyDescent="0.2">
      <c r="A124" t="s">
        <v>305</v>
      </c>
      <c r="B124" t="s">
        <v>20</v>
      </c>
      <c r="C124">
        <v>6333718</v>
      </c>
      <c r="D124" s="7">
        <f t="shared" si="2"/>
        <v>31668.59</v>
      </c>
      <c r="E124" s="2">
        <f>VLOOKUP(A124,'23.09.2021'!A$3:'23.09.2021'!I$202,5,)</f>
        <v>44460</v>
      </c>
      <c r="F124" s="2">
        <v>44455</v>
      </c>
      <c r="G124" s="23">
        <f>VLOOKUP(A124,'23.09.2021'!A$3:'23.09.2021'!I$202,7,)</f>
        <v>0.15625</v>
      </c>
      <c r="H124" s="23" t="str">
        <f>VLOOKUP(B124,'23.09.2021'!B$3:'23.09.2021'!J$202,7,)</f>
        <v>hIP-HOP/RAP</v>
      </c>
      <c r="I124" s="23" t="s">
        <v>420</v>
      </c>
      <c r="J124" t="str">
        <f t="shared" si="3"/>
        <v>Nu</v>
      </c>
    </row>
    <row r="125" spans="1:10" x14ac:dyDescent="0.2">
      <c r="A125" t="s">
        <v>195</v>
      </c>
      <c r="B125" t="s">
        <v>196</v>
      </c>
      <c r="C125">
        <v>6312982</v>
      </c>
      <c r="D125" s="7">
        <f t="shared" si="2"/>
        <v>31564.91</v>
      </c>
      <c r="E125" s="2">
        <f>VLOOKUP(A125,'23.09.2021'!A$3:'23.09.2021'!I$202,5,)</f>
        <v>44246</v>
      </c>
      <c r="F125" s="2">
        <v>44455</v>
      </c>
      <c r="G125" s="23">
        <f>VLOOKUP(A125,'23.09.2021'!A$3:'23.09.2021'!I$202,7,)</f>
        <v>0.10416666666666667</v>
      </c>
      <c r="H125" s="23" t="str">
        <f>VLOOKUP(B125,'23.09.2021'!B$3:'23.09.2021'!J$202,7,)</f>
        <v>LATIN</v>
      </c>
      <c r="I125" t="s">
        <v>472</v>
      </c>
      <c r="J125" t="str">
        <f t="shared" si="3"/>
        <v>Nu</v>
      </c>
    </row>
    <row r="126" spans="1:10" x14ac:dyDescent="0.2">
      <c r="A126" t="s">
        <v>169</v>
      </c>
      <c r="B126" t="s">
        <v>10</v>
      </c>
      <c r="C126">
        <v>6310216</v>
      </c>
      <c r="D126" s="7">
        <f t="shared" si="2"/>
        <v>31551.08</v>
      </c>
      <c r="E126" s="2">
        <f>VLOOKUP(A126,'2.09.2021'!A$3:'2.09.2021'!I$202,5,)</f>
        <v>44309</v>
      </c>
      <c r="F126" s="2">
        <v>44455</v>
      </c>
      <c r="G126" s="23">
        <f>VLOOKUP(A126,'2.09.2021'!A$3:'2.09.2021'!I$202,7,)</f>
        <v>0.1076388888888889</v>
      </c>
      <c r="H126" t="str">
        <f>VLOOKUP(A126,'2.09.2021'!A$3:'2.09.2021'!I$202,8,)</f>
        <v>LATIN URBAN</v>
      </c>
      <c r="I126" t="str">
        <f>VLOOKUP(A126,'2.09.2021'!A$3:'2.09.2021'!I$202,9,)</f>
        <v>Marea Britanie</v>
      </c>
      <c r="J126" t="str">
        <f t="shared" si="3"/>
        <v>Nu</v>
      </c>
    </row>
    <row r="127" spans="1:10" x14ac:dyDescent="0.2">
      <c r="A127" t="s">
        <v>197</v>
      </c>
      <c r="B127" t="s">
        <v>1</v>
      </c>
      <c r="C127">
        <v>6306718</v>
      </c>
      <c r="D127" s="7">
        <f t="shared" si="2"/>
        <v>31533.59</v>
      </c>
      <c r="E127" s="2">
        <f>VLOOKUP(A127,'2.09.2021'!A$3:'2.09.2021'!I$202,5,)</f>
        <v>44243</v>
      </c>
      <c r="F127" s="2">
        <v>44455</v>
      </c>
      <c r="G127" s="23">
        <f>VLOOKUP(A127,'2.09.2021'!A$3:'2.09.2021'!I$202,7,)</f>
        <v>0.11388888888888889</v>
      </c>
      <c r="H127" t="str">
        <f>VLOOKUP(A127,'2.09.2021'!A$3:'2.09.2021'!I$202,8,)</f>
        <v>LATIN URBAN</v>
      </c>
      <c r="I127" t="str">
        <f>VLOOKUP(A127,'2.09.2021'!A$3:'2.09.2021'!I$202,9,)</f>
        <v>Australia</v>
      </c>
      <c r="J127" t="str">
        <f t="shared" si="3"/>
        <v>Da</v>
      </c>
    </row>
    <row r="128" spans="1:10" x14ac:dyDescent="0.2">
      <c r="A128" t="s">
        <v>218</v>
      </c>
      <c r="B128" t="s">
        <v>219</v>
      </c>
      <c r="C128">
        <v>6303244</v>
      </c>
      <c r="D128" s="7">
        <f t="shared" si="2"/>
        <v>31516.219999999998</v>
      </c>
      <c r="E128" s="2">
        <f>VLOOKUP(A128,'2.09.2021'!A$3:'2.09.2021'!I$202,5,)</f>
        <v>44320</v>
      </c>
      <c r="F128" s="2">
        <v>44455</v>
      </c>
      <c r="G128" s="23">
        <f>VLOOKUP(A128,'2.09.2021'!A$3:'2.09.2021'!I$202,7,)</f>
        <v>0.18958333333333333</v>
      </c>
      <c r="H128" t="str">
        <f>VLOOKUP(A128,'2.09.2021'!A$3:'2.09.2021'!I$202,8,)</f>
        <v>POP</v>
      </c>
      <c r="I128" t="str">
        <f>VLOOKUP(A128,'2.09.2021'!A$3:'2.09.2021'!I$202,9,)</f>
        <v>Puerto Rico</v>
      </c>
      <c r="J128" t="str">
        <f t="shared" si="3"/>
        <v>Nu</v>
      </c>
    </row>
    <row r="129" spans="1:10" x14ac:dyDescent="0.2">
      <c r="A129" t="s">
        <v>186</v>
      </c>
      <c r="B129" t="s">
        <v>38</v>
      </c>
      <c r="C129">
        <v>6268894</v>
      </c>
      <c r="D129" s="7">
        <f t="shared" si="2"/>
        <v>31344.47</v>
      </c>
      <c r="E129" s="2">
        <f>VLOOKUP(A129,'2.09.2021'!A$3:'2.09.2021'!I$202,5,)</f>
        <v>44315</v>
      </c>
      <c r="F129" s="2">
        <v>44455</v>
      </c>
      <c r="G129" s="23">
        <f>VLOOKUP(A129,'2.09.2021'!A$3:'2.09.2021'!I$202,7,)</f>
        <v>0.14097222222222222</v>
      </c>
      <c r="H129" t="str">
        <f>VLOOKUP(A129,'2.09.2021'!A$3:'2.09.2021'!I$202,8,)</f>
        <v>LATIN URBAN</v>
      </c>
      <c r="I129" t="str">
        <f>VLOOKUP(A129,'2.09.2021'!A$3:'2.09.2021'!I$202,9,)</f>
        <v>Marea Britanie</v>
      </c>
      <c r="J129" t="str">
        <f t="shared" si="3"/>
        <v>Nu</v>
      </c>
    </row>
    <row r="130" spans="1:10" x14ac:dyDescent="0.2">
      <c r="A130" t="s">
        <v>144</v>
      </c>
      <c r="B130" t="s">
        <v>23</v>
      </c>
      <c r="C130">
        <v>6259285</v>
      </c>
      <c r="D130" s="7">
        <f t="shared" si="2"/>
        <v>31296.424999999999</v>
      </c>
      <c r="E130" s="2">
        <f>VLOOKUP(A130,'30.09.2021'!A$3:'30.09.2021'!I$202,5,)</f>
        <v>44332</v>
      </c>
      <c r="F130" s="2">
        <v>44455</v>
      </c>
      <c r="G130" s="23">
        <f>VLOOKUP(A130,'30.09.2021'!A$3:'30.09.2021'!I$202,7,)</f>
        <v>0.14791666666666667</v>
      </c>
      <c r="H130" s="23" t="str">
        <f>VLOOKUP(B130,'30.09.2021'!B$3:'30.09.2021'!J$202,7,)</f>
        <v>ALTERNATIVE</v>
      </c>
      <c r="I130" s="23" t="s">
        <v>468</v>
      </c>
      <c r="J130" t="str">
        <f t="shared" si="3"/>
        <v>Nu</v>
      </c>
    </row>
    <row r="131" spans="1:10" x14ac:dyDescent="0.2">
      <c r="A131" t="s">
        <v>272</v>
      </c>
      <c r="B131" t="s">
        <v>273</v>
      </c>
      <c r="C131">
        <v>6254534</v>
      </c>
      <c r="D131" s="7">
        <f t="shared" si="2"/>
        <v>31272.67</v>
      </c>
      <c r="E131" s="2">
        <f>VLOOKUP(A131,'2.09.2021'!A$3:'2.09.2021'!I$202,5,)</f>
        <v>44360</v>
      </c>
      <c r="F131" s="2">
        <v>44455</v>
      </c>
      <c r="G131" s="23">
        <f>VLOOKUP(A131,'2.09.2021'!A$3:'2.09.2021'!I$202,7,)</f>
        <v>0.15694444444444444</v>
      </c>
      <c r="H131" t="str">
        <f>VLOOKUP(A131,'2.09.2021'!A$3:'2.09.2021'!I$202,8,)</f>
        <v>POP</v>
      </c>
      <c r="I131" t="str">
        <f>VLOOKUP(A131,'2.09.2021'!A$3:'2.09.2021'!I$202,9,)</f>
        <v>India</v>
      </c>
      <c r="J131" t="str">
        <f t="shared" si="3"/>
        <v>Nu</v>
      </c>
    </row>
    <row r="132" spans="1:10" x14ac:dyDescent="0.2">
      <c r="A132" t="s">
        <v>452</v>
      </c>
      <c r="B132" t="s">
        <v>233</v>
      </c>
      <c r="C132">
        <v>6254413</v>
      </c>
      <c r="D132" s="7">
        <f t="shared" ref="D132:D195" si="4">(C132/1000*5)</f>
        <v>31272.064999999999</v>
      </c>
      <c r="E132" s="2">
        <f>VLOOKUP(A132,'2.09.2021'!A$3:'2.09.2021'!I$202,5,)</f>
        <v>44341</v>
      </c>
      <c r="F132" s="2">
        <v>44455</v>
      </c>
      <c r="G132" s="23">
        <f>VLOOKUP(A132,'2.09.2021'!A$3:'2.09.2021'!I$202,7,)</f>
        <v>0.14097222222222222</v>
      </c>
      <c r="H132" t="str">
        <f>VLOOKUP(A132,'2.09.2021'!A$3:'2.09.2021'!I$202,8,)</f>
        <v>HIP-HOP/RAP</v>
      </c>
      <c r="I132" t="str">
        <f>VLOOKUP(A132,'2.09.2021'!A$3:'2.09.2021'!I$202,9,)</f>
        <v>SUA</v>
      </c>
      <c r="J132" t="str">
        <f t="shared" si="3"/>
        <v>Da</v>
      </c>
    </row>
    <row r="133" spans="1:10" x14ac:dyDescent="0.2">
      <c r="A133" t="s">
        <v>128</v>
      </c>
      <c r="B133" t="s">
        <v>129</v>
      </c>
      <c r="C133">
        <v>6247305</v>
      </c>
      <c r="D133" s="7">
        <f t="shared" si="4"/>
        <v>31236.525000000001</v>
      </c>
      <c r="E133" s="2">
        <v>44307</v>
      </c>
      <c r="F133" s="2">
        <v>44455</v>
      </c>
      <c r="G133" s="23">
        <v>0.12430555555555556</v>
      </c>
      <c r="H133" t="s">
        <v>426</v>
      </c>
      <c r="I133" t="s">
        <v>472</v>
      </c>
      <c r="J133" t="str">
        <f t="shared" ref="J133:J196" si="5">IF(ISNUMBER(SEARCH("with",A133)),"Da","Nu")</f>
        <v>Nu</v>
      </c>
    </row>
    <row r="134" spans="1:10" x14ac:dyDescent="0.2">
      <c r="A134" t="s">
        <v>159</v>
      </c>
      <c r="B134" t="s">
        <v>160</v>
      </c>
      <c r="C134">
        <v>6138420</v>
      </c>
      <c r="D134" s="7">
        <f t="shared" si="4"/>
        <v>30692.1</v>
      </c>
      <c r="E134" s="2">
        <f>VLOOKUP(A134,'2.09.2021'!A$3:'2.09.2021'!I$202,5,)</f>
        <v>44329</v>
      </c>
      <c r="F134" s="2">
        <v>44455</v>
      </c>
      <c r="G134" s="23">
        <f>VLOOKUP(A134,'2.09.2021'!A$3:'2.09.2021'!I$202,7,)</f>
        <v>0.14930555555555555</v>
      </c>
      <c r="H134" t="str">
        <f>VLOOKUP(A134,'2.09.2021'!A$3:'2.09.2021'!I$202,8,)</f>
        <v>RHYTHM &amp; BLUES</v>
      </c>
      <c r="I134" t="str">
        <f>VLOOKUP(A134,'2.09.2021'!A$3:'2.09.2021'!I$202,9,)</f>
        <v>SUA</v>
      </c>
      <c r="J134" t="str">
        <f t="shared" si="5"/>
        <v>Nu</v>
      </c>
    </row>
    <row r="135" spans="1:10" x14ac:dyDescent="0.2">
      <c r="A135" t="s">
        <v>230</v>
      </c>
      <c r="B135" t="s">
        <v>231</v>
      </c>
      <c r="C135">
        <v>6116311</v>
      </c>
      <c r="D135" s="7">
        <f t="shared" si="4"/>
        <v>30581.555</v>
      </c>
      <c r="E135" s="2">
        <f>VLOOKUP(A135,'2.09.2021'!A$3:'2.09.2021'!I$202,5,)</f>
        <v>44339</v>
      </c>
      <c r="F135" s="2">
        <v>44455</v>
      </c>
      <c r="G135" s="23">
        <f>VLOOKUP(A135,'2.09.2021'!A$3:'2.09.2021'!I$202,7,)</f>
        <v>0.16805555555555554</v>
      </c>
      <c r="H135" t="str">
        <f>VLOOKUP(A135,'2.09.2021'!A$3:'2.09.2021'!I$202,8,)</f>
        <v>HIP-HOP/RAP</v>
      </c>
      <c r="I135" t="str">
        <f>VLOOKUP(A135,'2.09.2021'!A$3:'2.09.2021'!I$202,9,)</f>
        <v>Mexic</v>
      </c>
      <c r="J135" t="str">
        <f t="shared" si="5"/>
        <v>Nu</v>
      </c>
    </row>
    <row r="136" spans="1:10" x14ac:dyDescent="0.2">
      <c r="A136" t="s">
        <v>184</v>
      </c>
      <c r="B136" t="s">
        <v>185</v>
      </c>
      <c r="C136">
        <v>6087940</v>
      </c>
      <c r="D136" s="7">
        <f t="shared" si="4"/>
        <v>30439.699999999997</v>
      </c>
      <c r="E136" s="2">
        <f>VLOOKUP(A136,'2.09.2021'!A$3:'2.09.2021'!I$202,5,)</f>
        <v>44321</v>
      </c>
      <c r="F136" s="2">
        <v>44455</v>
      </c>
      <c r="G136" s="23">
        <f>VLOOKUP(A136,'2.09.2021'!A$3:'2.09.2021'!I$202,7,)</f>
        <v>0.16805555555555554</v>
      </c>
      <c r="H136" t="str">
        <f>VLOOKUP(A136,'2.09.2021'!A$3:'2.09.2021'!I$202,8,)</f>
        <v>HIP-HOP/RAP</v>
      </c>
      <c r="I136" t="str">
        <f>VLOOKUP(A136,'2.09.2021'!A$3:'2.09.2021'!I$202,9,)</f>
        <v>SUA</v>
      </c>
      <c r="J136" t="str">
        <f t="shared" si="5"/>
        <v>Nu</v>
      </c>
    </row>
    <row r="137" spans="1:10" x14ac:dyDescent="0.2">
      <c r="A137" t="s">
        <v>236</v>
      </c>
      <c r="B137" t="s">
        <v>17</v>
      </c>
      <c r="C137">
        <v>6058526</v>
      </c>
      <c r="D137" s="7">
        <f t="shared" si="4"/>
        <v>30292.629999999997</v>
      </c>
      <c r="E137" s="2">
        <f>VLOOKUP(A137,'2.09.2021'!A$3:'2.09.2021'!I$202,5,)</f>
        <v>44347</v>
      </c>
      <c r="F137" s="2">
        <v>44455</v>
      </c>
      <c r="G137" s="23">
        <f>VLOOKUP(A137,'2.09.2021'!A$3:'2.09.2021'!I$202,7,)</f>
        <v>0.12013888888888889</v>
      </c>
      <c r="H137" t="str">
        <f>VLOOKUP(A137,'2.09.2021'!A$3:'2.09.2021'!I$202,8,)</f>
        <v>HIP-HOP/RAP</v>
      </c>
      <c r="I137" t="str">
        <f>VLOOKUP(A137,'2.09.2021'!A$3:'2.09.2021'!I$202,9,)</f>
        <v>SUA</v>
      </c>
      <c r="J137" t="str">
        <f t="shared" si="5"/>
        <v>Nu</v>
      </c>
    </row>
    <row r="138" spans="1:10" x14ac:dyDescent="0.2">
      <c r="A138" t="s">
        <v>352</v>
      </c>
      <c r="B138" t="s">
        <v>353</v>
      </c>
      <c r="C138">
        <v>6055602</v>
      </c>
      <c r="D138" s="7">
        <f t="shared" si="4"/>
        <v>30278.01</v>
      </c>
      <c r="E138" s="2">
        <v>44398</v>
      </c>
      <c r="F138" s="2">
        <v>44455</v>
      </c>
      <c r="G138" s="23">
        <v>0.21319444444444444</v>
      </c>
      <c r="H138" t="s">
        <v>418</v>
      </c>
      <c r="I138" t="s">
        <v>474</v>
      </c>
      <c r="J138" t="str">
        <f t="shared" si="5"/>
        <v>Nu</v>
      </c>
    </row>
    <row r="139" spans="1:10" x14ac:dyDescent="0.2">
      <c r="A139" t="s">
        <v>249</v>
      </c>
      <c r="B139" t="s">
        <v>250</v>
      </c>
      <c r="C139">
        <v>6040731</v>
      </c>
      <c r="D139" s="7">
        <f t="shared" si="4"/>
        <v>30203.654999999999</v>
      </c>
      <c r="E139" s="2">
        <f>VLOOKUP(A139,'2.09.2021'!A$3:'2.09.2021'!I$202,5,)</f>
        <v>44340</v>
      </c>
      <c r="F139" s="2">
        <v>44455</v>
      </c>
      <c r="G139" s="23">
        <f>VLOOKUP(A139,'2.09.2021'!A$3:'2.09.2021'!I$202,7,)</f>
        <v>0.23541666666666669</v>
      </c>
      <c r="H139" t="str">
        <f>VLOOKUP(A139,'2.09.2021'!A$3:'2.09.2021'!I$202,8,)</f>
        <v>LATIN URBAN</v>
      </c>
      <c r="I139" t="str">
        <f>VLOOKUP(A139,'2.09.2021'!A$3:'2.09.2021'!I$202,9,)</f>
        <v>Suedia</v>
      </c>
      <c r="J139" t="str">
        <f t="shared" si="5"/>
        <v>Da</v>
      </c>
    </row>
    <row r="140" spans="1:10" x14ac:dyDescent="0.2">
      <c r="A140" t="s">
        <v>176</v>
      </c>
      <c r="B140" t="s">
        <v>177</v>
      </c>
      <c r="C140">
        <v>6036598</v>
      </c>
      <c r="D140" s="7">
        <f t="shared" si="4"/>
        <v>30182.989999999998</v>
      </c>
      <c r="E140" s="2">
        <f>VLOOKUP(A140,'30.09.2021'!A$3:'30.09.2021'!I$202,5,)</f>
        <v>44391</v>
      </c>
      <c r="F140" s="2">
        <v>44455</v>
      </c>
      <c r="G140" s="23">
        <f>VLOOKUP(A140,'30.09.2021'!A$3:'30.09.2021'!I$202,7,)</f>
        <v>0.14097222222222222</v>
      </c>
      <c r="H140" t="str">
        <f>VLOOKUP(A140,'30.09.2021'!A$3:'30.09.2021'!I$202,8,)</f>
        <v>LATIN</v>
      </c>
      <c r="I140" t="str">
        <f>VLOOKUP(A140,'30.09.2021'!A$3:'30.09.2021'!I$202,9,)</f>
        <v>Columbia</v>
      </c>
      <c r="J140" t="str">
        <f t="shared" si="5"/>
        <v>Nu</v>
      </c>
    </row>
    <row r="141" spans="1:10" x14ac:dyDescent="0.2">
      <c r="A141" t="s">
        <v>198</v>
      </c>
      <c r="B141" t="s">
        <v>138</v>
      </c>
      <c r="C141">
        <v>6025235</v>
      </c>
      <c r="D141" s="7">
        <f t="shared" si="4"/>
        <v>30126.174999999999</v>
      </c>
      <c r="E141" s="2">
        <f>VLOOKUP(A141,'2.09.2021'!A$3:'2.09.2021'!I$202,5,)</f>
        <v>44295</v>
      </c>
      <c r="F141" s="2">
        <v>44455</v>
      </c>
      <c r="G141" s="23">
        <f>VLOOKUP(A141,'2.09.2021'!A$3:'2.09.2021'!I$202,7,)</f>
        <v>0.37361111111111112</v>
      </c>
      <c r="H141" t="str">
        <f>VLOOKUP(A141,'2.09.2021'!A$3:'2.09.2021'!I$202,8,)</f>
        <v>K-POP</v>
      </c>
      <c r="I141" t="str">
        <f>VLOOKUP(A141,'2.09.2021'!A$3:'2.09.2021'!I$202,9,)</f>
        <v>Canada</v>
      </c>
      <c r="J141" t="str">
        <f t="shared" si="5"/>
        <v>Nu</v>
      </c>
    </row>
    <row r="142" spans="1:10" x14ac:dyDescent="0.2">
      <c r="A142" t="s">
        <v>264</v>
      </c>
      <c r="B142" t="s">
        <v>265</v>
      </c>
      <c r="C142">
        <v>6017085</v>
      </c>
      <c r="D142" s="7">
        <f t="shared" si="4"/>
        <v>30085.424999999999</v>
      </c>
      <c r="E142" s="2">
        <f>VLOOKUP(A142,'2.09.2021'!A$3:'2.09.2021'!I$202,5,)</f>
        <v>44414</v>
      </c>
      <c r="F142" s="2">
        <v>44455</v>
      </c>
      <c r="G142" s="23">
        <f>VLOOKUP(A142,'2.09.2021'!A$3:'2.09.2021'!I$202,7,)</f>
        <v>0.12013888888888889</v>
      </c>
      <c r="H142" t="str">
        <f>VLOOKUP(A142,'2.09.2021'!A$3:'2.09.2021'!I$202,8,)</f>
        <v>LATIN URBAN</v>
      </c>
      <c r="I142" t="str">
        <f>VLOOKUP(A142,'2.09.2021'!A$3:'2.09.2021'!I$202,9,)</f>
        <v>Australia</v>
      </c>
      <c r="J142" t="str">
        <f t="shared" si="5"/>
        <v>Nu</v>
      </c>
    </row>
    <row r="143" spans="1:10" x14ac:dyDescent="0.2">
      <c r="A143" t="s">
        <v>220</v>
      </c>
      <c r="B143" t="s">
        <v>215</v>
      </c>
      <c r="C143">
        <v>6016274</v>
      </c>
      <c r="D143" s="7">
        <f t="shared" si="4"/>
        <v>30081.370000000003</v>
      </c>
      <c r="E143" s="2">
        <f>VLOOKUP(A143,'2.09.2021'!A$3:'2.09.2021'!I$202,5,)</f>
        <v>44412</v>
      </c>
      <c r="F143" s="2">
        <v>44455</v>
      </c>
      <c r="G143" s="23">
        <f>VLOOKUP(A143,'2.09.2021'!A$3:'2.09.2021'!I$202,7,)</f>
        <v>0.1673611111111111</v>
      </c>
      <c r="H143" t="str">
        <f>VLOOKUP(A143,'2.09.2021'!A$3:'2.09.2021'!I$202,8,)</f>
        <v>POP</v>
      </c>
      <c r="I143" t="str">
        <f>VLOOKUP(A143,'2.09.2021'!A$3:'2.09.2021'!I$202,9,)</f>
        <v>Puerto Rico</v>
      </c>
      <c r="J143" t="str">
        <f t="shared" si="5"/>
        <v>Nu</v>
      </c>
    </row>
    <row r="144" spans="1:10" x14ac:dyDescent="0.2">
      <c r="A144" t="s">
        <v>449</v>
      </c>
      <c r="B144" t="s">
        <v>76</v>
      </c>
      <c r="C144">
        <v>6008844</v>
      </c>
      <c r="D144" s="7">
        <f t="shared" si="4"/>
        <v>30044.22</v>
      </c>
      <c r="E144" s="2">
        <f>VLOOKUP(A144,'2.09.2021'!A$3:'2.09.2021'!I$202,5,)</f>
        <v>44391</v>
      </c>
      <c r="F144" s="2">
        <v>44455</v>
      </c>
      <c r="G144" s="23">
        <f>VLOOKUP(A144,'2.09.2021'!A$3:'2.09.2021'!I$202,7,)</f>
        <v>0.10208333333333335</v>
      </c>
      <c r="H144" t="str">
        <f>VLOOKUP(A144,'2.09.2021'!A$3:'2.09.2021'!I$202,8,)</f>
        <v>LATIN URBAN</v>
      </c>
      <c r="I144" t="str">
        <f>VLOOKUP(A144,'2.09.2021'!A$3:'2.09.2021'!I$202,9,)</f>
        <v>Marea Britanie</v>
      </c>
      <c r="J144" t="str">
        <f t="shared" si="5"/>
        <v>Da</v>
      </c>
    </row>
    <row r="145" spans="1:10" x14ac:dyDescent="0.2">
      <c r="A145" t="s">
        <v>191</v>
      </c>
      <c r="B145" t="s">
        <v>192</v>
      </c>
      <c r="C145">
        <v>5997232</v>
      </c>
      <c r="D145" s="7">
        <f t="shared" si="4"/>
        <v>29986.16</v>
      </c>
      <c r="E145" s="2">
        <f>VLOOKUP(A145,'2.09.2021'!A$3:'2.09.2021'!I$202,5,)</f>
        <v>44413</v>
      </c>
      <c r="F145" s="2">
        <v>44455</v>
      </c>
      <c r="G145" s="23">
        <f>VLOOKUP(A145,'2.09.2021'!A$3:'2.09.2021'!I$202,7,)</f>
        <v>0.12013888888888889</v>
      </c>
      <c r="H145" t="str">
        <f>VLOOKUP(A145,'2.09.2021'!A$3:'2.09.2021'!I$202,8,)</f>
        <v>LATIN</v>
      </c>
      <c r="I145" t="str">
        <f>VLOOKUP(A145,'2.09.2021'!A$3:'2.09.2021'!I$202,9,)</f>
        <v>Canada</v>
      </c>
      <c r="J145" t="str">
        <f t="shared" si="5"/>
        <v>Nu</v>
      </c>
    </row>
    <row r="146" spans="1:10" x14ac:dyDescent="0.2">
      <c r="A146" t="s">
        <v>203</v>
      </c>
      <c r="B146" t="s">
        <v>204</v>
      </c>
      <c r="C146">
        <v>5996779</v>
      </c>
      <c r="D146" s="7">
        <f t="shared" si="4"/>
        <v>29983.895000000004</v>
      </c>
      <c r="E146" s="2">
        <f>VLOOKUP(A146,'2.09.2021'!A$3:'2.09.2021'!I$202,5,)</f>
        <v>44254</v>
      </c>
      <c r="F146" s="2">
        <v>44455</v>
      </c>
      <c r="G146" s="23">
        <f>VLOOKUP(A146,'2.09.2021'!A$3:'2.09.2021'!I$202,7,)</f>
        <v>0.15277777777777776</v>
      </c>
      <c r="H146" t="str">
        <f>VLOOKUP(A146,'2.09.2021'!A$3:'2.09.2021'!I$202,8,)</f>
        <v>K-POP</v>
      </c>
      <c r="I146" t="str">
        <f>VLOOKUP(A146,'2.09.2021'!A$3:'2.09.2021'!I$202,9,)</f>
        <v>SUA</v>
      </c>
      <c r="J146" t="str">
        <f t="shared" si="5"/>
        <v>Nu</v>
      </c>
    </row>
    <row r="147" spans="1:10" x14ac:dyDescent="0.2">
      <c r="A147" t="s">
        <v>259</v>
      </c>
      <c r="B147" t="s">
        <v>260</v>
      </c>
      <c r="C147">
        <v>5980474</v>
      </c>
      <c r="D147" s="7">
        <f t="shared" si="4"/>
        <v>29902.370000000003</v>
      </c>
      <c r="E147" s="2">
        <f>VLOOKUP(A147,'30.09.2021'!A$3:'30.09.2021'!I$202,5,)</f>
        <v>44397</v>
      </c>
      <c r="F147" s="2">
        <v>44455</v>
      </c>
      <c r="G147" s="23">
        <f>VLOOKUP(A147,'30.09.2021'!A$3:'30.09.2021'!I$202,7,)</f>
        <v>0.20555555555555557</v>
      </c>
      <c r="H147" t="str">
        <f>VLOOKUP(A147,'30.09.2021'!A$3:'30.09.2021'!I$202,8,)</f>
        <v>POP</v>
      </c>
      <c r="I147" t="str">
        <f>VLOOKUP(A147,'30.09.2021'!A$3:'30.09.2021'!I$202,9,)</f>
        <v>SUA</v>
      </c>
      <c r="J147" t="str">
        <f t="shared" si="5"/>
        <v>Da</v>
      </c>
    </row>
    <row r="148" spans="1:10" x14ac:dyDescent="0.2">
      <c r="A148" t="s">
        <v>193</v>
      </c>
      <c r="B148" t="s">
        <v>86</v>
      </c>
      <c r="C148">
        <v>5963043</v>
      </c>
      <c r="D148" s="7">
        <f t="shared" si="4"/>
        <v>29815.214999999997</v>
      </c>
      <c r="E148" s="2">
        <f>VLOOKUP(A148,'2.09.2021'!A$3:'2.09.2021'!I$202,5,)</f>
        <v>44230</v>
      </c>
      <c r="F148" s="2">
        <v>44455</v>
      </c>
      <c r="G148" s="23">
        <f>VLOOKUP(A148,'2.09.2021'!A$3:'2.09.2021'!I$202,7,)</f>
        <v>0.12083333333333333</v>
      </c>
      <c r="H148" t="str">
        <f>VLOOKUP(A148,'2.09.2021'!A$3:'2.09.2021'!I$202,8,)</f>
        <v>HIP-HOP/RAP</v>
      </c>
      <c r="I148" t="str">
        <f>VLOOKUP(A148,'2.09.2021'!A$3:'2.09.2021'!I$202,9,)</f>
        <v>SUA</v>
      </c>
      <c r="J148" t="str">
        <f t="shared" si="5"/>
        <v>Nu</v>
      </c>
    </row>
    <row r="149" spans="1:10" x14ac:dyDescent="0.2">
      <c r="A149" t="s">
        <v>453</v>
      </c>
      <c r="B149" t="s">
        <v>20</v>
      </c>
      <c r="C149">
        <v>5902579</v>
      </c>
      <c r="D149" s="7">
        <f t="shared" si="4"/>
        <v>29512.894999999997</v>
      </c>
      <c r="E149" s="2">
        <f>VLOOKUP(A149,'2.09.2021'!A$3:'2.09.2021'!I$202,5,)</f>
        <v>44381</v>
      </c>
      <c r="F149" s="2">
        <v>44455</v>
      </c>
      <c r="G149" s="23">
        <f>VLOOKUP(A149,'2.09.2021'!A$3:'2.09.2021'!I$202,7,)</f>
        <v>0.14444444444444446</v>
      </c>
      <c r="H149" t="str">
        <f>VLOOKUP(A149,'2.09.2021'!A$3:'2.09.2021'!I$202,8,)</f>
        <v>HIP-HOP/RAP</v>
      </c>
      <c r="I149" t="str">
        <f>VLOOKUP(A149,'2.09.2021'!A$3:'2.09.2021'!I$202,9,)</f>
        <v>Canada</v>
      </c>
      <c r="J149" t="str">
        <f t="shared" si="5"/>
        <v>Da</v>
      </c>
    </row>
    <row r="150" spans="1:10" x14ac:dyDescent="0.2">
      <c r="A150" t="s">
        <v>254</v>
      </c>
      <c r="B150" t="s">
        <v>255</v>
      </c>
      <c r="C150">
        <v>5888838</v>
      </c>
      <c r="D150" s="7">
        <f t="shared" si="4"/>
        <v>29444.19</v>
      </c>
      <c r="E150" s="2">
        <f>VLOOKUP(A150,'2.09.2021'!A$3:'2.09.2021'!I$202,5,)</f>
        <v>44339</v>
      </c>
      <c r="F150" s="2">
        <v>44455</v>
      </c>
      <c r="G150" s="23">
        <f>VLOOKUP(A150,'2.09.2021'!A$3:'2.09.2021'!I$202,7,)</f>
        <v>0.24861111111111112</v>
      </c>
      <c r="H150" t="str">
        <f>VLOOKUP(A150,'2.09.2021'!A$3:'2.09.2021'!I$202,8,)</f>
        <v>ROCK</v>
      </c>
      <c r="I150" t="s">
        <v>472</v>
      </c>
      <c r="J150" t="str">
        <f t="shared" si="5"/>
        <v>Nu</v>
      </c>
    </row>
    <row r="151" spans="1:10" x14ac:dyDescent="0.2">
      <c r="A151" t="s">
        <v>253</v>
      </c>
      <c r="B151" t="s">
        <v>34</v>
      </c>
      <c r="C151">
        <v>5886748</v>
      </c>
      <c r="D151" s="7">
        <f t="shared" si="4"/>
        <v>29433.739999999998</v>
      </c>
      <c r="E151" s="2">
        <f>VLOOKUP(A151,'2.09.2021'!A$3:'2.09.2021'!I$202,5,)</f>
        <v>44454</v>
      </c>
      <c r="F151" s="2">
        <v>44455</v>
      </c>
      <c r="G151" s="23">
        <f>VLOOKUP(A151,'2.09.2021'!A$3:'2.09.2021'!I$202,7,)</f>
        <v>0.17500000000000002</v>
      </c>
      <c r="H151" t="str">
        <f>VLOOKUP(A151,'2.09.2021'!A$3:'2.09.2021'!I$202,8,)</f>
        <v>DANCE</v>
      </c>
      <c r="I151" t="str">
        <f>VLOOKUP(A151,'2.09.2021'!A$3:'2.09.2021'!I$202,9,)</f>
        <v>Puerto Rico</v>
      </c>
      <c r="J151" t="str">
        <f t="shared" si="5"/>
        <v>Nu</v>
      </c>
    </row>
    <row r="152" spans="1:10" x14ac:dyDescent="0.2">
      <c r="A152" t="s">
        <v>187</v>
      </c>
      <c r="B152" t="s">
        <v>188</v>
      </c>
      <c r="C152">
        <v>5886479</v>
      </c>
      <c r="D152" s="7">
        <f t="shared" si="4"/>
        <v>29432.395</v>
      </c>
      <c r="E152" s="2">
        <f>VLOOKUP(A152,'2.09.2021'!A$3:'2.09.2021'!I$202,5,)</f>
        <v>44362</v>
      </c>
      <c r="F152" s="2">
        <v>44455</v>
      </c>
      <c r="G152" s="23">
        <f>VLOOKUP(A152,'2.09.2021'!A$3:'2.09.2021'!I$202,7,)</f>
        <v>0.14027777777777778</v>
      </c>
      <c r="H152" t="str">
        <f>VLOOKUP(A152,'2.09.2021'!A$3:'2.09.2021'!I$202,8,)</f>
        <v>HIP-HOP/RAP</v>
      </c>
      <c r="I152" t="str">
        <f>VLOOKUP(A152,'2.09.2021'!A$3:'2.09.2021'!I$202,9,)</f>
        <v>Marea Britanie</v>
      </c>
      <c r="J152" t="str">
        <f t="shared" si="5"/>
        <v>Nu</v>
      </c>
    </row>
    <row r="153" spans="1:10" x14ac:dyDescent="0.2">
      <c r="A153" t="s">
        <v>309</v>
      </c>
      <c r="B153" t="s">
        <v>20</v>
      </c>
      <c r="C153">
        <v>5885848</v>
      </c>
      <c r="D153" s="7">
        <f t="shared" si="4"/>
        <v>29429.239999999998</v>
      </c>
      <c r="E153" s="2">
        <v>44460</v>
      </c>
      <c r="F153" s="2">
        <v>44455</v>
      </c>
      <c r="G153" s="23">
        <v>0.12083333333333333</v>
      </c>
      <c r="H153" t="s">
        <v>423</v>
      </c>
      <c r="I153" t="s">
        <v>420</v>
      </c>
      <c r="J153" t="str">
        <f t="shared" si="5"/>
        <v>Da</v>
      </c>
    </row>
    <row r="154" spans="1:10" x14ac:dyDescent="0.2">
      <c r="A154" t="s">
        <v>456</v>
      </c>
      <c r="B154" t="s">
        <v>324</v>
      </c>
      <c r="C154">
        <v>5879656</v>
      </c>
      <c r="D154" s="7">
        <f t="shared" si="4"/>
        <v>29398.28</v>
      </c>
      <c r="E154" s="2">
        <f>VLOOKUP(A154,'2.09.2021'!A$3:'2.09.2021'!I$202,5,)</f>
        <v>44409</v>
      </c>
      <c r="F154" s="2">
        <v>44455</v>
      </c>
      <c r="G154" s="23">
        <f>VLOOKUP(A154,'2.09.2021'!A$3:'2.09.2021'!I$202,7,)</f>
        <v>8.5416666666666655E-2</v>
      </c>
      <c r="H154" t="str">
        <f>VLOOKUP(A154,'2.09.2021'!A$3:'2.09.2021'!I$202,8,)</f>
        <v>ROCK</v>
      </c>
      <c r="I154" t="str">
        <f>VLOOKUP(A154,'2.09.2021'!A$3:'2.09.2021'!I$202,9,)</f>
        <v>SUA</v>
      </c>
      <c r="J154" t="str">
        <f t="shared" si="5"/>
        <v>Da</v>
      </c>
    </row>
    <row r="155" spans="1:10" x14ac:dyDescent="0.2">
      <c r="A155" t="s">
        <v>189</v>
      </c>
      <c r="B155" t="s">
        <v>190</v>
      </c>
      <c r="C155">
        <v>5862405</v>
      </c>
      <c r="D155" s="7">
        <f t="shared" si="4"/>
        <v>29312.024999999998</v>
      </c>
      <c r="E155" s="2">
        <f>VLOOKUP(A155,'30.09.2021'!A$3:'30.09.2021'!I$202,5,)</f>
        <v>44246</v>
      </c>
      <c r="F155" s="2">
        <v>44455</v>
      </c>
      <c r="G155" s="23">
        <f>VLOOKUP(A155,'30.09.2021'!A$3:'30.09.2021'!I$202,7,)</f>
        <v>9.8611111111111108E-2</v>
      </c>
      <c r="H155" t="str">
        <f>VLOOKUP(A155,'30.09.2021'!A$3:'30.09.2021'!I$202,8,)</f>
        <v>LATIN</v>
      </c>
      <c r="I155" t="str">
        <f>VLOOKUP(A155,'30.09.2021'!A$3:'30.09.2021'!I$202,9,)</f>
        <v>Columbia</v>
      </c>
      <c r="J155" t="str">
        <f t="shared" si="5"/>
        <v>Nu</v>
      </c>
    </row>
    <row r="156" spans="1:10" x14ac:dyDescent="0.2">
      <c r="A156" t="s">
        <v>223</v>
      </c>
      <c r="B156" t="s">
        <v>88</v>
      </c>
      <c r="C156">
        <v>5818652</v>
      </c>
      <c r="D156" s="7">
        <f t="shared" si="4"/>
        <v>29093.260000000002</v>
      </c>
      <c r="E156" s="2">
        <f>VLOOKUP(A156,'2.09.2021'!A$3:'2.09.2021'!I$202,5,)</f>
        <v>44351</v>
      </c>
      <c r="F156" s="2">
        <v>44455</v>
      </c>
      <c r="G156" s="23">
        <f>VLOOKUP(A156,'2.09.2021'!A$3:'2.09.2021'!I$202,7,)</f>
        <v>0.15347222222222223</v>
      </c>
      <c r="H156" t="s">
        <v>422</v>
      </c>
      <c r="I156" t="str">
        <f>VLOOKUP(A156,'2.09.2021'!A$3:'2.09.2021'!I$202,9,)</f>
        <v>SUA</v>
      </c>
      <c r="J156" t="str">
        <f t="shared" si="5"/>
        <v>Nu</v>
      </c>
    </row>
    <row r="157" spans="1:10" x14ac:dyDescent="0.2">
      <c r="A157" t="s">
        <v>448</v>
      </c>
      <c r="B157" t="s">
        <v>207</v>
      </c>
      <c r="C157">
        <v>5806510</v>
      </c>
      <c r="D157" s="7">
        <f t="shared" si="4"/>
        <v>29032.550000000003</v>
      </c>
      <c r="E157" s="2">
        <f>VLOOKUP(A157,'2.09.2021'!A$3:'2.09.2021'!I$202,5,)</f>
        <v>44309</v>
      </c>
      <c r="F157" s="2">
        <v>44455</v>
      </c>
      <c r="G157" s="23">
        <f>VLOOKUP(A157,'2.09.2021'!A$3:'2.09.2021'!I$202,7,)</f>
        <v>0.13333333333333333</v>
      </c>
      <c r="H157" t="str">
        <f>VLOOKUP(A157,'2.09.2021'!A$3:'2.09.2021'!I$202,8,)</f>
        <v>LATIN</v>
      </c>
      <c r="I157" t="str">
        <f>VLOOKUP(A157,'2.09.2021'!A$3:'2.09.2021'!I$202,9,)</f>
        <v>SUA</v>
      </c>
      <c r="J157" t="str">
        <f t="shared" si="5"/>
        <v>Da</v>
      </c>
    </row>
    <row r="158" spans="1:10" x14ac:dyDescent="0.2">
      <c r="A158" t="s">
        <v>251</v>
      </c>
      <c r="B158" t="s">
        <v>229</v>
      </c>
      <c r="C158">
        <v>5802977</v>
      </c>
      <c r="D158" s="7">
        <f t="shared" si="4"/>
        <v>29014.884999999998</v>
      </c>
      <c r="E158" s="2">
        <f>VLOOKUP(A158,'2.09.2021'!A$3:'2.09.2021'!I$202,5,)</f>
        <v>44413</v>
      </c>
      <c r="F158" s="2">
        <v>44455</v>
      </c>
      <c r="G158" s="23">
        <f>VLOOKUP(A158,'2.09.2021'!A$3:'2.09.2021'!I$202,7,)</f>
        <v>0.12152777777777778</v>
      </c>
      <c r="H158" t="str">
        <f>VLOOKUP(A158,'2.09.2021'!A$3:'2.09.2021'!I$202,8,)</f>
        <v>HIP-HOP/RAP</v>
      </c>
      <c r="I158" t="str">
        <f>VLOOKUP(A158,'2.09.2021'!A$3:'2.09.2021'!I$202,9,)</f>
        <v>SUA</v>
      </c>
      <c r="J158" t="str">
        <f t="shared" si="5"/>
        <v>Nu</v>
      </c>
    </row>
    <row r="159" spans="1:10" x14ac:dyDescent="0.2">
      <c r="A159" t="s">
        <v>212</v>
      </c>
      <c r="B159" t="s">
        <v>213</v>
      </c>
      <c r="C159">
        <v>5783422</v>
      </c>
      <c r="D159" s="7">
        <f t="shared" si="4"/>
        <v>28917.109999999997</v>
      </c>
      <c r="E159" s="2">
        <f>VLOOKUP(A159,'2.09.2021'!A$3:'2.09.2021'!I$202,5,)</f>
        <v>44337</v>
      </c>
      <c r="F159" s="2">
        <v>44455</v>
      </c>
      <c r="G159" s="23">
        <f>VLOOKUP(A159,'2.09.2021'!A$3:'2.09.2021'!I$202,7,)</f>
        <v>0.22291666666666665</v>
      </c>
      <c r="H159" t="str">
        <f>VLOOKUP(A159,'2.09.2021'!A$3:'2.09.2021'!I$202,8,)</f>
        <v>LATIN URBAN</v>
      </c>
      <c r="I159" t="str">
        <f>VLOOKUP(A159,'2.09.2021'!A$3:'2.09.2021'!I$202,9,)</f>
        <v>Suedia</v>
      </c>
      <c r="J159" t="str">
        <f t="shared" si="5"/>
        <v>Nu</v>
      </c>
    </row>
    <row r="160" spans="1:10" x14ac:dyDescent="0.2">
      <c r="A160" t="s">
        <v>308</v>
      </c>
      <c r="B160" t="s">
        <v>20</v>
      </c>
      <c r="C160">
        <v>5771408</v>
      </c>
      <c r="D160" s="7">
        <f t="shared" si="4"/>
        <v>28857.040000000001</v>
      </c>
      <c r="E160" s="2">
        <f>VLOOKUP(A160,'23.09.2021'!A$3:'23.09.2021'!I$202,5,)</f>
        <v>44460</v>
      </c>
      <c r="F160" s="2">
        <v>44455</v>
      </c>
      <c r="G160" s="23">
        <f>VLOOKUP(A160,'23.09.2021'!A$3:'23.09.2021'!I$202,7,)</f>
        <v>0.13333333333333333</v>
      </c>
      <c r="H160" t="str">
        <f>VLOOKUP(A160,'23.09.2021'!A$3:'23.09.2021'!I$202,8,)</f>
        <v>HIP-HOP/RAP</v>
      </c>
      <c r="I160" t="str">
        <f>VLOOKUP(A160,'23.09.2021'!A$3:'23.09.2021'!I$202,9,)</f>
        <v>Canada</v>
      </c>
      <c r="J160" t="str">
        <f t="shared" si="5"/>
        <v>Da</v>
      </c>
    </row>
    <row r="161" spans="1:10" x14ac:dyDescent="0.2">
      <c r="A161" t="s">
        <v>234</v>
      </c>
      <c r="B161" t="s">
        <v>235</v>
      </c>
      <c r="C161">
        <v>5744049</v>
      </c>
      <c r="D161" s="7">
        <f t="shared" si="4"/>
        <v>28720.244999999999</v>
      </c>
      <c r="E161" s="2">
        <f>VLOOKUP(A161,'2.09.2021'!A$3:'2.09.2021'!I$202,5,)</f>
        <v>44285</v>
      </c>
      <c r="F161" s="2">
        <v>44455</v>
      </c>
      <c r="G161" s="23">
        <f>VLOOKUP(A161,'2.09.2021'!A$3:'2.09.2021'!I$202,7,)</f>
        <v>0.12708333333333333</v>
      </c>
      <c r="H161" t="str">
        <f>VLOOKUP(A161,'2.09.2021'!A$3:'2.09.2021'!I$202,8,)</f>
        <v>HIP-HOP/RAP</v>
      </c>
      <c r="I161" t="str">
        <f>VLOOKUP(A161,'2.09.2021'!A$3:'2.09.2021'!I$202,9,)</f>
        <v>Marea Britanie</v>
      </c>
      <c r="J161" t="str">
        <f t="shared" si="5"/>
        <v>Nu</v>
      </c>
    </row>
    <row r="162" spans="1:10" x14ac:dyDescent="0.2">
      <c r="A162" t="s">
        <v>210</v>
      </c>
      <c r="B162" t="s">
        <v>211</v>
      </c>
      <c r="C162">
        <v>5723039</v>
      </c>
      <c r="D162" s="7">
        <f t="shared" si="4"/>
        <v>28615.195</v>
      </c>
      <c r="E162" s="2">
        <f>VLOOKUP(A162,'2.09.2021'!A$3:'2.09.2021'!I$202,5,)</f>
        <v>44456</v>
      </c>
      <c r="F162" s="2">
        <v>44455</v>
      </c>
      <c r="G162" s="23">
        <f>VLOOKUP(A162,'2.09.2021'!A$3:'2.09.2021'!I$202,7,)</f>
        <v>0.12361111111111112</v>
      </c>
      <c r="H162" t="str">
        <f>VLOOKUP(A162,'2.09.2021'!A$3:'2.09.2021'!I$202,8,)</f>
        <v>ROCK</v>
      </c>
      <c r="I162" t="str">
        <f>VLOOKUP(A162,'2.09.2021'!A$3:'2.09.2021'!I$202,9,)</f>
        <v>SUA</v>
      </c>
      <c r="J162" t="str">
        <f t="shared" si="5"/>
        <v>Nu</v>
      </c>
    </row>
    <row r="163" spans="1:10" x14ac:dyDescent="0.2">
      <c r="A163" t="s">
        <v>325</v>
      </c>
      <c r="B163" t="s">
        <v>326</v>
      </c>
      <c r="C163">
        <v>5713536</v>
      </c>
      <c r="D163" s="7">
        <f t="shared" si="4"/>
        <v>28567.68</v>
      </c>
      <c r="E163" s="2">
        <f>VLOOKUP(A163,'2.09.2021'!A$3:'2.09.2021'!I$202,5,)</f>
        <v>42909</v>
      </c>
      <c r="F163" s="2">
        <v>44455</v>
      </c>
      <c r="G163" s="23">
        <f>VLOOKUP(A163,'2.09.2021'!A$3:'2.09.2021'!I$202,7,)</f>
        <v>0.13749999999999998</v>
      </c>
      <c r="H163" t="str">
        <f>VLOOKUP(A163,'2.09.2021'!A$3:'2.09.2021'!I$202,8,)</f>
        <v>RHYTHM &amp; BLUES</v>
      </c>
      <c r="I163" t="str">
        <f>VLOOKUP(A163,'2.09.2021'!A$3:'2.09.2021'!I$202,9,)</f>
        <v>Brazilia</v>
      </c>
      <c r="J163" t="str">
        <f t="shared" si="5"/>
        <v>Nu</v>
      </c>
    </row>
    <row r="164" spans="1:10" x14ac:dyDescent="0.2">
      <c r="A164" t="s">
        <v>306</v>
      </c>
      <c r="B164" t="s">
        <v>20</v>
      </c>
      <c r="C164">
        <v>5693268</v>
      </c>
      <c r="D164" s="7">
        <f t="shared" si="4"/>
        <v>28466.34</v>
      </c>
      <c r="E164" s="2">
        <f>VLOOKUP(A164,'23.09.2021'!A$3:'23.09.2021'!I$202,5,)</f>
        <v>44460</v>
      </c>
      <c r="F164" s="2">
        <v>44455</v>
      </c>
      <c r="G164" s="23">
        <f>VLOOKUP(A164,'23.09.2021'!A$3:'23.09.2021'!I$202,7,)</f>
        <v>0.10486111111111111</v>
      </c>
      <c r="H164" t="str">
        <f>VLOOKUP(A164,'23.09.2021'!A$3:'23.09.2021'!I$202,8,)</f>
        <v>HIP-HOP/RAP</v>
      </c>
      <c r="I164" t="str">
        <f>VLOOKUP(A164,'23.09.2021'!A$3:'23.09.2021'!I$202,9,)</f>
        <v>Canada</v>
      </c>
      <c r="J164" t="str">
        <f t="shared" si="5"/>
        <v>Nu</v>
      </c>
    </row>
    <row r="165" spans="1:10" x14ac:dyDescent="0.2">
      <c r="A165" t="s">
        <v>226</v>
      </c>
      <c r="B165" t="s">
        <v>227</v>
      </c>
      <c r="C165">
        <v>5683088</v>
      </c>
      <c r="D165" s="7">
        <f t="shared" si="4"/>
        <v>28415.439999999999</v>
      </c>
      <c r="E165" s="2">
        <f>VLOOKUP(A165,'2.09.2021'!A$3:'2.09.2021'!I$202,5,)</f>
        <v>44437</v>
      </c>
      <c r="F165" s="2">
        <v>44455</v>
      </c>
      <c r="G165" s="23">
        <f>VLOOKUP(A165,'2.09.2021'!A$3:'2.09.2021'!I$202,7,)</f>
        <v>0.19930555555555554</v>
      </c>
      <c r="H165" t="str">
        <f>VLOOKUP(A165,'2.09.2021'!A$3:'2.09.2021'!I$202,8,)</f>
        <v>LATIN URBAN</v>
      </c>
      <c r="I165" t="str">
        <f>VLOOKUP(A165,'2.09.2021'!A$3:'2.09.2021'!I$202,9,)</f>
        <v>SUA</v>
      </c>
      <c r="J165" t="str">
        <f t="shared" si="5"/>
        <v>Nu</v>
      </c>
    </row>
    <row r="166" spans="1:10" x14ac:dyDescent="0.2">
      <c r="A166" t="s">
        <v>228</v>
      </c>
      <c r="B166" t="s">
        <v>229</v>
      </c>
      <c r="C166">
        <v>5682183</v>
      </c>
      <c r="D166" s="7">
        <f t="shared" si="4"/>
        <v>28410.915000000001</v>
      </c>
      <c r="E166" s="2">
        <f>VLOOKUP(A166,'2.09.2021'!A$3:'2.09.2021'!I$202,5,)</f>
        <v>44336</v>
      </c>
      <c r="F166" s="2">
        <v>44455</v>
      </c>
      <c r="G166" s="23">
        <f>VLOOKUP(A166,'2.09.2021'!A$3:'2.09.2021'!I$202,7,)</f>
        <v>9.7916666666666666E-2</v>
      </c>
      <c r="H166" t="str">
        <f>VLOOKUP(A166,'2.09.2021'!A$3:'2.09.2021'!I$202,8,)</f>
        <v>DANCE</v>
      </c>
      <c r="I166" t="str">
        <f>VLOOKUP(A166,'2.09.2021'!A$3:'2.09.2021'!I$202,9,)</f>
        <v>SUA</v>
      </c>
      <c r="J166" t="str">
        <f t="shared" si="5"/>
        <v>Nu</v>
      </c>
    </row>
    <row r="167" spans="1:10" x14ac:dyDescent="0.2">
      <c r="A167" t="s">
        <v>232</v>
      </c>
      <c r="B167" t="s">
        <v>233</v>
      </c>
      <c r="C167">
        <v>5678164</v>
      </c>
      <c r="D167" s="7">
        <f t="shared" si="4"/>
        <v>28390.82</v>
      </c>
      <c r="E167" s="2">
        <f>VLOOKUP(A167,'2.09.2021'!A$3:'2.09.2021'!I$202,5,)</f>
        <v>44389</v>
      </c>
      <c r="F167" s="2">
        <v>44455</v>
      </c>
      <c r="G167" s="23">
        <f>VLOOKUP(A167,'2.09.2021'!A$3:'2.09.2021'!I$202,7,)</f>
        <v>0.14097222222222222</v>
      </c>
      <c r="H167" t="str">
        <f>VLOOKUP(A167,'2.09.2021'!A$3:'2.09.2021'!I$202,8,)</f>
        <v>POP</v>
      </c>
      <c r="I167" t="str">
        <f>VLOOKUP(A167,'2.09.2021'!A$3:'2.09.2021'!I$202,9,)</f>
        <v>SUA</v>
      </c>
      <c r="J167" t="str">
        <f t="shared" si="5"/>
        <v>Nu</v>
      </c>
    </row>
    <row r="168" spans="1:10" x14ac:dyDescent="0.2">
      <c r="A168" t="s">
        <v>307</v>
      </c>
      <c r="B168" t="s">
        <v>20</v>
      </c>
      <c r="C168">
        <v>5676743</v>
      </c>
      <c r="D168" s="7">
        <f t="shared" si="4"/>
        <v>28383.715000000004</v>
      </c>
      <c r="E168" s="2">
        <f>VLOOKUP(A168,'23.09.2021'!A$3:'23.09.2021'!I$202,5,)</f>
        <v>44460</v>
      </c>
      <c r="F168" s="2">
        <v>44455</v>
      </c>
      <c r="G168" s="23">
        <f>VLOOKUP(A168,'23.09.2021'!A$3:'23.09.2021'!I$202,7,)</f>
        <v>8.8888888888888892E-2</v>
      </c>
      <c r="H168" t="str">
        <f>VLOOKUP(A168,'23.09.2021'!A$3:'23.09.2021'!I$202,8,)</f>
        <v>HIP-HOP/RAP</v>
      </c>
      <c r="I168" t="str">
        <f>VLOOKUP(A168,'23.09.2021'!A$3:'23.09.2021'!I$202,9,)</f>
        <v>Canada</v>
      </c>
      <c r="J168" t="str">
        <f t="shared" si="5"/>
        <v>Nu</v>
      </c>
    </row>
    <row r="169" spans="1:10" x14ac:dyDescent="0.2">
      <c r="A169" t="s">
        <v>167</v>
      </c>
      <c r="B169" t="s">
        <v>4</v>
      </c>
      <c r="C169">
        <v>5674909</v>
      </c>
      <c r="D169" s="7">
        <f t="shared" si="4"/>
        <v>28374.544999999998</v>
      </c>
      <c r="E169" s="2">
        <f>VLOOKUP(A169,'2.09.2021'!A$3:'2.09.2021'!I$202,5,)</f>
        <v>44437</v>
      </c>
      <c r="F169" s="2">
        <v>44455</v>
      </c>
      <c r="G169" s="23">
        <f>VLOOKUP(A169,'2.09.2021'!A$3:'2.09.2021'!I$202,7,)</f>
        <v>0.20625000000000002</v>
      </c>
      <c r="H169" t="str">
        <f>VLOOKUP(A169,'2.09.2021'!A$3:'2.09.2021'!I$202,8,)</f>
        <v>RHYTHM &amp; BLUES</v>
      </c>
      <c r="I169" t="str">
        <f>VLOOKUP(A169,'2.09.2021'!A$3:'2.09.2021'!I$202,9,)</f>
        <v>Marea Britanie</v>
      </c>
      <c r="J169" t="str">
        <f t="shared" si="5"/>
        <v>Nu</v>
      </c>
    </row>
    <row r="170" spans="1:10" x14ac:dyDescent="0.2">
      <c r="A170" t="s">
        <v>446</v>
      </c>
      <c r="B170" t="s">
        <v>25</v>
      </c>
      <c r="C170">
        <v>5667385</v>
      </c>
      <c r="D170" s="7">
        <f t="shared" si="4"/>
        <v>28336.925000000003</v>
      </c>
      <c r="E170" s="2">
        <f>VLOOKUP(A170,'30.09.2021'!A$3:'30.09.2021'!I$202,5,)</f>
        <v>44245</v>
      </c>
      <c r="F170" s="2">
        <v>44455</v>
      </c>
      <c r="G170" s="23">
        <f>VLOOKUP(A170,'30.09.2021'!A$3:'30.09.2021'!I$202,7,)</f>
        <v>0.18263888888888891</v>
      </c>
      <c r="H170" t="str">
        <f>VLOOKUP(A170,'30.09.2021'!A$3:'30.09.2021'!I$202,8,)</f>
        <v>RHYTHM &amp; BLUES</v>
      </c>
      <c r="I170" t="str">
        <f>VLOOKUP(A170,'30.09.2021'!A$3:'30.09.2021'!I$202,9,)</f>
        <v>Africa</v>
      </c>
      <c r="J170" t="str">
        <f t="shared" si="5"/>
        <v>Da</v>
      </c>
    </row>
    <row r="171" spans="1:10" x14ac:dyDescent="0.2">
      <c r="A171" t="s">
        <v>201</v>
      </c>
      <c r="B171" t="s">
        <v>202</v>
      </c>
      <c r="C171">
        <v>5663458</v>
      </c>
      <c r="D171" s="7">
        <f t="shared" si="4"/>
        <v>28317.289999999997</v>
      </c>
      <c r="E171" s="2">
        <f>VLOOKUP(A171,'30.09.2021'!A$3:'30.09.2021'!I$202,5,)</f>
        <v>44366</v>
      </c>
      <c r="F171" s="2">
        <v>44455</v>
      </c>
      <c r="G171" s="23">
        <f>VLOOKUP(A171,'30.09.2021'!A$3:'30.09.2021'!I$202,7,)</f>
        <v>0.11805555555555557</v>
      </c>
      <c r="H171" t="str">
        <f>VLOOKUP(A171,'30.09.2021'!A$3:'30.09.2021'!I$202,8,)</f>
        <v>POP</v>
      </c>
      <c r="I171" t="str">
        <f>VLOOKUP(A171,'30.09.2021'!A$3:'30.09.2021'!I$202,9,)</f>
        <v>SUA</v>
      </c>
      <c r="J171" t="str">
        <f t="shared" si="5"/>
        <v>Nu</v>
      </c>
    </row>
    <row r="172" spans="1:10" x14ac:dyDescent="0.2">
      <c r="A172" t="s">
        <v>316</v>
      </c>
      <c r="B172" t="s">
        <v>52</v>
      </c>
      <c r="C172">
        <v>5658179</v>
      </c>
      <c r="D172" s="7">
        <f t="shared" si="4"/>
        <v>28290.895</v>
      </c>
      <c r="E172" s="2">
        <f>VLOOKUP(A172,'2.09.2021'!A$3:'2.09.2021'!I$202,5,)</f>
        <v>44437</v>
      </c>
      <c r="F172" s="2">
        <v>44455</v>
      </c>
      <c r="G172" s="23">
        <f>VLOOKUP(A172,'2.09.2021'!A$3:'2.09.2021'!I$202,7,)</f>
        <v>0.15694444444444444</v>
      </c>
      <c r="H172" t="str">
        <f>VLOOKUP(A172,'2.09.2021'!A$3:'2.09.2021'!I$202,8,)</f>
        <v>HIP-HOP/RAP</v>
      </c>
      <c r="I172" t="str">
        <f>VLOOKUP(A172,'2.09.2021'!A$3:'2.09.2021'!I$202,9,)</f>
        <v>SUA</v>
      </c>
      <c r="J172" t="str">
        <f t="shared" si="5"/>
        <v>Nu</v>
      </c>
    </row>
    <row r="173" spans="1:10" x14ac:dyDescent="0.2">
      <c r="A173" t="s">
        <v>216</v>
      </c>
      <c r="B173" t="s">
        <v>217</v>
      </c>
      <c r="C173">
        <v>5633120</v>
      </c>
      <c r="D173" s="7">
        <f t="shared" si="4"/>
        <v>28165.599999999999</v>
      </c>
      <c r="E173" s="2">
        <f>VLOOKUP(A173,'2.09.2021'!A$3:'2.09.2021'!I$202,5,)</f>
        <v>44316</v>
      </c>
      <c r="F173" s="2">
        <v>44455</v>
      </c>
      <c r="G173" s="23">
        <f>VLOOKUP(A173,'2.09.2021'!A$3:'2.09.2021'!I$202,7,)</f>
        <v>0.14305555555555557</v>
      </c>
      <c r="H173" t="str">
        <f>VLOOKUP(A173,'2.09.2021'!A$3:'2.09.2021'!I$202,8,)</f>
        <v>LATIN</v>
      </c>
      <c r="I173" t="str">
        <f>VLOOKUP(A173,'2.09.2021'!A$3:'2.09.2021'!I$202,9,)</f>
        <v>Canada</v>
      </c>
      <c r="J173" t="str">
        <f t="shared" si="5"/>
        <v>Nu</v>
      </c>
    </row>
    <row r="174" spans="1:10" x14ac:dyDescent="0.2">
      <c r="A174" t="s">
        <v>245</v>
      </c>
      <c r="B174" t="s">
        <v>246</v>
      </c>
      <c r="C174">
        <v>5627698</v>
      </c>
      <c r="D174" s="7">
        <f t="shared" si="4"/>
        <v>28138.49</v>
      </c>
      <c r="E174" s="2">
        <f>VLOOKUP(A174,'2.09.2021'!A$3:'2.09.2021'!I$202,5,)</f>
        <v>44244</v>
      </c>
      <c r="F174" s="2">
        <v>44455</v>
      </c>
      <c r="G174" s="23">
        <f>VLOOKUP(A174,'2.09.2021'!A$3:'2.09.2021'!I$202,7,)</f>
        <v>0.12013888888888889</v>
      </c>
      <c r="H174" t="str">
        <f>VLOOKUP(A174,'2.09.2021'!A$3:'2.09.2021'!I$202,8,)</f>
        <v>LATIN URBAN</v>
      </c>
      <c r="I174" t="str">
        <f>VLOOKUP(A174,'2.09.2021'!A$3:'2.09.2021'!I$202,9,)</f>
        <v>Australia</v>
      </c>
      <c r="J174" t="str">
        <f t="shared" si="5"/>
        <v>Nu</v>
      </c>
    </row>
    <row r="175" spans="1:10" x14ac:dyDescent="0.2">
      <c r="A175" t="s">
        <v>24</v>
      </c>
      <c r="B175" t="s">
        <v>25</v>
      </c>
      <c r="C175">
        <v>5619053</v>
      </c>
      <c r="D175" s="7">
        <f t="shared" si="4"/>
        <v>28095.264999999999</v>
      </c>
      <c r="E175" s="2">
        <f>VLOOKUP(A175,'30.09.2021'!A$3:'30.09.2021'!I$202,5,)</f>
        <v>44337</v>
      </c>
      <c r="F175" s="2">
        <v>44455</v>
      </c>
      <c r="G175" s="23">
        <f>VLOOKUP(A175,'30.09.2021'!A$3:'30.09.2021'!I$202,7,)</f>
        <v>0.1013888888888889</v>
      </c>
      <c r="H175" t="str">
        <f>VLOOKUP(A175,'30.09.2021'!A$3:'30.09.2021'!I$202,8,)</f>
        <v>AFROBEATS</v>
      </c>
      <c r="I175" t="str">
        <f>VLOOKUP(A175,'30.09.2021'!A$3:'30.09.2021'!I$202,9,)</f>
        <v>Africa</v>
      </c>
      <c r="J175" t="str">
        <f t="shared" si="5"/>
        <v>Nu</v>
      </c>
    </row>
    <row r="176" spans="1:10" x14ac:dyDescent="0.2">
      <c r="A176" t="s">
        <v>224</v>
      </c>
      <c r="B176" t="s">
        <v>225</v>
      </c>
      <c r="C176">
        <v>5609629</v>
      </c>
      <c r="D176" s="7">
        <f t="shared" si="4"/>
        <v>28048.145</v>
      </c>
      <c r="E176" s="2">
        <f>VLOOKUP(A176,'2.09.2021'!A$3:'2.09.2021'!I$202,5,)</f>
        <v>44460</v>
      </c>
      <c r="F176" s="2">
        <v>44455</v>
      </c>
      <c r="G176" s="23">
        <f>VLOOKUP(A176,'2.09.2021'!A$3:'2.09.2021'!I$202,7,)</f>
        <v>0.15694444444444444</v>
      </c>
      <c r="H176" t="str">
        <f>VLOOKUP(A176,'2.09.2021'!A$3:'2.09.2021'!I$202,8,)</f>
        <v>HIP-HOP/RAP</v>
      </c>
      <c r="I176" t="str">
        <f>VLOOKUP(A176,'2.09.2021'!A$3:'2.09.2021'!I$202,9,)</f>
        <v>Marea Britanie</v>
      </c>
      <c r="J176" t="str">
        <f t="shared" si="5"/>
        <v>Nu</v>
      </c>
    </row>
    <row r="177" spans="1:10" x14ac:dyDescent="0.2">
      <c r="A177" t="s">
        <v>214</v>
      </c>
      <c r="B177" t="s">
        <v>215</v>
      </c>
      <c r="C177">
        <v>5605816</v>
      </c>
      <c r="D177" s="7">
        <f t="shared" si="4"/>
        <v>28029.079999999998</v>
      </c>
      <c r="E177" s="2">
        <f>VLOOKUP(A177,'23.09.2021'!A$3:'23.09.2021'!I$202,5,)</f>
        <v>44305</v>
      </c>
      <c r="F177" s="2">
        <v>44455</v>
      </c>
      <c r="G177" s="23">
        <f>VLOOKUP(A177,'23.09.2021'!A$3:'23.09.2021'!I$202,7,)</f>
        <v>9.7916666666666666E-2</v>
      </c>
      <c r="H177" t="str">
        <f>VLOOKUP(A177,'23.09.2021'!A$3:'23.09.2021'!I$202,8,)</f>
        <v>LATIN</v>
      </c>
      <c r="I177" t="str">
        <f>VLOOKUP(A177,'23.09.2021'!A$3:'23.09.2021'!I$202,9,)</f>
        <v>Columbia</v>
      </c>
      <c r="J177" t="str">
        <f t="shared" si="5"/>
        <v>Nu</v>
      </c>
    </row>
    <row r="178" spans="1:10" x14ac:dyDescent="0.2">
      <c r="A178" t="s">
        <v>239</v>
      </c>
      <c r="B178" t="s">
        <v>240</v>
      </c>
      <c r="C178">
        <v>5556773</v>
      </c>
      <c r="D178" s="7">
        <f t="shared" si="4"/>
        <v>27783.865000000002</v>
      </c>
      <c r="E178" s="2">
        <f>VLOOKUP(A178,'2.09.2021'!A$3:'2.09.2021'!I$202,5,)</f>
        <v>44407</v>
      </c>
      <c r="F178" s="2">
        <v>44455</v>
      </c>
      <c r="G178" s="23">
        <f>VLOOKUP(A178,'2.09.2021'!A$3:'2.09.2021'!I$202,7,)</f>
        <v>0.16874999999999998</v>
      </c>
      <c r="H178" t="str">
        <f>VLOOKUP(A178,'2.09.2021'!A$3:'2.09.2021'!I$202,8,)</f>
        <v>POP</v>
      </c>
      <c r="I178" t="str">
        <f>VLOOKUP(A178,'2.09.2021'!A$3:'2.09.2021'!I$202,9,)</f>
        <v>Irlanda</v>
      </c>
      <c r="J178" t="str">
        <f t="shared" si="5"/>
        <v>Nu</v>
      </c>
    </row>
    <row r="179" spans="1:10" x14ac:dyDescent="0.2">
      <c r="A179" t="s">
        <v>295</v>
      </c>
      <c r="B179" t="s">
        <v>296</v>
      </c>
      <c r="C179">
        <v>5551341</v>
      </c>
      <c r="D179" s="7">
        <f t="shared" si="4"/>
        <v>27756.705000000002</v>
      </c>
      <c r="E179" s="2">
        <f>VLOOKUP(A179,'2.09.2021'!A$3:'2.09.2021'!I$202,5,)</f>
        <v>44214</v>
      </c>
      <c r="F179" s="2">
        <v>44455</v>
      </c>
      <c r="G179" s="23">
        <f>VLOOKUP(A179,'2.09.2021'!A$3:'2.09.2021'!I$202,7,)</f>
        <v>0.11388888888888889</v>
      </c>
      <c r="H179" t="str">
        <f>VLOOKUP(A179,'2.09.2021'!A$3:'2.09.2021'!I$202,8,)</f>
        <v>HIP-HOP/RAP</v>
      </c>
      <c r="I179" t="str">
        <f>VLOOKUP(A179,'2.09.2021'!A$3:'2.09.2021'!I$202,9,)</f>
        <v>Germania</v>
      </c>
      <c r="J179" t="str">
        <f t="shared" si="5"/>
        <v>Nu</v>
      </c>
    </row>
    <row r="180" spans="1:10" x14ac:dyDescent="0.2">
      <c r="A180" t="s">
        <v>199</v>
      </c>
      <c r="B180" t="s">
        <v>200</v>
      </c>
      <c r="C180">
        <v>5536712</v>
      </c>
      <c r="D180" s="7">
        <f t="shared" si="4"/>
        <v>27683.56</v>
      </c>
      <c r="E180" s="2">
        <f>VLOOKUP(A180,'30.09.2021'!A$3:'30.09.2021'!I$202,5,)</f>
        <v>36603</v>
      </c>
      <c r="F180" s="2">
        <v>44455</v>
      </c>
      <c r="G180" s="23">
        <f>VLOOKUP(A180,'30.09.2021'!A$3:'30.09.2021'!I$202,7,)</f>
        <v>0.19722222222222222</v>
      </c>
      <c r="H180" t="str">
        <f>VLOOKUP(A180,'30.09.2021'!A$3:'30.09.2021'!I$202,8,)</f>
        <v>HIP-HOP/RAP</v>
      </c>
      <c r="I180" t="s">
        <v>468</v>
      </c>
      <c r="J180" t="str">
        <f t="shared" si="5"/>
        <v>Nu</v>
      </c>
    </row>
    <row r="181" spans="1:10" x14ac:dyDescent="0.2">
      <c r="A181" t="s">
        <v>333</v>
      </c>
      <c r="B181" t="s">
        <v>334</v>
      </c>
      <c r="C181">
        <v>5526898</v>
      </c>
      <c r="D181" s="7">
        <f t="shared" si="4"/>
        <v>27634.49</v>
      </c>
      <c r="E181" s="2">
        <f>VLOOKUP(A181,'2.09.2021'!A$3:'2.09.2021'!I$202,5,)</f>
        <v>44351</v>
      </c>
      <c r="F181" s="2">
        <v>44455</v>
      </c>
      <c r="G181" s="23">
        <f>VLOOKUP(A181,'2.09.2021'!A$3:'2.09.2021'!I$202,7,)</f>
        <v>0.11458333333333333</v>
      </c>
      <c r="H181" t="str">
        <f>VLOOKUP(A181,'2.09.2021'!A$3:'2.09.2021'!I$202,8,)</f>
        <v>HIP-HOP/RAP</v>
      </c>
      <c r="I181" t="str">
        <f>VLOOKUP(A181,'2.09.2021'!A$3:'2.09.2021'!I$202,9,)</f>
        <v>Brazilia</v>
      </c>
      <c r="J181" t="str">
        <f t="shared" si="5"/>
        <v>Nu</v>
      </c>
    </row>
    <row r="182" spans="1:10" x14ac:dyDescent="0.2">
      <c r="A182" t="s">
        <v>252</v>
      </c>
      <c r="B182" t="s">
        <v>154</v>
      </c>
      <c r="C182">
        <v>5525535</v>
      </c>
      <c r="D182" s="7">
        <f t="shared" si="4"/>
        <v>27627.674999999999</v>
      </c>
      <c r="E182" s="2">
        <f>VLOOKUP(A182,'2.09.2021'!A$3:'2.09.2021'!I$202,5,)</f>
        <v>44338</v>
      </c>
      <c r="F182" s="2">
        <v>44455</v>
      </c>
      <c r="G182" s="23">
        <f>VLOOKUP(A182,'2.09.2021'!A$3:'2.09.2021'!I$202,7,)</f>
        <v>0.10069444444444443</v>
      </c>
      <c r="H182" t="str">
        <f>VLOOKUP(A182,'2.09.2021'!A$3:'2.09.2021'!I$202,8,)</f>
        <v>R&amp;B/SOUL</v>
      </c>
      <c r="I182" t="str">
        <f>VLOOKUP(A182,'2.09.2021'!A$3:'2.09.2021'!I$202,9,)</f>
        <v>SUA</v>
      </c>
      <c r="J182" t="str">
        <f t="shared" si="5"/>
        <v>Nu</v>
      </c>
    </row>
    <row r="183" spans="1:10" x14ac:dyDescent="0.2">
      <c r="A183" t="s">
        <v>268</v>
      </c>
      <c r="B183" t="s">
        <v>269</v>
      </c>
      <c r="C183">
        <v>5525427</v>
      </c>
      <c r="D183" s="7">
        <f t="shared" si="4"/>
        <v>27627.134999999998</v>
      </c>
      <c r="E183" s="2">
        <f>VLOOKUP(A183,'2.09.2021'!A$3:'2.09.2021'!I$202,5,)</f>
        <v>44350</v>
      </c>
      <c r="F183" s="2">
        <v>44455</v>
      </c>
      <c r="G183" s="23">
        <f>VLOOKUP(A183,'2.09.2021'!A$3:'2.09.2021'!I$202,7,)</f>
        <v>0.14444444444444446</v>
      </c>
      <c r="H183" t="str">
        <f>VLOOKUP(A183,'2.09.2021'!A$3:'2.09.2021'!I$202,8,)</f>
        <v>HIP-HOP/RAP</v>
      </c>
      <c r="I183" t="str">
        <f>VLOOKUP(A183,'2.09.2021'!A$3:'2.09.2021'!I$202,9,)</f>
        <v>SUA</v>
      </c>
      <c r="J183" t="str">
        <f t="shared" si="5"/>
        <v>Nu</v>
      </c>
    </row>
    <row r="184" spans="1:10" x14ac:dyDescent="0.2">
      <c r="A184" t="s">
        <v>263</v>
      </c>
      <c r="B184" t="s">
        <v>213</v>
      </c>
      <c r="C184">
        <v>5510213</v>
      </c>
      <c r="D184" s="7">
        <f t="shared" si="4"/>
        <v>27551.064999999999</v>
      </c>
      <c r="E184" s="2">
        <f>VLOOKUP(A184,'2.09.2021'!A$3:'2.09.2021'!I$202,5,)</f>
        <v>44256</v>
      </c>
      <c r="F184" s="2">
        <v>44455</v>
      </c>
      <c r="G184" s="23">
        <f>VLOOKUP(A184,'2.09.2021'!A$3:'2.09.2021'!I$202,7,)</f>
        <v>0.13749999999999998</v>
      </c>
      <c r="H184" t="str">
        <f>VLOOKUP(A184,'2.09.2021'!A$3:'2.09.2021'!I$202,8,)</f>
        <v>HIP-HOP/RAP</v>
      </c>
      <c r="I184" t="str">
        <f>VLOOKUP(A184,'2.09.2021'!A$3:'2.09.2021'!I$202,9,)</f>
        <v>Suedia</v>
      </c>
      <c r="J184" t="str">
        <f t="shared" si="5"/>
        <v>Nu</v>
      </c>
    </row>
    <row r="185" spans="1:10" x14ac:dyDescent="0.2">
      <c r="A185" t="s">
        <v>241</v>
      </c>
      <c r="B185" t="s">
        <v>242</v>
      </c>
      <c r="C185">
        <v>5476455</v>
      </c>
      <c r="D185" s="7">
        <f t="shared" si="4"/>
        <v>27382.275000000001</v>
      </c>
      <c r="E185" s="2">
        <f>VLOOKUP(A185,'2.09.2021'!A$3:'2.09.2021'!I$202,5,)</f>
        <v>44377</v>
      </c>
      <c r="F185" s="2">
        <v>44455</v>
      </c>
      <c r="G185" s="23">
        <f>VLOOKUP(A185,'2.09.2021'!A$3:'2.09.2021'!I$202,7,)</f>
        <v>0.16527777777777777</v>
      </c>
      <c r="H185" t="str">
        <f>VLOOKUP(A185,'2.09.2021'!A$3:'2.09.2021'!I$202,8,)</f>
        <v>HIP-HOP/RAP</v>
      </c>
      <c r="I185" t="str">
        <f>VLOOKUP(A185,'2.09.2021'!A$3:'2.09.2021'!I$202,9,)</f>
        <v>Marea Britanie</v>
      </c>
      <c r="J185" t="str">
        <f t="shared" si="5"/>
        <v>Nu</v>
      </c>
    </row>
    <row r="186" spans="1:10" x14ac:dyDescent="0.2">
      <c r="A186" t="s">
        <v>285</v>
      </c>
      <c r="B186" t="s">
        <v>286</v>
      </c>
      <c r="C186">
        <v>5447371</v>
      </c>
      <c r="D186" s="7">
        <f t="shared" si="4"/>
        <v>27236.855</v>
      </c>
      <c r="E186" s="2">
        <f>VLOOKUP(A186,'2.09.2021'!A$3:'2.09.2021'!I$202,5,)</f>
        <v>44439</v>
      </c>
      <c r="F186" s="2">
        <v>44455</v>
      </c>
      <c r="G186" s="23">
        <f>VLOOKUP(A186,'2.09.2021'!A$3:'2.09.2021'!I$202,7,)</f>
        <v>9.5833333333333326E-2</v>
      </c>
      <c r="H186" t="str">
        <f>VLOOKUP(A186,'2.09.2021'!A$3:'2.09.2021'!I$202,8,)</f>
        <v>HIP-HOP/RAP</v>
      </c>
      <c r="I186" t="str">
        <f>VLOOKUP(A186,'2.09.2021'!A$3:'2.09.2021'!I$202,9,)</f>
        <v>Marea Britanie</v>
      </c>
      <c r="J186" t="str">
        <f t="shared" si="5"/>
        <v>Nu</v>
      </c>
    </row>
    <row r="187" spans="1:10" x14ac:dyDescent="0.2">
      <c r="A187" t="s">
        <v>336</v>
      </c>
      <c r="B187" t="s">
        <v>337</v>
      </c>
      <c r="C187">
        <v>5445808</v>
      </c>
      <c r="D187" s="7">
        <f t="shared" si="4"/>
        <v>27229.040000000001</v>
      </c>
      <c r="E187" s="2">
        <f>VLOOKUP(A187,'2.09.2021'!A$3:'2.09.2021'!I$202,5,)</f>
        <v>44304</v>
      </c>
      <c r="F187" s="2">
        <v>44455</v>
      </c>
      <c r="G187" s="23">
        <f>VLOOKUP(A187,'2.09.2021'!A$3:'2.09.2021'!I$202,7,)</f>
        <v>0.14930555555555555</v>
      </c>
      <c r="H187" t="str">
        <f>VLOOKUP(A187,'2.09.2021'!A$3:'2.09.2021'!I$202,8,)</f>
        <v>HIP-HOP/RAP</v>
      </c>
      <c r="I187" t="str">
        <f>VLOOKUP(A187,'2.09.2021'!A$3:'2.09.2021'!I$202,9,)</f>
        <v>Puerto Rico</v>
      </c>
      <c r="J187" t="str">
        <f t="shared" si="5"/>
        <v>Nu</v>
      </c>
    </row>
    <row r="188" spans="1:10" x14ac:dyDescent="0.2">
      <c r="A188" t="s">
        <v>292</v>
      </c>
      <c r="B188" t="s">
        <v>43</v>
      </c>
      <c r="C188">
        <v>5439098</v>
      </c>
      <c r="D188" s="7">
        <f t="shared" si="4"/>
        <v>27195.489999999998</v>
      </c>
      <c r="E188" s="2">
        <f>VLOOKUP(A188,'2.09.2021'!A$3:'2.09.2021'!I$202,5,)</f>
        <v>44242</v>
      </c>
      <c r="F188" s="2">
        <v>44455</v>
      </c>
      <c r="G188" s="23">
        <f>VLOOKUP(A188,'2.09.2021'!A$3:'2.09.2021'!I$202,7,)</f>
        <v>0.14652777777777778</v>
      </c>
      <c r="H188" t="str">
        <f>VLOOKUP(A188,'2.09.2021'!A$3:'2.09.2021'!I$202,8,)</f>
        <v>RHYTHM &amp; BLUES</v>
      </c>
      <c r="I188" t="str">
        <f>VLOOKUP(A188,'2.09.2021'!A$3:'2.09.2021'!I$202,9,)</f>
        <v>Canada</v>
      </c>
      <c r="J188" t="str">
        <f t="shared" si="5"/>
        <v>Nu</v>
      </c>
    </row>
    <row r="189" spans="1:10" x14ac:dyDescent="0.2">
      <c r="A189" t="s">
        <v>341</v>
      </c>
      <c r="B189" t="s">
        <v>132</v>
      </c>
      <c r="C189">
        <v>5395263</v>
      </c>
      <c r="D189" s="7">
        <f t="shared" si="4"/>
        <v>26976.314999999999</v>
      </c>
      <c r="E189" s="2">
        <f>VLOOKUP(A189,'2.09.2021'!A$3:'2.09.2021'!I$202,5,)</f>
        <v>44370</v>
      </c>
      <c r="F189" s="2">
        <v>44455</v>
      </c>
      <c r="G189" s="23">
        <f>VLOOKUP(A189,'2.09.2021'!A$3:'2.09.2021'!I$202,7,)</f>
        <v>0.12986111111111112</v>
      </c>
      <c r="H189" t="str">
        <f>VLOOKUP(A189,'2.09.2021'!A$3:'2.09.2021'!I$202,8,)</f>
        <v>POP</v>
      </c>
      <c r="I189" t="str">
        <f>VLOOKUP(A189,'2.09.2021'!A$3:'2.09.2021'!I$202,9,)</f>
        <v>Columbia</v>
      </c>
      <c r="J189" t="str">
        <f t="shared" si="5"/>
        <v>Nu</v>
      </c>
    </row>
    <row r="190" spans="1:10" x14ac:dyDescent="0.2">
      <c r="A190" t="s">
        <v>354</v>
      </c>
      <c r="B190" t="s">
        <v>355</v>
      </c>
      <c r="C190">
        <v>5371072</v>
      </c>
      <c r="D190" s="7">
        <f t="shared" si="4"/>
        <v>26855.360000000001</v>
      </c>
      <c r="E190" s="2">
        <v>44404</v>
      </c>
      <c r="F190" s="2">
        <v>44455</v>
      </c>
      <c r="G190" s="23">
        <v>8.4027777777777771E-2</v>
      </c>
      <c r="H190" t="s">
        <v>422</v>
      </c>
      <c r="I190" t="s">
        <v>469</v>
      </c>
      <c r="J190" t="str">
        <f t="shared" si="5"/>
        <v>Nu</v>
      </c>
    </row>
    <row r="191" spans="1:10" x14ac:dyDescent="0.2">
      <c r="A191" t="s">
        <v>290</v>
      </c>
      <c r="B191" t="s">
        <v>158</v>
      </c>
      <c r="C191">
        <v>5357724</v>
      </c>
      <c r="D191" s="7">
        <f t="shared" si="4"/>
        <v>26788.620000000003</v>
      </c>
      <c r="E191" s="2">
        <f>VLOOKUP(A191,'2.09.2021'!A$3:'2.09.2021'!I$202,5,)</f>
        <v>44208</v>
      </c>
      <c r="F191" s="2">
        <v>44455</v>
      </c>
      <c r="G191" s="23">
        <f>VLOOKUP(A191,'2.09.2021'!A$3:'2.09.2021'!I$202,7,)</f>
        <v>0.16527777777777777</v>
      </c>
      <c r="H191" t="str">
        <f>VLOOKUP(A191,'2.09.2021'!A$3:'2.09.2021'!I$202,8,)</f>
        <v>ROCK</v>
      </c>
      <c r="I191" t="str">
        <f>VLOOKUP(A191,'2.09.2021'!A$3:'2.09.2021'!I$202,9,)</f>
        <v>SUA</v>
      </c>
      <c r="J191" t="str">
        <f t="shared" si="5"/>
        <v>Nu</v>
      </c>
    </row>
    <row r="192" spans="1:10" x14ac:dyDescent="0.2">
      <c r="A192" t="s">
        <v>277</v>
      </c>
      <c r="B192" t="s">
        <v>69</v>
      </c>
      <c r="C192">
        <v>5354121</v>
      </c>
      <c r="D192" s="7">
        <f t="shared" si="4"/>
        <v>26770.605</v>
      </c>
      <c r="E192" s="2">
        <f>VLOOKUP(A192,'2.09.2021'!A$3:'2.09.2021'!I$202,5,)</f>
        <v>44248</v>
      </c>
      <c r="F192" s="2">
        <v>44455</v>
      </c>
      <c r="G192" s="23">
        <f>VLOOKUP(A192,'2.09.2021'!A$3:'2.09.2021'!I$202,7,)</f>
        <v>0.15972222222222224</v>
      </c>
      <c r="H192" t="str">
        <f>VLOOKUP(A192,'2.09.2021'!A$3:'2.09.2021'!I$202,8,)</f>
        <v>HIP-HOP/RAP</v>
      </c>
      <c r="I192" t="str">
        <f>VLOOKUP(A192,'2.09.2021'!A$3:'2.09.2021'!I$202,9,)</f>
        <v>Columbia</v>
      </c>
      <c r="J192" t="str">
        <f t="shared" si="5"/>
        <v>Nu</v>
      </c>
    </row>
    <row r="193" spans="1:10" x14ac:dyDescent="0.2">
      <c r="A193" t="s">
        <v>275</v>
      </c>
      <c r="B193" t="s">
        <v>276</v>
      </c>
      <c r="C193">
        <v>5351049</v>
      </c>
      <c r="D193" s="7">
        <f t="shared" si="4"/>
        <v>26755.244999999999</v>
      </c>
      <c r="E193" s="2">
        <f>VLOOKUP(A193,'2.09.2021'!A$3:'2.09.2021'!I$202,5,)</f>
        <v>44209</v>
      </c>
      <c r="F193" s="2">
        <v>44455</v>
      </c>
      <c r="G193" s="23">
        <f>VLOOKUP(A193,'2.09.2021'!A$3:'2.09.2021'!I$202,7,)</f>
        <v>0.15902777777777777</v>
      </c>
      <c r="H193" t="str">
        <f>VLOOKUP(A193,'2.09.2021'!A$3:'2.09.2021'!I$202,8,)</f>
        <v>LATIN</v>
      </c>
      <c r="I193" t="str">
        <f>VLOOKUP(A193,'2.09.2021'!A$3:'2.09.2021'!I$202,9,)</f>
        <v>Franța</v>
      </c>
      <c r="J193" t="str">
        <f t="shared" si="5"/>
        <v>Nu</v>
      </c>
    </row>
    <row r="194" spans="1:10" x14ac:dyDescent="0.2">
      <c r="A194" t="s">
        <v>298</v>
      </c>
      <c r="B194" t="s">
        <v>299</v>
      </c>
      <c r="C194">
        <v>5343959</v>
      </c>
      <c r="D194" s="7">
        <f t="shared" si="4"/>
        <v>26719.794999999998</v>
      </c>
      <c r="E194" s="2">
        <f>VLOOKUP(A194,'30.09.2021'!A$3:'30.09.2021'!I$202,5,)</f>
        <v>44375</v>
      </c>
      <c r="F194" s="2">
        <v>44455</v>
      </c>
      <c r="G194" s="23">
        <f>VLOOKUP(A194,'30.09.2021'!A$3:'30.09.2021'!I$202,7,)</f>
        <v>0.13958333333333334</v>
      </c>
      <c r="H194" t="str">
        <f>VLOOKUP(A194,'30.09.2021'!A$3:'30.09.2021'!I$202,8,)</f>
        <v>LATIN URBAN</v>
      </c>
      <c r="I194" t="str">
        <f>VLOOKUP(A194,'30.09.2021'!A$3:'30.09.2021'!I$202,9,)</f>
        <v>Puerto Rico</v>
      </c>
      <c r="J194" t="str">
        <f t="shared" si="5"/>
        <v>Nu</v>
      </c>
    </row>
    <row r="195" spans="1:10" x14ac:dyDescent="0.2">
      <c r="A195" t="s">
        <v>270</v>
      </c>
      <c r="B195" t="s">
        <v>271</v>
      </c>
      <c r="C195">
        <v>5338308</v>
      </c>
      <c r="D195" s="7">
        <f t="shared" si="4"/>
        <v>26691.54</v>
      </c>
      <c r="E195" s="2">
        <f>VLOOKUP(A195,'2.09.2021'!A$3:'2.09.2021'!I$202,5,)</f>
        <v>44309</v>
      </c>
      <c r="F195" s="2">
        <v>44455</v>
      </c>
      <c r="G195" s="23">
        <f>VLOOKUP(A195,'2.09.2021'!A$3:'2.09.2021'!I$202,7,)</f>
        <v>0.16805555555555554</v>
      </c>
      <c r="H195" t="str">
        <f>VLOOKUP(A195,'2.09.2021'!A$3:'2.09.2021'!I$202,8,)</f>
        <v>HIP-HOP/RAP</v>
      </c>
      <c r="I195" t="str">
        <f>VLOOKUP(A195,'2.09.2021'!A$3:'2.09.2021'!I$202,9,)</f>
        <v>SUA</v>
      </c>
      <c r="J195" t="str">
        <f t="shared" si="5"/>
        <v>Nu</v>
      </c>
    </row>
    <row r="196" spans="1:10" x14ac:dyDescent="0.2">
      <c r="A196" t="s">
        <v>261</v>
      </c>
      <c r="B196" t="s">
        <v>262</v>
      </c>
      <c r="C196">
        <v>5322838</v>
      </c>
      <c r="D196" s="7">
        <f t="shared" ref="D196:D202" si="6">(C196/1000*5)</f>
        <v>26614.19</v>
      </c>
      <c r="E196" s="2">
        <f>VLOOKUP(A196,'2.09.2021'!A$3:'2.09.2021'!I$202,5,)</f>
        <v>44259</v>
      </c>
      <c r="F196" s="2">
        <v>44455</v>
      </c>
      <c r="G196" s="23">
        <f>VLOOKUP(A196,'2.09.2021'!A$3:'2.09.2021'!I$202,7,)</f>
        <v>0.10833333333333334</v>
      </c>
      <c r="H196" t="str">
        <f>VLOOKUP(A196,'2.09.2021'!A$3:'2.09.2021'!I$202,8,)</f>
        <v>HIP-HOP/RAP</v>
      </c>
      <c r="I196" t="str">
        <f>VLOOKUP(A196,'2.09.2021'!A$3:'2.09.2021'!I$202,9,)</f>
        <v>Marea Britanie</v>
      </c>
      <c r="J196" t="str">
        <f t="shared" si="5"/>
        <v>Nu</v>
      </c>
    </row>
    <row r="197" spans="1:10" x14ac:dyDescent="0.2">
      <c r="A197" t="s">
        <v>451</v>
      </c>
      <c r="B197" t="s">
        <v>244</v>
      </c>
      <c r="C197">
        <v>5310723</v>
      </c>
      <c r="D197" s="7">
        <f t="shared" si="6"/>
        <v>26553.614999999998</v>
      </c>
      <c r="E197" s="2">
        <f>VLOOKUP(A197,'30.09.2021'!A$3:'30.09.2021'!I$202,5,)</f>
        <v>44199</v>
      </c>
      <c r="F197" s="2">
        <v>44455</v>
      </c>
      <c r="G197" s="23">
        <f>VLOOKUP(A197,'30.09.2021'!A$3:'30.09.2021'!I$202,7,)</f>
        <v>0.12430555555555556</v>
      </c>
      <c r="H197" t="str">
        <f>VLOOKUP(A197,'30.09.2021'!A$3:'30.09.2021'!I$202,8,)</f>
        <v>HIP-HOP/RAP</v>
      </c>
      <c r="I197" t="s">
        <v>468</v>
      </c>
      <c r="J197" t="str">
        <f t="shared" ref="J197:J202" si="7">IF(ISNUMBER(SEARCH("with",A197)),"Da","Nu")</f>
        <v>Da</v>
      </c>
    </row>
    <row r="198" spans="1:10" x14ac:dyDescent="0.2">
      <c r="A198" t="s">
        <v>258</v>
      </c>
      <c r="B198" t="s">
        <v>23</v>
      </c>
      <c r="C198">
        <v>5310598</v>
      </c>
      <c r="D198" s="7">
        <f t="shared" si="6"/>
        <v>26552.989999999998</v>
      </c>
      <c r="E198" s="2">
        <f>VLOOKUP(A198,'2.09.2021'!A$3:'2.09.2021'!I$202,5,)</f>
        <v>44245</v>
      </c>
      <c r="F198" s="2">
        <v>44455</v>
      </c>
      <c r="G198" s="23">
        <f>VLOOKUP(A198,'2.09.2021'!A$3:'2.09.2021'!I$202,7,)</f>
        <v>0.11388888888888889</v>
      </c>
      <c r="H198" t="str">
        <f>VLOOKUP(A198,'2.09.2021'!A$3:'2.09.2021'!I$202,8,)</f>
        <v>LATIN URBAN</v>
      </c>
      <c r="I198" t="str">
        <f>VLOOKUP(A198,'2.09.2021'!A$3:'2.09.2021'!I$202,9,)</f>
        <v>SUA</v>
      </c>
      <c r="J198" t="str">
        <f t="shared" si="7"/>
        <v>Nu</v>
      </c>
    </row>
    <row r="199" spans="1:10" x14ac:dyDescent="0.2">
      <c r="A199" t="s">
        <v>243</v>
      </c>
      <c r="B199" t="s">
        <v>244</v>
      </c>
      <c r="C199">
        <v>5297116</v>
      </c>
      <c r="D199" s="7">
        <f t="shared" si="6"/>
        <v>26485.58</v>
      </c>
      <c r="E199" s="2">
        <f>VLOOKUP(A199,'30.09.2021'!A$3:'30.09.2021'!I$202,5,)</f>
        <v>44199</v>
      </c>
      <c r="F199" s="2">
        <v>44455</v>
      </c>
      <c r="G199" s="23">
        <f>VLOOKUP(A199,'30.09.2021'!A$3:'30.09.2021'!I$202,7,)</f>
        <v>9.930555555555555E-2</v>
      </c>
      <c r="H199" t="s">
        <v>502</v>
      </c>
      <c r="I199" t="s">
        <v>468</v>
      </c>
      <c r="J199" t="str">
        <f t="shared" si="7"/>
        <v>Nu</v>
      </c>
    </row>
    <row r="200" spans="1:10" x14ac:dyDescent="0.2">
      <c r="A200" t="s">
        <v>330</v>
      </c>
      <c r="B200" t="s">
        <v>10</v>
      </c>
      <c r="C200">
        <v>5292027</v>
      </c>
      <c r="D200" s="7">
        <f t="shared" si="6"/>
        <v>26460.135000000002</v>
      </c>
      <c r="E200" s="2">
        <f>VLOOKUP(A200,'2.09.2021'!A$3:'2.09.2021'!I$202,5,)</f>
        <v>44254</v>
      </c>
      <c r="F200" s="2">
        <v>44455</v>
      </c>
      <c r="G200" s="23">
        <f>VLOOKUP(A200,'2.09.2021'!A$3:'2.09.2021'!I$202,7,)</f>
        <v>0.14722222222222223</v>
      </c>
      <c r="H200" t="str">
        <f>VLOOKUP(A200,'2.09.2021'!A$3:'2.09.2021'!I$202,8,)</f>
        <v>POP</v>
      </c>
      <c r="I200" t="str">
        <f>VLOOKUP(A200,'2.09.2021'!A$3:'2.09.2021'!I$202,9,)</f>
        <v>Marea Britanie</v>
      </c>
      <c r="J200" t="str">
        <f t="shared" si="7"/>
        <v>Nu</v>
      </c>
    </row>
    <row r="201" spans="1:10" x14ac:dyDescent="0.2">
      <c r="A201" t="s">
        <v>266</v>
      </c>
      <c r="B201" t="s">
        <v>267</v>
      </c>
      <c r="C201">
        <v>5276238</v>
      </c>
      <c r="D201" s="7">
        <f t="shared" si="6"/>
        <v>26381.190000000002</v>
      </c>
      <c r="E201" s="2">
        <f>VLOOKUP(A201,'30.09.2021'!A$3:'30.09.2021'!I$202,5,)</f>
        <v>43498</v>
      </c>
      <c r="F201" s="2">
        <v>44455</v>
      </c>
      <c r="G201" s="23">
        <f>VLOOKUP(A201,'30.09.2021'!A$3:'30.09.2021'!I$202,7,)</f>
        <v>0.14097222222222222</v>
      </c>
      <c r="H201" t="str">
        <f>VLOOKUP(A201,'30.09.2021'!A$3:'30.09.2021'!I$202,8,)</f>
        <v>POP</v>
      </c>
      <c r="I201" t="str">
        <f>VLOOKUP(A201,'30.09.2021'!A$3:'30.09.2021'!I$202,9,)</f>
        <v>Marea Britanie</v>
      </c>
      <c r="J201" t="str">
        <f t="shared" si="7"/>
        <v>Nu</v>
      </c>
    </row>
    <row r="202" spans="1:10" x14ac:dyDescent="0.2">
      <c r="A202" t="s">
        <v>347</v>
      </c>
      <c r="B202" t="s">
        <v>348</v>
      </c>
      <c r="C202">
        <v>5272783</v>
      </c>
      <c r="D202" s="7">
        <f t="shared" si="6"/>
        <v>26363.915000000001</v>
      </c>
      <c r="E202" s="2">
        <f>VLOOKUP(A202,'2.09.2021'!A$3:'2.09.2021'!I$202,5,)</f>
        <v>44238</v>
      </c>
      <c r="F202" s="2">
        <v>44455</v>
      </c>
      <c r="G202" s="23">
        <f>VLOOKUP(A202,'2.09.2021'!A$3:'2.09.2021'!I$202,7,)</f>
        <v>0.14722222222222223</v>
      </c>
      <c r="H202" t="str">
        <f>VLOOKUP(A202,'2.09.2021'!A$3:'2.09.2021'!I$202,8,)</f>
        <v>LATIN URBAN</v>
      </c>
      <c r="I202" t="str">
        <f>VLOOKUP(A202,'2.09.2021'!A$3:'2.09.2021'!I$202,9,)</f>
        <v>Puerto Rico</v>
      </c>
      <c r="J202" t="str">
        <f t="shared" si="7"/>
        <v>Nu</v>
      </c>
    </row>
    <row r="205" spans="1:10" x14ac:dyDescent="0.2">
      <c r="C205" s="1" t="s">
        <v>402</v>
      </c>
      <c r="D205" s="1" t="s">
        <v>411</v>
      </c>
    </row>
    <row r="206" spans="1:10" x14ac:dyDescent="0.2">
      <c r="C206" s="1">
        <f>AVERAGE(C3:C202)</f>
        <v>9671037.9849999994</v>
      </c>
      <c r="D206" s="4">
        <f>SUM(D3:D202)/200</f>
        <v>48355.189924999962</v>
      </c>
    </row>
    <row r="207" spans="1:10" x14ac:dyDescent="0.2">
      <c r="C207" s="1"/>
      <c r="D207" s="1"/>
    </row>
    <row r="208" spans="1:10" x14ac:dyDescent="0.2">
      <c r="C208" s="1" t="s">
        <v>403</v>
      </c>
      <c r="D208" s="1" t="s">
        <v>410</v>
      </c>
    </row>
    <row r="209" spans="3:4" x14ac:dyDescent="0.2">
      <c r="C209" s="1">
        <f>SUM(C3:C202)</f>
        <v>1934207597</v>
      </c>
      <c r="D209" s="4">
        <f>SUM(D3:D202)</f>
        <v>9671037.984999992</v>
      </c>
    </row>
  </sheetData>
  <conditionalFormatting sqref="J3:J202">
    <cfRule type="containsText" dxfId="16" priority="1" operator="containsText" text="Da">
      <formula>NOT(ISERROR(SEARCH("Da",J3)))</formula>
    </cfRule>
    <cfRule type="containsText" dxfId="15" priority="2" operator="containsText" text="Nu">
      <formula>NOT(ISERROR(SEARCH("Nu",J3)))</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CF18D-BB97-0942-8CAD-27E5F499A48E}">
  <sheetPr>
    <tabColor rgb="FFFFFF00"/>
  </sheetPr>
  <dimension ref="A1:J209"/>
  <sheetViews>
    <sheetView zoomScale="110" zoomScaleNormal="110" workbookViewId="0">
      <selection activeCell="D26" sqref="D26"/>
    </sheetView>
  </sheetViews>
  <sheetFormatPr baseColWidth="10" defaultColWidth="11" defaultRowHeight="16" x14ac:dyDescent="0.2"/>
  <cols>
    <col min="1" max="1" width="45.83203125" bestFit="1" customWidth="1"/>
    <col min="2" max="2" width="19.83203125" bestFit="1" customWidth="1"/>
    <col min="3" max="3" width="25.5" bestFit="1" customWidth="1"/>
    <col min="4" max="4" width="26" bestFit="1" customWidth="1"/>
    <col min="5" max="5" width="11.83203125" bestFit="1" customWidth="1"/>
    <col min="6" max="6" width="15.83203125" bestFit="1" customWidth="1"/>
    <col min="7" max="7" width="14.33203125" bestFit="1" customWidth="1"/>
    <col min="8" max="8" width="14.83203125" bestFit="1" customWidth="1"/>
    <col min="9" max="9" width="21.1640625" bestFit="1" customWidth="1"/>
    <col min="10" max="10" width="10" bestFit="1" customWidth="1"/>
  </cols>
  <sheetData>
    <row r="1" spans="1:10" x14ac:dyDescent="0.2">
      <c r="A1" s="12" t="s">
        <v>404</v>
      </c>
      <c r="B1" s="11" t="s">
        <v>405</v>
      </c>
      <c r="C1" s="13" t="s">
        <v>406</v>
      </c>
      <c r="D1" s="14" t="s">
        <v>407</v>
      </c>
      <c r="E1" s="15" t="s">
        <v>408</v>
      </c>
      <c r="F1" s="16" t="s">
        <v>409</v>
      </c>
      <c r="G1" s="17" t="s">
        <v>412</v>
      </c>
      <c r="H1" s="18" t="s">
        <v>413</v>
      </c>
      <c r="I1" s="19" t="s">
        <v>419</v>
      </c>
      <c r="J1" s="20" t="s">
        <v>421</v>
      </c>
    </row>
    <row r="3" spans="1:10" x14ac:dyDescent="0.2">
      <c r="A3" t="s">
        <v>0</v>
      </c>
      <c r="B3" t="s">
        <v>1</v>
      </c>
      <c r="C3">
        <v>65706259</v>
      </c>
      <c r="D3" s="7">
        <f>(C3/1000*5)</f>
        <v>328531.29500000004</v>
      </c>
      <c r="E3" s="2">
        <f>VLOOKUP(A3,'2.09.2021'!A$3:'2.09.2021'!I$202,5,)</f>
        <v>44386</v>
      </c>
      <c r="F3" s="2">
        <v>44462</v>
      </c>
      <c r="G3" s="23">
        <f>VLOOKUP(A3,'2.09.2021'!A$3:'2.09.2021'!I$202,7,)</f>
        <v>9.7916666666666666E-2</v>
      </c>
      <c r="H3" t="str">
        <f>VLOOKUP(A3,'2.09.2021'!A$3:'2.09.2021'!I$202,8,)</f>
        <v>POP</v>
      </c>
      <c r="I3" t="str">
        <f>VLOOKUP(A3,'2.09.2021'!A$3:'2.09.2021'!I$202,9,)</f>
        <v>Australia</v>
      </c>
      <c r="J3" t="str">
        <f>IF(ISNUMBER(SEARCH("with",A3)),"Da","Nu")</f>
        <v>Da</v>
      </c>
    </row>
    <row r="4" spans="1:10" x14ac:dyDescent="0.2">
      <c r="A4" t="s">
        <v>50</v>
      </c>
      <c r="B4" t="s">
        <v>20</v>
      </c>
      <c r="C4">
        <v>45594878</v>
      </c>
      <c r="D4" s="7">
        <f t="shared" ref="D4:D67" si="0">(C4/1000*5)</f>
        <v>227974.38999999998</v>
      </c>
      <c r="E4" s="2">
        <v>44460</v>
      </c>
      <c r="F4" s="2">
        <v>44462</v>
      </c>
      <c r="G4" s="23">
        <v>8.5416666666666655E-2</v>
      </c>
      <c r="H4" t="s">
        <v>502</v>
      </c>
      <c r="I4" t="s">
        <v>420</v>
      </c>
      <c r="J4" t="str">
        <f t="shared" ref="J4:J67" si="1">IF(ISNUMBER(SEARCH("with",A4)),"Da","Nu")</f>
        <v>Da</v>
      </c>
    </row>
    <row r="5" spans="1:10" x14ac:dyDescent="0.2">
      <c r="A5" t="s">
        <v>30</v>
      </c>
      <c r="B5" t="s">
        <v>20</v>
      </c>
      <c r="C5">
        <v>43845716</v>
      </c>
      <c r="D5" s="7">
        <f t="shared" si="0"/>
        <v>219228.58000000002</v>
      </c>
      <c r="E5" s="2">
        <v>44460</v>
      </c>
      <c r="F5" s="2">
        <v>44462</v>
      </c>
      <c r="G5" s="23">
        <v>0.14097222222222222</v>
      </c>
      <c r="H5" t="s">
        <v>502</v>
      </c>
      <c r="I5" t="s">
        <v>420</v>
      </c>
      <c r="J5" t="str">
        <f t="shared" si="1"/>
        <v>Da</v>
      </c>
    </row>
    <row r="6" spans="1:10" x14ac:dyDescent="0.2">
      <c r="A6" t="s">
        <v>436</v>
      </c>
      <c r="B6" t="s">
        <v>2</v>
      </c>
      <c r="C6">
        <v>42154185</v>
      </c>
      <c r="D6" s="7">
        <f t="shared" si="0"/>
        <v>210770.92499999999</v>
      </c>
      <c r="E6" s="2">
        <f>VLOOKUP(A6,'2.09.2021'!A$3:'2.09.2021'!I$202,5,)</f>
        <v>44400</v>
      </c>
      <c r="F6" s="2">
        <v>44462</v>
      </c>
      <c r="G6" s="23">
        <f>VLOOKUP(A6,'2.09.2021'!A$3:'2.09.2021'!I$202,7,)</f>
        <v>0.14722222222222223</v>
      </c>
      <c r="H6" t="s">
        <v>423</v>
      </c>
      <c r="I6" t="str">
        <f>VLOOKUP(A6,'2.09.2021'!A$3:'2.09.2021'!I$202,9,)</f>
        <v>SUA</v>
      </c>
      <c r="J6" t="str">
        <f t="shared" si="1"/>
        <v>Da</v>
      </c>
    </row>
    <row r="7" spans="1:10" x14ac:dyDescent="0.2">
      <c r="A7" t="s">
        <v>19</v>
      </c>
      <c r="B7" t="s">
        <v>20</v>
      </c>
      <c r="C7">
        <v>38422223</v>
      </c>
      <c r="D7" s="7">
        <f t="shared" si="0"/>
        <v>192111.11499999999</v>
      </c>
      <c r="E7" s="2">
        <v>44460</v>
      </c>
      <c r="F7" s="2">
        <v>44462</v>
      </c>
      <c r="G7" s="23">
        <v>5.5555555555555552E-2</v>
      </c>
      <c r="H7" t="s">
        <v>423</v>
      </c>
      <c r="I7" t="s">
        <v>420</v>
      </c>
      <c r="J7" t="str">
        <f t="shared" si="1"/>
        <v>Da</v>
      </c>
    </row>
    <row r="8" spans="1:10" x14ac:dyDescent="0.2">
      <c r="A8" t="s">
        <v>143</v>
      </c>
      <c r="B8" t="s">
        <v>20</v>
      </c>
      <c r="C8">
        <v>34053174</v>
      </c>
      <c r="D8" s="7">
        <f t="shared" si="0"/>
        <v>170265.87</v>
      </c>
      <c r="E8" s="2">
        <v>44460</v>
      </c>
      <c r="F8" s="2">
        <v>44462</v>
      </c>
      <c r="G8" s="23">
        <v>0.16388888888888889</v>
      </c>
      <c r="H8" t="s">
        <v>423</v>
      </c>
      <c r="I8" t="s">
        <v>420</v>
      </c>
      <c r="J8" t="str">
        <f t="shared" si="1"/>
        <v>Nu</v>
      </c>
    </row>
    <row r="9" spans="1:10" x14ac:dyDescent="0.2">
      <c r="A9" t="s">
        <v>9</v>
      </c>
      <c r="B9" t="s">
        <v>10</v>
      </c>
      <c r="C9">
        <v>32477559</v>
      </c>
      <c r="D9" s="7">
        <f t="shared" si="0"/>
        <v>162387.79500000001</v>
      </c>
      <c r="E9" s="2">
        <f>VLOOKUP(A9,'2.09.2021'!A$3:'2.09.2021'!I$202,5,)</f>
        <v>44358</v>
      </c>
      <c r="F9" s="2">
        <v>44462</v>
      </c>
      <c r="G9" s="23">
        <f>VLOOKUP(A9,'2.09.2021'!A$3:'2.09.2021'!I$202,7,)</f>
        <v>0.14722222222222223</v>
      </c>
      <c r="H9" t="str">
        <f>VLOOKUP(A9,'2.09.2021'!A$3:'2.09.2021'!I$202,8,)</f>
        <v>POP</v>
      </c>
      <c r="I9" t="str">
        <f>VLOOKUP(A9,'2.09.2021'!A$3:'2.09.2021'!I$202,9,)</f>
        <v>Marea Britanie</v>
      </c>
      <c r="J9" t="str">
        <f t="shared" si="1"/>
        <v>Nu</v>
      </c>
    </row>
    <row r="10" spans="1:10" x14ac:dyDescent="0.2">
      <c r="A10" t="s">
        <v>15</v>
      </c>
      <c r="B10" t="s">
        <v>415</v>
      </c>
      <c r="C10">
        <v>29650985</v>
      </c>
      <c r="D10" s="7">
        <f t="shared" si="0"/>
        <v>148254.92499999999</v>
      </c>
      <c r="E10" s="2">
        <f>VLOOKUP(A10,'2.09.2021'!A$3:'2.09.2021'!I$202,5,)</f>
        <v>43077</v>
      </c>
      <c r="F10" s="2">
        <v>44462</v>
      </c>
      <c r="G10" s="23">
        <f>VLOOKUP(A10,'2.09.2021'!A$3:'2.09.2021'!I$202,7,)</f>
        <v>0.14652777777777778</v>
      </c>
      <c r="H10" t="str">
        <f>VLOOKUP(A10,'2.09.2021'!A$3:'2.09.2021'!I$202,8,)</f>
        <v>ROCK</v>
      </c>
      <c r="I10" t="str">
        <f>VLOOKUP(A10,'2.09.2021'!A$3:'2.09.2021'!I$202,9,)</f>
        <v>Italia</v>
      </c>
      <c r="J10" t="str">
        <f t="shared" si="1"/>
        <v>Nu</v>
      </c>
    </row>
    <row r="11" spans="1:10" x14ac:dyDescent="0.2">
      <c r="A11" t="s">
        <v>7</v>
      </c>
      <c r="B11" t="s">
        <v>8</v>
      </c>
      <c r="C11">
        <v>29585088</v>
      </c>
      <c r="D11" s="7">
        <f t="shared" si="0"/>
        <v>147925.44</v>
      </c>
      <c r="E11" s="2">
        <f>VLOOKUP(A11,'2.09.2021'!A$3:'2.09.2021'!I$202,5,)</f>
        <v>44538</v>
      </c>
      <c r="F11" s="2">
        <v>44462</v>
      </c>
      <c r="G11" s="23">
        <f>VLOOKUP(A11,'2.09.2021'!A$3:'2.09.2021'!I$202,7,)</f>
        <v>0.19930555555555554</v>
      </c>
      <c r="H11" t="str">
        <f>VLOOKUP(A11,'2.09.2021'!A$3:'2.09.2021'!I$202,8,)</f>
        <v>LATIN URBAN</v>
      </c>
      <c r="I11" t="str">
        <f>VLOOKUP(A11,'2.09.2021'!A$3:'2.09.2021'!I$202,9,)</f>
        <v>Puerto Rico</v>
      </c>
      <c r="J11" t="str">
        <f t="shared" si="1"/>
        <v>Nu</v>
      </c>
    </row>
    <row r="12" spans="1:10" x14ac:dyDescent="0.2">
      <c r="A12" t="s">
        <v>35</v>
      </c>
      <c r="B12" t="s">
        <v>20</v>
      </c>
      <c r="C12">
        <v>28347807</v>
      </c>
      <c r="D12" s="7">
        <f t="shared" si="0"/>
        <v>141739.035</v>
      </c>
      <c r="E12" s="2">
        <v>44460</v>
      </c>
      <c r="F12" s="2">
        <v>44462</v>
      </c>
      <c r="G12" s="23">
        <v>0.1673611111111111</v>
      </c>
      <c r="H12" t="s">
        <v>423</v>
      </c>
      <c r="I12" t="s">
        <v>420</v>
      </c>
      <c r="J12" t="str">
        <f t="shared" si="1"/>
        <v>Da</v>
      </c>
    </row>
    <row r="13" spans="1:10" x14ac:dyDescent="0.2">
      <c r="A13" t="s">
        <v>11</v>
      </c>
      <c r="B13" t="s">
        <v>12</v>
      </c>
      <c r="C13">
        <v>27507841</v>
      </c>
      <c r="D13" s="7">
        <f t="shared" si="0"/>
        <v>137539.20500000002</v>
      </c>
      <c r="E13" s="2">
        <f>VLOOKUP(A13,'2.09.2021'!A$3:'2.09.2021'!I$202,5,)</f>
        <v>44374</v>
      </c>
      <c r="F13" s="2">
        <v>44462</v>
      </c>
      <c r="G13" s="23">
        <f>VLOOKUP(A13,'2.09.2021'!A$3:'2.09.2021'!I$202,7,)</f>
        <v>0.10069444444444443</v>
      </c>
      <c r="H13" t="str">
        <f>VLOOKUP(A13,'2.09.2021'!A$3:'2.09.2021'!I$202,8,)</f>
        <v>POP</v>
      </c>
      <c r="I13" t="str">
        <f>VLOOKUP(A13,'2.09.2021'!A$3:'2.09.2021'!I$202,9,)</f>
        <v>SUA</v>
      </c>
      <c r="J13" t="str">
        <f t="shared" si="1"/>
        <v>Nu</v>
      </c>
    </row>
    <row r="14" spans="1:10" x14ac:dyDescent="0.2">
      <c r="A14" t="s">
        <v>300</v>
      </c>
      <c r="B14" t="s">
        <v>20</v>
      </c>
      <c r="C14">
        <v>27368851</v>
      </c>
      <c r="D14" s="7">
        <f t="shared" si="0"/>
        <v>136844.255</v>
      </c>
      <c r="E14" s="2">
        <v>44460</v>
      </c>
      <c r="F14" s="2">
        <v>44462</v>
      </c>
      <c r="G14" s="23">
        <v>0.14305555555555557</v>
      </c>
      <c r="H14" t="s">
        <v>423</v>
      </c>
      <c r="I14" t="s">
        <v>420</v>
      </c>
      <c r="J14" t="str">
        <f t="shared" si="1"/>
        <v>Nu</v>
      </c>
    </row>
    <row r="15" spans="1:10" x14ac:dyDescent="0.2">
      <c r="A15" t="s">
        <v>51</v>
      </c>
      <c r="B15" t="s">
        <v>52</v>
      </c>
      <c r="C15">
        <v>27212883</v>
      </c>
      <c r="D15" s="7">
        <f t="shared" si="0"/>
        <v>136064.41500000001</v>
      </c>
      <c r="E15" s="2">
        <f>VLOOKUP(A15,'2.09.2021'!A$3:'2.09.2021'!I$202,5,)</f>
        <v>44416</v>
      </c>
      <c r="F15" s="2">
        <v>44462</v>
      </c>
      <c r="G15" s="23">
        <f>VLOOKUP(A15,'2.09.2021'!A$3:'2.09.2021'!I$202,7,)</f>
        <v>0.16874999999999998</v>
      </c>
      <c r="H15" t="str">
        <f>VLOOKUP(A15,'2.09.2021'!A$3:'2.09.2021'!I$202,8,)</f>
        <v>HIP-HOP/RAP</v>
      </c>
      <c r="I15" t="str">
        <f>VLOOKUP(A15,'2.09.2021'!A$3:'2.09.2021'!I$202,9,)</f>
        <v>SUA</v>
      </c>
      <c r="J15" t="str">
        <f t="shared" si="1"/>
        <v>Nu</v>
      </c>
    </row>
    <row r="16" spans="1:10" x14ac:dyDescent="0.2">
      <c r="A16" t="s">
        <v>16</v>
      </c>
      <c r="B16" t="s">
        <v>17</v>
      </c>
      <c r="C16">
        <v>26877818</v>
      </c>
      <c r="D16" s="7">
        <f t="shared" si="0"/>
        <v>134389.09</v>
      </c>
      <c r="E16" s="2">
        <f>VLOOKUP(A16,'2.09.2021'!A$3:'2.09.2021'!I$202,5,)</f>
        <v>44337</v>
      </c>
      <c r="F16" s="2">
        <v>44462</v>
      </c>
      <c r="G16" s="23">
        <f>VLOOKUP(A16,'2.09.2021'!A$3:'2.09.2021'!I$202,7,)</f>
        <v>0.12361111111111112</v>
      </c>
      <c r="H16" t="str">
        <f>VLOOKUP(A16,'2.09.2021'!A$3:'2.09.2021'!I$202,8,)</f>
        <v>POP</v>
      </c>
      <c r="I16" t="str">
        <f>VLOOKUP(A16,'2.09.2021'!A$3:'2.09.2021'!I$202,9,)</f>
        <v>SUA</v>
      </c>
      <c r="J16" t="str">
        <f t="shared" si="1"/>
        <v>Nu</v>
      </c>
    </row>
    <row r="17" spans="1:10" x14ac:dyDescent="0.2">
      <c r="A17" t="s">
        <v>301</v>
      </c>
      <c r="B17" t="s">
        <v>20</v>
      </c>
      <c r="C17">
        <v>26226066</v>
      </c>
      <c r="D17" s="7">
        <f t="shared" si="0"/>
        <v>131130.32999999999</v>
      </c>
      <c r="E17" s="2">
        <v>44460</v>
      </c>
      <c r="F17" s="2">
        <v>44462</v>
      </c>
      <c r="G17" s="23">
        <v>0.13958333333333334</v>
      </c>
      <c r="H17" t="s">
        <v>423</v>
      </c>
      <c r="I17" t="s">
        <v>420</v>
      </c>
      <c r="J17" t="str">
        <f t="shared" si="1"/>
        <v>Nu</v>
      </c>
    </row>
    <row r="18" spans="1:10" x14ac:dyDescent="0.2">
      <c r="A18" t="s">
        <v>302</v>
      </c>
      <c r="B18" t="s">
        <v>20</v>
      </c>
      <c r="C18">
        <v>26043915</v>
      </c>
      <c r="D18" s="7">
        <f t="shared" si="0"/>
        <v>130219.57500000001</v>
      </c>
      <c r="E18" s="2">
        <v>44460</v>
      </c>
      <c r="F18" s="2">
        <v>44462</v>
      </c>
      <c r="G18" s="23">
        <v>9.930555555555555E-2</v>
      </c>
      <c r="H18" t="s">
        <v>423</v>
      </c>
      <c r="I18" t="s">
        <v>420</v>
      </c>
      <c r="J18" t="str">
        <f t="shared" si="1"/>
        <v>Da</v>
      </c>
    </row>
    <row r="19" spans="1:10" x14ac:dyDescent="0.2">
      <c r="A19" t="s">
        <v>303</v>
      </c>
      <c r="B19" t="s">
        <v>20</v>
      </c>
      <c r="C19">
        <v>25554209</v>
      </c>
      <c r="D19" s="7">
        <f t="shared" si="0"/>
        <v>127771.045</v>
      </c>
      <c r="E19" s="2">
        <v>44460</v>
      </c>
      <c r="F19" s="2">
        <v>44462</v>
      </c>
      <c r="G19" s="23">
        <v>0.1277777777777778</v>
      </c>
      <c r="H19" t="s">
        <v>423</v>
      </c>
      <c r="I19" t="s">
        <v>420</v>
      </c>
      <c r="J19" t="str">
        <f t="shared" si="1"/>
        <v>Da</v>
      </c>
    </row>
    <row r="20" spans="1:10" x14ac:dyDescent="0.2">
      <c r="A20" t="s">
        <v>21</v>
      </c>
      <c r="B20" t="s">
        <v>12</v>
      </c>
      <c r="C20">
        <v>25440855</v>
      </c>
      <c r="D20" s="7">
        <f t="shared" si="0"/>
        <v>127204.27499999999</v>
      </c>
      <c r="E20" s="2">
        <f>VLOOKUP(A20,'2.09.2021'!A$3:'2.09.2021'!I$202,5,)</f>
        <v>44371</v>
      </c>
      <c r="F20" s="2">
        <v>44462</v>
      </c>
      <c r="G20" s="23">
        <f>VLOOKUP(A20,'2.09.2021'!A$3:'2.09.2021'!I$202,7,)</f>
        <v>0.14583333333333334</v>
      </c>
      <c r="H20" t="str">
        <f>VLOOKUP(A20,'2.09.2021'!A$3:'2.09.2021'!I$202,8,)</f>
        <v>POP</v>
      </c>
      <c r="I20" t="str">
        <f>VLOOKUP(A20,'2.09.2021'!A$3:'2.09.2021'!I$202,9,)</f>
        <v>SUA</v>
      </c>
      <c r="J20" t="str">
        <f t="shared" si="1"/>
        <v>Nu</v>
      </c>
    </row>
    <row r="21" spans="1:10" x14ac:dyDescent="0.2">
      <c r="A21" t="s">
        <v>5</v>
      </c>
      <c r="B21" t="s">
        <v>6</v>
      </c>
      <c r="C21">
        <v>24827159</v>
      </c>
      <c r="D21" s="7">
        <f t="shared" si="0"/>
        <v>124135.795</v>
      </c>
      <c r="E21" s="2">
        <f>VLOOKUP(A21,'2.09.2021'!A$3:'2.09.2021'!I$202,5,)</f>
        <v>44050</v>
      </c>
      <c r="F21" s="2">
        <v>44462</v>
      </c>
      <c r="G21" s="23">
        <f>VLOOKUP(A21,'2.09.2021'!A$3:'2.09.2021'!I$202,7,)</f>
        <v>0.16527777777777777</v>
      </c>
      <c r="H21" t="str">
        <f>VLOOKUP(A21,'2.09.2021'!A$3:'2.09.2021'!I$202,8,)</f>
        <v>POP</v>
      </c>
      <c r="I21" t="str">
        <f>VLOOKUP(A21,'2.09.2021'!A$3:'2.09.2021'!I$202,9,)</f>
        <v>Marea Britanie</v>
      </c>
      <c r="J21" t="str">
        <f t="shared" si="1"/>
        <v>Nu</v>
      </c>
    </row>
    <row r="22" spans="1:10" x14ac:dyDescent="0.2">
      <c r="A22" t="s">
        <v>247</v>
      </c>
      <c r="B22" t="s">
        <v>20</v>
      </c>
      <c r="C22">
        <v>23993346</v>
      </c>
      <c r="D22" s="7">
        <f t="shared" si="0"/>
        <v>119966.73000000001</v>
      </c>
      <c r="E22" s="2">
        <v>44460</v>
      </c>
      <c r="F22" s="2">
        <v>44462</v>
      </c>
      <c r="G22" s="23">
        <v>0.12847222222222224</v>
      </c>
      <c r="H22" t="s">
        <v>423</v>
      </c>
      <c r="I22" t="s">
        <v>420</v>
      </c>
      <c r="J22" t="str">
        <f t="shared" si="1"/>
        <v>Nu</v>
      </c>
    </row>
    <row r="23" spans="1:10" x14ac:dyDescent="0.2">
      <c r="A23" t="s">
        <v>22</v>
      </c>
      <c r="B23" t="s">
        <v>23</v>
      </c>
      <c r="C23">
        <v>22684148</v>
      </c>
      <c r="D23" s="7">
        <f t="shared" si="0"/>
        <v>113420.74</v>
      </c>
      <c r="E23" s="2">
        <f>VLOOKUP(A23,'2.09.2021'!A$3:'2.09.2021'!I$202,5,)</f>
        <v>44407</v>
      </c>
      <c r="F23" s="2">
        <v>44462</v>
      </c>
      <c r="G23" s="23">
        <f>VLOOKUP(A23,'2.09.2021'!A$3:'2.09.2021'!I$202,7,)</f>
        <v>0.20694444444444446</v>
      </c>
      <c r="H23" t="str">
        <f>VLOOKUP(A23,'2.09.2021'!A$3:'2.09.2021'!I$202,8,)</f>
        <v>ALTERNATIVE</v>
      </c>
      <c r="I23" t="str">
        <f>VLOOKUP(A23,'2.09.2021'!A$3:'2.09.2021'!I$202,9,)</f>
        <v>SUA</v>
      </c>
      <c r="J23" t="str">
        <f t="shared" si="1"/>
        <v>Nu</v>
      </c>
    </row>
    <row r="24" spans="1:10" x14ac:dyDescent="0.2">
      <c r="A24" t="s">
        <v>304</v>
      </c>
      <c r="B24" t="s">
        <v>20</v>
      </c>
      <c r="C24">
        <v>22025962</v>
      </c>
      <c r="D24" s="7">
        <f t="shared" si="0"/>
        <v>110129.81</v>
      </c>
      <c r="E24" s="2">
        <v>44460</v>
      </c>
      <c r="F24" s="2">
        <v>44462</v>
      </c>
      <c r="G24" s="23">
        <v>0.15763888888888888</v>
      </c>
      <c r="H24" t="s">
        <v>423</v>
      </c>
      <c r="I24" t="s">
        <v>420</v>
      </c>
      <c r="J24" t="str">
        <f t="shared" si="1"/>
        <v>Nu</v>
      </c>
    </row>
    <row r="25" spans="1:10" x14ac:dyDescent="0.2">
      <c r="A25" t="s">
        <v>18</v>
      </c>
      <c r="B25" t="s">
        <v>2</v>
      </c>
      <c r="C25">
        <v>21529938</v>
      </c>
      <c r="D25" s="7">
        <f t="shared" si="0"/>
        <v>107649.68999999999</v>
      </c>
      <c r="E25" s="2">
        <f>VLOOKUP(A25,'2.09.2021'!A$3:'2.09.2021'!I$202,5,)</f>
        <v>44456</v>
      </c>
      <c r="F25" s="2">
        <v>44462</v>
      </c>
      <c r="G25" s="23">
        <f>VLOOKUP(A25,'2.09.2021'!A$3:'2.09.2021'!I$202,7,)</f>
        <v>9.5138888888888884E-2</v>
      </c>
      <c r="H25" t="str">
        <f>VLOOKUP(A25,'2.09.2021'!A$3:'2.09.2021'!I$202,8,)</f>
        <v>POP</v>
      </c>
      <c r="I25" t="str">
        <f>VLOOKUP(A25,'2.09.2021'!A$3:'2.09.2021'!I$202,9,)</f>
        <v>SUA</v>
      </c>
      <c r="J25" t="str">
        <f t="shared" si="1"/>
        <v>Nu</v>
      </c>
    </row>
    <row r="26" spans="1:10" x14ac:dyDescent="0.2">
      <c r="A26" t="s">
        <v>437</v>
      </c>
      <c r="B26" t="s">
        <v>12</v>
      </c>
      <c r="C26">
        <v>20896669</v>
      </c>
      <c r="D26" s="7">
        <f t="shared" si="0"/>
        <v>104483.345</v>
      </c>
      <c r="E26" s="2">
        <f>VLOOKUP(A26,'2.09.2021'!A$3:'2.09.2021'!I$202,5,)</f>
        <v>44295</v>
      </c>
      <c r="F26" s="2">
        <v>44462</v>
      </c>
      <c r="G26" s="23">
        <f>VLOOKUP(A26,'2.09.2021'!A$3:'2.09.2021'!I$202,7,)</f>
        <v>0.14444444444444446</v>
      </c>
      <c r="H26" t="str">
        <f>VLOOKUP(A26,'2.09.2021'!A$3:'2.09.2021'!I$202,8,)</f>
        <v>POP</v>
      </c>
      <c r="I26" t="str">
        <f>VLOOKUP(A26,'2.09.2021'!A$3:'2.09.2021'!I$202,9,)</f>
        <v>SUA</v>
      </c>
      <c r="J26" t="str">
        <f t="shared" si="1"/>
        <v>Da</v>
      </c>
    </row>
    <row r="27" spans="1:10" x14ac:dyDescent="0.2">
      <c r="A27" t="s">
        <v>33</v>
      </c>
      <c r="B27" t="s">
        <v>34</v>
      </c>
      <c r="C27">
        <v>19097158</v>
      </c>
      <c r="D27" s="7">
        <f t="shared" si="0"/>
        <v>95485.79</v>
      </c>
      <c r="E27" s="2">
        <f>VLOOKUP(A27,'2.09.2021'!A$3:'2.09.2021'!I$202,5,)</f>
        <v>44338</v>
      </c>
      <c r="F27" s="2">
        <v>44462</v>
      </c>
      <c r="G27" s="23">
        <f>VLOOKUP(A27,'2.09.2021'!A$3:'2.09.2021'!I$202,7,)</f>
        <v>0.13819444444444443</v>
      </c>
      <c r="H27" t="str">
        <f>VLOOKUP(A27,'2.09.2021'!A$3:'2.09.2021'!I$202,8,)</f>
        <v>LATIN URBAN</v>
      </c>
      <c r="I27" t="str">
        <f>VLOOKUP(A27,'2.09.2021'!A$3:'2.09.2021'!I$202,9,)</f>
        <v>Puerto Rico</v>
      </c>
      <c r="J27" t="str">
        <f t="shared" si="1"/>
        <v>Nu</v>
      </c>
    </row>
    <row r="28" spans="1:10" x14ac:dyDescent="0.2">
      <c r="A28" t="s">
        <v>305</v>
      </c>
      <c r="B28" t="s">
        <v>20</v>
      </c>
      <c r="C28">
        <v>18888249</v>
      </c>
      <c r="D28" s="7">
        <f t="shared" si="0"/>
        <v>94441.244999999995</v>
      </c>
      <c r="E28" s="2">
        <v>44460</v>
      </c>
      <c r="F28" s="2">
        <v>44462</v>
      </c>
      <c r="G28" s="23">
        <v>0.15625</v>
      </c>
      <c r="H28" t="s">
        <v>423</v>
      </c>
      <c r="I28" t="s">
        <v>420</v>
      </c>
      <c r="J28" t="str">
        <f t="shared" si="1"/>
        <v>Nu</v>
      </c>
    </row>
    <row r="29" spans="1:10" x14ac:dyDescent="0.2">
      <c r="A29" t="s">
        <v>306</v>
      </c>
      <c r="B29" t="s">
        <v>20</v>
      </c>
      <c r="C29">
        <v>18180843</v>
      </c>
      <c r="D29" s="7">
        <f t="shared" si="0"/>
        <v>90904.214999999997</v>
      </c>
      <c r="E29" s="2">
        <v>44460</v>
      </c>
      <c r="F29" s="2">
        <v>44462</v>
      </c>
      <c r="G29" s="23">
        <v>0.10486111111111111</v>
      </c>
      <c r="H29" t="s">
        <v>423</v>
      </c>
      <c r="I29" t="s">
        <v>420</v>
      </c>
      <c r="J29" t="str">
        <f t="shared" si="1"/>
        <v>Nu</v>
      </c>
    </row>
    <row r="30" spans="1:10" x14ac:dyDescent="0.2">
      <c r="A30" t="s">
        <v>414</v>
      </c>
      <c r="B30" t="s">
        <v>36</v>
      </c>
      <c r="C30">
        <v>17626028</v>
      </c>
      <c r="D30" s="7">
        <f t="shared" si="0"/>
        <v>88130.139999999985</v>
      </c>
      <c r="E30" s="2">
        <f>VLOOKUP(A30,'2.09.2021'!A$3:'2.09.2021'!I$202,5,)</f>
        <v>44411</v>
      </c>
      <c r="F30" s="2">
        <v>44462</v>
      </c>
      <c r="G30" s="23">
        <f>VLOOKUP(A30,'2.09.2021'!A$3:'2.09.2021'!I$202,7,)</f>
        <v>0.15972222222222224</v>
      </c>
      <c r="H30" t="str">
        <f>VLOOKUP(A30,'2.09.2021'!A$3:'2.09.2021'!I$202,8,)</f>
        <v>LATIN URBAN</v>
      </c>
      <c r="I30" t="str">
        <f>VLOOKUP(A30,'2.09.2021'!A$3:'2.09.2021'!I$202,9,)</f>
        <v>Republica Dominicană</v>
      </c>
      <c r="J30" t="str">
        <f t="shared" si="1"/>
        <v>Nu</v>
      </c>
    </row>
    <row r="31" spans="1:10" x14ac:dyDescent="0.2">
      <c r="A31" t="s">
        <v>31</v>
      </c>
      <c r="B31" t="s">
        <v>32</v>
      </c>
      <c r="C31">
        <v>17385575</v>
      </c>
      <c r="D31" s="7">
        <f t="shared" si="0"/>
        <v>86927.875</v>
      </c>
      <c r="E31" s="2">
        <f>VLOOKUP(A31,'2.09.2021'!A$3:'2.09.2021'!I$202,5,)</f>
        <v>44351</v>
      </c>
      <c r="F31" s="2">
        <v>44462</v>
      </c>
      <c r="G31" s="23">
        <f>VLOOKUP(A31,'2.09.2021'!A$3:'2.09.2021'!I$202,7,)</f>
        <v>0.14305555555555557</v>
      </c>
      <c r="H31" t="str">
        <f>VLOOKUP(A31,'2.09.2021'!A$3:'2.09.2021'!I$202,8,)</f>
        <v>LATIN URBAN</v>
      </c>
      <c r="I31" t="str">
        <f>VLOOKUP(A31,'2.09.2021'!A$3:'2.09.2021'!I$202,9,)</f>
        <v>Puerto Rico</v>
      </c>
      <c r="J31" t="str">
        <f t="shared" si="1"/>
        <v>Nu</v>
      </c>
    </row>
    <row r="32" spans="1:10" x14ac:dyDescent="0.2">
      <c r="A32" t="s">
        <v>307</v>
      </c>
      <c r="B32" t="s">
        <v>20</v>
      </c>
      <c r="C32">
        <v>17035250</v>
      </c>
      <c r="D32" s="7">
        <f t="shared" si="0"/>
        <v>85176.25</v>
      </c>
      <c r="E32" s="2">
        <v>44460</v>
      </c>
      <c r="F32" s="2">
        <v>44462</v>
      </c>
      <c r="G32" s="23">
        <v>8.8888888888888892E-2</v>
      </c>
      <c r="H32" t="s">
        <v>423</v>
      </c>
      <c r="I32" t="s">
        <v>420</v>
      </c>
      <c r="J32" t="str">
        <f t="shared" si="1"/>
        <v>Nu</v>
      </c>
    </row>
    <row r="33" spans="1:10" x14ac:dyDescent="0.2">
      <c r="A33" t="s">
        <v>308</v>
      </c>
      <c r="B33" t="s">
        <v>20</v>
      </c>
      <c r="C33">
        <v>16808455</v>
      </c>
      <c r="D33" s="7">
        <f t="shared" si="0"/>
        <v>84042.275000000009</v>
      </c>
      <c r="E33" s="2">
        <v>44460</v>
      </c>
      <c r="F33" s="2">
        <v>44462</v>
      </c>
      <c r="G33" s="23">
        <v>0.13333333333333333</v>
      </c>
      <c r="H33" t="s">
        <v>423</v>
      </c>
      <c r="I33" t="s">
        <v>420</v>
      </c>
      <c r="J33" t="str">
        <f t="shared" si="1"/>
        <v>Da</v>
      </c>
    </row>
    <row r="34" spans="1:10" x14ac:dyDescent="0.2">
      <c r="A34" t="s">
        <v>178</v>
      </c>
      <c r="B34" t="s">
        <v>52</v>
      </c>
      <c r="C34">
        <v>16413179</v>
      </c>
      <c r="D34" s="7">
        <f t="shared" si="0"/>
        <v>82065.895000000004</v>
      </c>
      <c r="E34" s="2">
        <f>VLOOKUP(A34,'2.09.2021'!A$3:'2.09.2021'!I$202,5,)</f>
        <v>44437</v>
      </c>
      <c r="F34" s="2">
        <v>44462</v>
      </c>
      <c r="G34" s="23">
        <f>VLOOKUP(A34,'2.09.2021'!A$3:'2.09.2021'!I$202,7,)</f>
        <v>0.23541666666666669</v>
      </c>
      <c r="H34" t="str">
        <f>VLOOKUP(A34,'2.09.2021'!A$3:'2.09.2021'!I$202,8,)</f>
        <v>HIP-HOP/RAP</v>
      </c>
      <c r="I34" t="str">
        <f>VLOOKUP(A34,'2.09.2021'!A$3:'2.09.2021'!I$202,9,)</f>
        <v>SUA</v>
      </c>
      <c r="J34" t="str">
        <f t="shared" si="1"/>
        <v>Nu</v>
      </c>
    </row>
    <row r="35" spans="1:10" x14ac:dyDescent="0.2">
      <c r="A35" t="s">
        <v>53</v>
      </c>
      <c r="B35" t="s">
        <v>415</v>
      </c>
      <c r="C35">
        <v>16188501</v>
      </c>
      <c r="D35" s="7">
        <f t="shared" si="0"/>
        <v>80942.505000000005</v>
      </c>
      <c r="E35" s="2">
        <f>VLOOKUP(A35,'2.09.2021'!A$3:'2.09.2021'!I$202,5,)</f>
        <v>44274</v>
      </c>
      <c r="F35" s="2">
        <v>44462</v>
      </c>
      <c r="G35" s="23">
        <f>VLOOKUP(A35,'2.09.2021'!A$3:'2.09.2021'!I$202,7,)</f>
        <v>0.12013888888888889</v>
      </c>
      <c r="H35" t="str">
        <f>VLOOKUP(A35,'2.09.2021'!A$3:'2.09.2021'!I$202,8,)</f>
        <v>ROCK</v>
      </c>
      <c r="I35" t="str">
        <f>VLOOKUP(A35,'2.09.2021'!A$3:'2.09.2021'!I$202,9,)</f>
        <v>Italia</v>
      </c>
      <c r="J35" t="str">
        <f t="shared" si="1"/>
        <v>Nu</v>
      </c>
    </row>
    <row r="36" spans="1:10" x14ac:dyDescent="0.2">
      <c r="A36" t="s">
        <v>309</v>
      </c>
      <c r="B36" t="s">
        <v>20</v>
      </c>
      <c r="C36">
        <v>16082820</v>
      </c>
      <c r="D36" s="7">
        <f t="shared" si="0"/>
        <v>80414.100000000006</v>
      </c>
      <c r="E36" s="2">
        <v>44460</v>
      </c>
      <c r="F36" s="2">
        <v>44462</v>
      </c>
      <c r="G36" s="23">
        <v>8.9583333333333334E-2</v>
      </c>
      <c r="H36" t="s">
        <v>423</v>
      </c>
      <c r="I36" t="s">
        <v>420</v>
      </c>
      <c r="J36" t="str">
        <f t="shared" si="1"/>
        <v>Da</v>
      </c>
    </row>
    <row r="37" spans="1:10" x14ac:dyDescent="0.2">
      <c r="A37" t="s">
        <v>439</v>
      </c>
      <c r="B37" t="s">
        <v>38</v>
      </c>
      <c r="C37">
        <v>16076912</v>
      </c>
      <c r="D37" s="7">
        <f t="shared" si="0"/>
        <v>80384.56</v>
      </c>
      <c r="E37" s="2">
        <f>VLOOKUP(A37,'2.09.2021'!A$3:'2.09.2021'!I$202,5,)</f>
        <v>43917</v>
      </c>
      <c r="F37" s="2">
        <v>44462</v>
      </c>
      <c r="G37" s="23">
        <f>VLOOKUP(A37,'2.09.2021'!A$3:'2.09.2021'!I$202,7,)</f>
        <v>0.14097222222222222</v>
      </c>
      <c r="H37" t="str">
        <f>VLOOKUP(A37,'2.09.2021'!A$3:'2.09.2021'!I$202,8,)</f>
        <v>POP</v>
      </c>
      <c r="I37" t="str">
        <f>VLOOKUP(A37,'2.09.2021'!A$3:'2.09.2021'!I$202,9,)</f>
        <v>Marea Britanie</v>
      </c>
      <c r="J37" t="str">
        <f t="shared" si="1"/>
        <v>Da</v>
      </c>
    </row>
    <row r="38" spans="1:10" x14ac:dyDescent="0.2">
      <c r="A38" t="s">
        <v>45</v>
      </c>
      <c r="B38" t="s">
        <v>46</v>
      </c>
      <c r="C38">
        <v>15826162</v>
      </c>
      <c r="D38" s="7">
        <f t="shared" si="0"/>
        <v>79130.81</v>
      </c>
      <c r="E38" s="2">
        <f>VLOOKUP(A38,'2.09.2021'!A$3:'2.09.2021'!I$202,5,)</f>
        <v>44414</v>
      </c>
      <c r="F38" s="2">
        <v>44462</v>
      </c>
      <c r="G38" s="23">
        <f>VLOOKUP(A38,'2.09.2021'!A$3:'2.09.2021'!I$202,7,)</f>
        <v>0.15277777777777776</v>
      </c>
      <c r="H38" t="str">
        <f>VLOOKUP(A38,'2.09.2021'!A$3:'2.09.2021'!I$202,8,)</f>
        <v>R&amp;B/SOUL</v>
      </c>
      <c r="I38" t="str">
        <f>VLOOKUP(A38,'2.09.2021'!A$3:'2.09.2021'!I$202,9,)</f>
        <v>Canada</v>
      </c>
      <c r="J38" t="str">
        <f t="shared" si="1"/>
        <v>Nu</v>
      </c>
    </row>
    <row r="39" spans="1:10" x14ac:dyDescent="0.2">
      <c r="A39" t="s">
        <v>310</v>
      </c>
      <c r="B39" t="s">
        <v>20</v>
      </c>
      <c r="C39">
        <v>15567041</v>
      </c>
      <c r="D39" s="7">
        <f t="shared" si="0"/>
        <v>77835.205000000002</v>
      </c>
      <c r="E39" s="2">
        <v>44460</v>
      </c>
      <c r="F39" s="2">
        <v>44462</v>
      </c>
      <c r="G39" s="23">
        <v>0.1388888888888889</v>
      </c>
      <c r="H39" t="s">
        <v>423</v>
      </c>
      <c r="I39" t="s">
        <v>420</v>
      </c>
      <c r="J39" t="str">
        <f t="shared" si="1"/>
        <v>Nu</v>
      </c>
    </row>
    <row r="40" spans="1:10" x14ac:dyDescent="0.2">
      <c r="A40" t="s">
        <v>417</v>
      </c>
      <c r="B40" t="s">
        <v>42</v>
      </c>
      <c r="C40">
        <v>15558142</v>
      </c>
      <c r="D40" s="7">
        <f t="shared" si="0"/>
        <v>77790.709999999992</v>
      </c>
      <c r="E40" s="2">
        <f>VLOOKUP(A40,'2.09.2021'!A$3:'2.09.2021'!I$202,5,)</f>
        <v>44344</v>
      </c>
      <c r="F40" s="2">
        <v>44462</v>
      </c>
      <c r="G40" s="23">
        <f>VLOOKUP(A40,'2.09.2021'!A$3:'2.09.2021'!I$202,7,)</f>
        <v>0.15069444444444444</v>
      </c>
      <c r="H40" t="str">
        <f>VLOOKUP(A40,'2.09.2021'!A$3:'2.09.2021'!I$202,8,)</f>
        <v>LATIN URBAN</v>
      </c>
      <c r="I40" t="str">
        <f>VLOOKUP(A40,'2.09.2021'!A$3:'2.09.2021'!I$202,9,)</f>
        <v>Columbia</v>
      </c>
      <c r="J40" t="str">
        <f t="shared" si="1"/>
        <v>Nu</v>
      </c>
    </row>
    <row r="41" spans="1:10" x14ac:dyDescent="0.2">
      <c r="A41" t="s">
        <v>37</v>
      </c>
      <c r="B41" t="s">
        <v>17</v>
      </c>
      <c r="C41">
        <v>15470078</v>
      </c>
      <c r="D41" s="7">
        <f t="shared" si="0"/>
        <v>77350.39</v>
      </c>
      <c r="E41" s="2">
        <f>VLOOKUP(A41,'2.09.2021'!A$3:'2.09.2021'!I$202,5,)</f>
        <v>44337</v>
      </c>
      <c r="F41" s="2">
        <v>44462</v>
      </c>
      <c r="G41" s="23">
        <f>VLOOKUP(A41,'2.09.2021'!A$3:'2.09.2021'!I$202,7,)</f>
        <v>0.15902777777777777</v>
      </c>
      <c r="H41" t="str">
        <f>VLOOKUP(A41,'2.09.2021'!A$3:'2.09.2021'!I$202,8,)</f>
        <v>POP</v>
      </c>
      <c r="I41" t="str">
        <f>VLOOKUP(A41,'2.09.2021'!A$3:'2.09.2021'!I$202,9,)</f>
        <v>SUA</v>
      </c>
      <c r="J41" t="str">
        <f t="shared" si="1"/>
        <v>Nu</v>
      </c>
    </row>
    <row r="42" spans="1:10" x14ac:dyDescent="0.2">
      <c r="A42" t="s">
        <v>311</v>
      </c>
      <c r="B42" t="s">
        <v>20</v>
      </c>
      <c r="C42">
        <v>15443086</v>
      </c>
      <c r="D42" s="7">
        <f t="shared" si="0"/>
        <v>77215.429999999993</v>
      </c>
      <c r="E42" s="2">
        <v>44460</v>
      </c>
      <c r="F42" s="2">
        <v>44462</v>
      </c>
      <c r="G42" s="23">
        <v>0.14930555555555555</v>
      </c>
      <c r="H42" t="s">
        <v>423</v>
      </c>
      <c r="I42" t="s">
        <v>420</v>
      </c>
      <c r="J42" t="str">
        <f t="shared" si="1"/>
        <v>Da</v>
      </c>
    </row>
    <row r="43" spans="1:10" x14ac:dyDescent="0.2">
      <c r="A43" t="s">
        <v>440</v>
      </c>
      <c r="B43" t="s">
        <v>43</v>
      </c>
      <c r="C43">
        <v>14792207</v>
      </c>
      <c r="D43" s="7">
        <f t="shared" si="0"/>
        <v>73961.035000000003</v>
      </c>
      <c r="E43" s="2">
        <f>VLOOKUP(A43,'2.09.2021'!A$3:'2.09.2021'!I$202,5,)</f>
        <v>44274</v>
      </c>
      <c r="F43" s="2">
        <v>44462</v>
      </c>
      <c r="G43" s="23">
        <f>VLOOKUP(A43,'2.09.2021'!A$3:'2.09.2021'!I$202,7,)</f>
        <v>0.13749999999999998</v>
      </c>
      <c r="H43" t="str">
        <f>VLOOKUP(A43,'2.09.2021'!A$3:'2.09.2021'!I$202,8,)</f>
        <v>POP</v>
      </c>
      <c r="I43" t="str">
        <f>VLOOKUP(A43,'2.09.2021'!A$3:'2.09.2021'!I$202,9,)</f>
        <v>Canada</v>
      </c>
      <c r="J43" t="str">
        <f t="shared" si="1"/>
        <v>Da</v>
      </c>
    </row>
    <row r="44" spans="1:10" x14ac:dyDescent="0.2">
      <c r="A44" t="s">
        <v>312</v>
      </c>
      <c r="B44" t="s">
        <v>20</v>
      </c>
      <c r="C44">
        <v>13919809</v>
      </c>
      <c r="D44" s="7">
        <f t="shared" si="0"/>
        <v>69599.044999999998</v>
      </c>
      <c r="E44" s="2">
        <v>44460</v>
      </c>
      <c r="F44" s="2">
        <v>44462</v>
      </c>
      <c r="G44" s="23">
        <v>0.18263888888888891</v>
      </c>
      <c r="H44" t="s">
        <v>423</v>
      </c>
      <c r="I44" t="s">
        <v>420</v>
      </c>
      <c r="J44" t="str">
        <f t="shared" si="1"/>
        <v>Nu</v>
      </c>
    </row>
    <row r="45" spans="1:10" x14ac:dyDescent="0.2">
      <c r="A45" t="s">
        <v>145</v>
      </c>
      <c r="B45" t="s">
        <v>52</v>
      </c>
      <c r="C45">
        <v>13386308</v>
      </c>
      <c r="D45" s="7">
        <f t="shared" si="0"/>
        <v>66931.540000000008</v>
      </c>
      <c r="E45" s="2">
        <f>VLOOKUP(A45,'2.09.2021'!A$3:'2.09.2021'!I$202,5,)</f>
        <v>44437</v>
      </c>
      <c r="F45" s="2">
        <v>44462</v>
      </c>
      <c r="G45" s="23">
        <f>VLOOKUP(A45,'2.09.2021'!A$3:'2.09.2021'!I$202,7,)</f>
        <v>0.10833333333333334</v>
      </c>
      <c r="H45" t="str">
        <f>VLOOKUP(A45,'2.09.2021'!A$3:'2.09.2021'!I$202,8,)</f>
        <v>HIP-HOP/RAP</v>
      </c>
      <c r="I45" t="str">
        <f>VLOOKUP(A45,'2.09.2021'!A$3:'2.09.2021'!I$202,9,)</f>
        <v>SUA</v>
      </c>
      <c r="J45" t="str">
        <f t="shared" si="1"/>
        <v>Nu</v>
      </c>
    </row>
    <row r="46" spans="1:10" x14ac:dyDescent="0.2">
      <c r="A46" t="s">
        <v>313</v>
      </c>
      <c r="B46" t="s">
        <v>52</v>
      </c>
      <c r="C46">
        <v>13374077</v>
      </c>
      <c r="D46" s="7">
        <f t="shared" si="0"/>
        <v>66870.384999999995</v>
      </c>
      <c r="E46" s="2">
        <f>VLOOKUP(A46,'2.09.2021'!A$3:'2.09.2021'!I$202,5,)</f>
        <v>44437</v>
      </c>
      <c r="F46" s="2">
        <v>44462</v>
      </c>
      <c r="G46" s="23">
        <f>VLOOKUP(A46,'2.09.2021'!A$3:'2.09.2021'!I$202,7,)</f>
        <v>0.20625000000000002</v>
      </c>
      <c r="H46" t="str">
        <f>VLOOKUP(A46,'2.09.2021'!A$3:'2.09.2021'!I$202,8,)</f>
        <v>HIP-HOP/RAP</v>
      </c>
      <c r="I46" t="str">
        <f>VLOOKUP(A46,'2.09.2021'!A$3:'2.09.2021'!I$202,9,)</f>
        <v>SUA</v>
      </c>
      <c r="J46" t="str">
        <f t="shared" si="1"/>
        <v>Nu</v>
      </c>
    </row>
    <row r="47" spans="1:10" x14ac:dyDescent="0.2">
      <c r="A47" t="s">
        <v>56</v>
      </c>
      <c r="B47" t="s">
        <v>46</v>
      </c>
      <c r="C47">
        <v>13283877</v>
      </c>
      <c r="D47" s="7">
        <f t="shared" si="0"/>
        <v>66419.385000000009</v>
      </c>
      <c r="E47" s="2">
        <f>VLOOKUP(A47,'2.09.2021'!A$3:'2.09.2021'!I$202,5,)</f>
        <v>43910</v>
      </c>
      <c r="F47" s="2">
        <v>44462</v>
      </c>
      <c r="G47" s="23">
        <f>VLOOKUP(A47,'2.09.2021'!A$3:'2.09.2021'!I$202,7,)</f>
        <v>0.14930555555555555</v>
      </c>
      <c r="H47" t="str">
        <f>VLOOKUP(A47,'2.09.2021'!A$3:'2.09.2021'!I$202,8,)</f>
        <v>R&amp;B/SOUL</v>
      </c>
      <c r="I47" t="str">
        <f>VLOOKUP(A47,'2.09.2021'!A$3:'2.09.2021'!I$202,9,)</f>
        <v>Canada</v>
      </c>
      <c r="J47" t="str">
        <f t="shared" si="1"/>
        <v>Da</v>
      </c>
    </row>
    <row r="48" spans="1:10" x14ac:dyDescent="0.2">
      <c r="A48" t="s">
        <v>49</v>
      </c>
      <c r="B48" t="s">
        <v>46</v>
      </c>
      <c r="C48">
        <v>13282212</v>
      </c>
      <c r="D48" s="7">
        <f t="shared" si="0"/>
        <v>66411.06</v>
      </c>
      <c r="E48" s="2">
        <f>VLOOKUP(A48,'2.09.2021'!A$3:'2.09.2021'!I$202,5,)</f>
        <v>43798</v>
      </c>
      <c r="F48" s="2">
        <v>44462</v>
      </c>
      <c r="G48" s="23">
        <f>VLOOKUP(A48,'2.09.2021'!A$3:'2.09.2021'!I$202,7,)</f>
        <v>0.13958333333333334</v>
      </c>
      <c r="H48" t="str">
        <f>VLOOKUP(A48,'2.09.2021'!A$3:'2.09.2021'!I$202,8,)</f>
        <v>R&amp;B/SOUL</v>
      </c>
      <c r="I48" t="str">
        <f>VLOOKUP(A48,'2.09.2021'!A$3:'2.09.2021'!I$202,9,)</f>
        <v>Canada</v>
      </c>
      <c r="J48" t="str">
        <f t="shared" si="1"/>
        <v>Nu</v>
      </c>
    </row>
    <row r="49" spans="1:10" x14ac:dyDescent="0.2">
      <c r="A49" t="s">
        <v>79</v>
      </c>
      <c r="B49" t="s">
        <v>80</v>
      </c>
      <c r="C49">
        <v>13255149</v>
      </c>
      <c r="D49" s="7">
        <f t="shared" si="0"/>
        <v>66275.744999999995</v>
      </c>
      <c r="E49" s="2">
        <f>VLOOKUP(A49,'2.09.2021'!A$3:'2.09.2021'!I$202,5,)</f>
        <v>44435</v>
      </c>
      <c r="F49" s="2">
        <v>44462</v>
      </c>
      <c r="G49" s="23">
        <f>VLOOKUP(A49,'2.09.2021'!A$3:'2.09.2021'!I$202,7,)</f>
        <v>0.17500000000000002</v>
      </c>
      <c r="H49" t="str">
        <f>VLOOKUP(A49,'2.09.2021'!A$3:'2.09.2021'!I$202,8,)</f>
        <v>HIP-HOP/RAP</v>
      </c>
      <c r="I49" t="str">
        <f>VLOOKUP(A49,'2.09.2021'!A$3:'2.09.2021'!I$202,9,)</f>
        <v>SUA</v>
      </c>
      <c r="J49" t="str">
        <f t="shared" si="1"/>
        <v>Da</v>
      </c>
    </row>
    <row r="50" spans="1:10" x14ac:dyDescent="0.2">
      <c r="A50" t="s">
        <v>41</v>
      </c>
      <c r="B50" t="s">
        <v>42</v>
      </c>
      <c r="C50">
        <v>13119628</v>
      </c>
      <c r="D50" s="7">
        <f t="shared" si="0"/>
        <v>65598.14</v>
      </c>
      <c r="E50" s="2">
        <f>VLOOKUP(A50,'2.09.2021'!A$3:'2.09.2021'!I$202,5,)</f>
        <v>44379</v>
      </c>
      <c r="F50" s="2">
        <v>44462</v>
      </c>
      <c r="G50" s="23">
        <f>VLOOKUP(A50,'2.09.2021'!A$3:'2.09.2021'!I$202,7,)</f>
        <v>9.0277777777777776E-2</v>
      </c>
      <c r="H50" t="str">
        <f>VLOOKUP(A50,'2.09.2021'!A$3:'2.09.2021'!I$202,8,)</f>
        <v>LATIN URBAN</v>
      </c>
      <c r="I50" t="str">
        <f>VLOOKUP(A50,'2.09.2021'!A$3:'2.09.2021'!I$202,9,)</f>
        <v>Columbia</v>
      </c>
      <c r="J50" t="str">
        <f t="shared" si="1"/>
        <v>Nu</v>
      </c>
    </row>
    <row r="51" spans="1:10" x14ac:dyDescent="0.2">
      <c r="A51" t="s">
        <v>77</v>
      </c>
      <c r="B51" t="s">
        <v>78</v>
      </c>
      <c r="C51">
        <v>12879133</v>
      </c>
      <c r="D51" s="7">
        <f t="shared" si="0"/>
        <v>64395.665000000001</v>
      </c>
      <c r="E51" s="2">
        <v>44460</v>
      </c>
      <c r="F51" s="2">
        <v>44462</v>
      </c>
      <c r="G51" s="23">
        <v>0.13125000000000001</v>
      </c>
      <c r="H51" t="s">
        <v>434</v>
      </c>
      <c r="I51" t="s">
        <v>479</v>
      </c>
      <c r="J51" t="str">
        <f t="shared" si="1"/>
        <v>Nu</v>
      </c>
    </row>
    <row r="52" spans="1:10" x14ac:dyDescent="0.2">
      <c r="A52" t="s">
        <v>314</v>
      </c>
      <c r="B52" t="s">
        <v>20</v>
      </c>
      <c r="C52">
        <v>12312466</v>
      </c>
      <c r="D52" s="7">
        <f t="shared" si="0"/>
        <v>61562.33</v>
      </c>
      <c r="E52" s="2">
        <v>44337</v>
      </c>
      <c r="F52" s="2">
        <v>44462</v>
      </c>
      <c r="G52" s="23">
        <v>0.125</v>
      </c>
      <c r="H52" t="s">
        <v>423</v>
      </c>
      <c r="I52" t="s">
        <v>420</v>
      </c>
      <c r="J52" t="str">
        <f t="shared" si="1"/>
        <v>Nu</v>
      </c>
    </row>
    <row r="53" spans="1:10" x14ac:dyDescent="0.2">
      <c r="A53" t="s">
        <v>74</v>
      </c>
      <c r="B53" t="s">
        <v>17</v>
      </c>
      <c r="C53">
        <v>12024457</v>
      </c>
      <c r="D53" s="7">
        <f t="shared" si="0"/>
        <v>60122.285000000003</v>
      </c>
      <c r="E53" s="2">
        <f>VLOOKUP(A53,'2.09.2021'!A$3:'2.09.2021'!I$202,5,)</f>
        <v>44337</v>
      </c>
      <c r="F53" s="2">
        <v>44462</v>
      </c>
      <c r="G53" s="23">
        <f>VLOOKUP(A53,'2.09.2021'!A$3:'2.09.2021'!I$202,7,)</f>
        <v>0.14930555555555555</v>
      </c>
      <c r="H53" t="str">
        <f>VLOOKUP(A53,'2.09.2021'!A$3:'2.09.2021'!I$202,8,)</f>
        <v>POP</v>
      </c>
      <c r="I53" t="str">
        <f>VLOOKUP(A53,'2.09.2021'!A$3:'2.09.2021'!I$202,9,)</f>
        <v>SUA</v>
      </c>
      <c r="J53" t="str">
        <f t="shared" si="1"/>
        <v>Nu</v>
      </c>
    </row>
    <row r="54" spans="1:10" x14ac:dyDescent="0.2">
      <c r="A54" t="s">
        <v>70</v>
      </c>
      <c r="B54" t="s">
        <v>71</v>
      </c>
      <c r="C54">
        <v>11869240</v>
      </c>
      <c r="D54" s="7">
        <f t="shared" si="0"/>
        <v>59346.2</v>
      </c>
      <c r="E54" s="2">
        <f>VLOOKUP(A54,'2.09.2021'!A$3:'2.09.2021'!I$202,5,)</f>
        <v>44371</v>
      </c>
      <c r="F54" s="2">
        <v>44462</v>
      </c>
      <c r="G54" s="23">
        <f>VLOOKUP(A54,'2.09.2021'!A$3:'2.09.2021'!I$202,7,)</f>
        <v>0.18124999999999999</v>
      </c>
      <c r="H54" t="str">
        <f>VLOOKUP(A54,'2.09.2021'!A$3:'2.09.2021'!I$202,8,)</f>
        <v>LATIN URBAN</v>
      </c>
      <c r="I54" t="str">
        <f>VLOOKUP(A54,'2.09.2021'!A$3:'2.09.2021'!I$202,9,)</f>
        <v>Puerto Rico</v>
      </c>
      <c r="J54" t="str">
        <f t="shared" si="1"/>
        <v>Nu</v>
      </c>
    </row>
    <row r="55" spans="1:10" x14ac:dyDescent="0.2">
      <c r="A55" t="s">
        <v>57</v>
      </c>
      <c r="B55" t="s">
        <v>17</v>
      </c>
      <c r="C55">
        <v>11862663</v>
      </c>
      <c r="D55" s="7">
        <f t="shared" si="0"/>
        <v>59313.315000000002</v>
      </c>
      <c r="E55" s="2">
        <f>VLOOKUP(A55,'2.09.2021'!A$3:'2.09.2021'!I$202,5,)</f>
        <v>44204</v>
      </c>
      <c r="F55" s="2">
        <v>44462</v>
      </c>
      <c r="G55" s="23">
        <f>VLOOKUP(A55,'2.09.2021'!A$3:'2.09.2021'!I$202,7,)</f>
        <v>0.16805555555555554</v>
      </c>
      <c r="H55" t="str">
        <f>VLOOKUP(A55,'2.09.2021'!A$3:'2.09.2021'!I$202,8,)</f>
        <v>POP</v>
      </c>
      <c r="I55" t="str">
        <f>VLOOKUP(A55,'2.09.2021'!A$3:'2.09.2021'!I$202,9,)</f>
        <v>SUA</v>
      </c>
      <c r="J55" t="str">
        <f t="shared" si="1"/>
        <v>Nu</v>
      </c>
    </row>
    <row r="56" spans="1:10" x14ac:dyDescent="0.2">
      <c r="A56" t="s">
        <v>72</v>
      </c>
      <c r="B56" t="s">
        <v>73</v>
      </c>
      <c r="C56">
        <v>11808168</v>
      </c>
      <c r="D56" s="7">
        <f t="shared" si="0"/>
        <v>59040.84</v>
      </c>
      <c r="E56" s="2">
        <f>VLOOKUP(A56,'2.09.2021'!A$3:'2.09.2021'!I$202,5,)</f>
        <v>44385</v>
      </c>
      <c r="F56" s="2">
        <v>44462</v>
      </c>
      <c r="G56" s="23">
        <f>VLOOKUP(A56,'2.09.2021'!A$3:'2.09.2021'!I$202,7,)</f>
        <v>0.18958333333333333</v>
      </c>
      <c r="H56" t="str">
        <f>VLOOKUP(A56,'2.09.2021'!A$3:'2.09.2021'!I$202,8,)</f>
        <v>LATIN</v>
      </c>
      <c r="I56" t="str">
        <f>VLOOKUP(A56,'2.09.2021'!A$3:'2.09.2021'!I$202,9,)</f>
        <v>Puerto Rico</v>
      </c>
      <c r="J56" t="str">
        <f t="shared" si="1"/>
        <v>Nu</v>
      </c>
    </row>
    <row r="57" spans="1:10" x14ac:dyDescent="0.2">
      <c r="A57" t="s">
        <v>26</v>
      </c>
      <c r="B57" t="s">
        <v>27</v>
      </c>
      <c r="C57">
        <v>11486519</v>
      </c>
      <c r="D57" s="7">
        <f t="shared" si="0"/>
        <v>57432.595000000001</v>
      </c>
      <c r="E57" s="2">
        <f>VLOOKUP(A57,'2.09.2021'!A$3:'2.09.2021'!I$202,5,)</f>
        <v>44421</v>
      </c>
      <c r="F57" s="2">
        <v>44462</v>
      </c>
      <c r="G57" s="23">
        <f>VLOOKUP(A57,'2.09.2021'!A$3:'2.09.2021'!I$202,7,)</f>
        <v>0.14027777777777778</v>
      </c>
      <c r="H57" t="str">
        <f>VLOOKUP(A57,'2.09.2021'!A$3:'2.09.2021'!I$202,8,)</f>
        <v>POP</v>
      </c>
      <c r="I57" t="str">
        <f>VLOOKUP(A57,'2.09.2021'!A$3:'2.09.2021'!I$202,9,)</f>
        <v>Marea Britanie</v>
      </c>
      <c r="J57" t="str">
        <f t="shared" si="1"/>
        <v>Nu</v>
      </c>
    </row>
    <row r="58" spans="1:10" x14ac:dyDescent="0.2">
      <c r="A58" t="s">
        <v>54</v>
      </c>
      <c r="B58" t="s">
        <v>55</v>
      </c>
      <c r="C58">
        <v>11376116</v>
      </c>
      <c r="D58" s="7">
        <f t="shared" si="0"/>
        <v>56880.58</v>
      </c>
      <c r="E58" s="2">
        <f>VLOOKUP(A58,'2.09.2021'!A$3:'2.09.2021'!I$202,5,)</f>
        <v>44337</v>
      </c>
      <c r="F58" s="2">
        <v>44462</v>
      </c>
      <c r="G58" s="23">
        <f>VLOOKUP(A58,'2.09.2021'!A$3:'2.09.2021'!I$202,7,)</f>
        <v>0.11388888888888889</v>
      </c>
      <c r="H58" t="str">
        <f>VLOOKUP(A58,'2.09.2021'!A$3:'2.09.2021'!I$202,8,)</f>
        <v>K-POP</v>
      </c>
      <c r="I58" t="str">
        <f>VLOOKUP(A58,'2.09.2021'!A$3:'2.09.2021'!I$202,9,)</f>
        <v>Korea de Sud</v>
      </c>
      <c r="J58" t="str">
        <f t="shared" si="1"/>
        <v>Nu</v>
      </c>
    </row>
    <row r="59" spans="1:10" x14ac:dyDescent="0.2">
      <c r="A59" t="s">
        <v>315</v>
      </c>
      <c r="B59" t="s">
        <v>20</v>
      </c>
      <c r="C59">
        <v>11368884</v>
      </c>
      <c r="D59" s="7">
        <f t="shared" si="0"/>
        <v>56844.42</v>
      </c>
      <c r="E59" s="2">
        <v>44290</v>
      </c>
      <c r="F59" s="2">
        <v>44462</v>
      </c>
      <c r="G59" s="23">
        <v>0.13958333333333334</v>
      </c>
      <c r="H59" t="s">
        <v>423</v>
      </c>
      <c r="I59" t="s">
        <v>420</v>
      </c>
      <c r="J59" t="str">
        <f t="shared" si="1"/>
        <v>Nu</v>
      </c>
    </row>
    <row r="60" spans="1:10" x14ac:dyDescent="0.2">
      <c r="A60">
        <v>2055</v>
      </c>
      <c r="B60" t="s">
        <v>60</v>
      </c>
      <c r="C60">
        <v>11335980</v>
      </c>
      <c r="D60" s="7">
        <f t="shared" si="0"/>
        <v>56679.899999999994</v>
      </c>
      <c r="E60" s="2">
        <f>VLOOKUP(A60,'2.09.2021'!A$3:'2.09.2021'!I$202,5,)</f>
        <v>44300</v>
      </c>
      <c r="F60" s="2">
        <v>44462</v>
      </c>
      <c r="G60" s="23">
        <f>VLOOKUP(A60,'2.09.2021'!A$3:'2.09.2021'!I$202,7,)</f>
        <v>8.5416666666666655E-2</v>
      </c>
      <c r="H60" t="str">
        <f>VLOOKUP(A60,'2.09.2021'!A$3:'2.09.2021'!I$202,8,)</f>
        <v>HIP-HOP/RAP</v>
      </c>
      <c r="I60" t="str">
        <f>VLOOKUP(A60,'2.09.2021'!A$3:'2.09.2021'!I$202,9,)</f>
        <v>Jamaica</v>
      </c>
      <c r="J60" t="str">
        <f t="shared" si="1"/>
        <v>Nu</v>
      </c>
    </row>
    <row r="61" spans="1:10" x14ac:dyDescent="0.2">
      <c r="A61" t="s">
        <v>65</v>
      </c>
      <c r="B61" t="s">
        <v>12</v>
      </c>
      <c r="C61">
        <v>11107366</v>
      </c>
      <c r="D61" s="7">
        <f t="shared" si="0"/>
        <v>55536.83</v>
      </c>
      <c r="E61" s="2">
        <f>VLOOKUP(A61,'2.09.2021'!A$3:'2.09.2021'!I$202,5,)</f>
        <v>44372</v>
      </c>
      <c r="F61" s="2">
        <v>44462</v>
      </c>
      <c r="G61" s="23">
        <f>VLOOKUP(A61,'2.09.2021'!A$3:'2.09.2021'!I$202,7,)</f>
        <v>9.5833333333333326E-2</v>
      </c>
      <c r="H61" t="str">
        <f>VLOOKUP(A61,'2.09.2021'!A$3:'2.09.2021'!I$202,8,)</f>
        <v>POP</v>
      </c>
      <c r="I61" t="str">
        <f>VLOOKUP(A61,'2.09.2021'!A$3:'2.09.2021'!I$202,9,)</f>
        <v>SUA</v>
      </c>
      <c r="J61" t="str">
        <f t="shared" si="1"/>
        <v>Nu</v>
      </c>
    </row>
    <row r="62" spans="1:10" x14ac:dyDescent="0.2">
      <c r="A62" t="s">
        <v>427</v>
      </c>
      <c r="B62" t="s">
        <v>34</v>
      </c>
      <c r="C62">
        <v>11010014</v>
      </c>
      <c r="D62" s="7">
        <f t="shared" si="0"/>
        <v>55050.069999999992</v>
      </c>
      <c r="E62" s="2">
        <f>VLOOKUP(A62,'2.09.2021'!A$3:'2.09.2021'!I$202,5,)</f>
        <v>44372</v>
      </c>
      <c r="F62" s="2">
        <v>44462</v>
      </c>
      <c r="G62" s="23">
        <f>VLOOKUP(A62,'2.09.2021'!A$3:'2.09.2021'!I$202,7,)</f>
        <v>0.11388888888888889</v>
      </c>
      <c r="H62" t="str">
        <f>VLOOKUP(A62,'2.09.2021'!A$3:'2.09.2021'!I$202,8,)</f>
        <v>LATIN URBAN</v>
      </c>
      <c r="I62" t="str">
        <f>VLOOKUP(A62,'2.09.2021'!A$3:'2.09.2021'!I$202,9,)</f>
        <v>Puerto Rico</v>
      </c>
      <c r="J62" t="str">
        <f t="shared" si="1"/>
        <v>Nu</v>
      </c>
    </row>
    <row r="63" spans="1:10" x14ac:dyDescent="0.2">
      <c r="A63" t="s">
        <v>316</v>
      </c>
      <c r="B63" t="s">
        <v>52</v>
      </c>
      <c r="C63">
        <v>10880386</v>
      </c>
      <c r="D63" s="7">
        <f t="shared" si="0"/>
        <v>54401.93</v>
      </c>
      <c r="E63" s="2">
        <f>VLOOKUP(A63,'2.09.2021'!A$3:'2.09.2021'!I$202,5,)</f>
        <v>44437</v>
      </c>
      <c r="F63" s="2">
        <v>44462</v>
      </c>
      <c r="G63" s="23">
        <f>VLOOKUP(A63,'2.09.2021'!A$3:'2.09.2021'!I$202,7,)</f>
        <v>0.15694444444444444</v>
      </c>
      <c r="H63" t="str">
        <f>VLOOKUP(A63,'2.09.2021'!A$3:'2.09.2021'!I$202,8,)</f>
        <v>HIP-HOP/RAP</v>
      </c>
      <c r="I63" t="str">
        <f>VLOOKUP(A63,'2.09.2021'!A$3:'2.09.2021'!I$202,9,)</f>
        <v>SUA</v>
      </c>
      <c r="J63" t="str">
        <f t="shared" si="1"/>
        <v>Nu</v>
      </c>
    </row>
    <row r="64" spans="1:10" x14ac:dyDescent="0.2">
      <c r="A64" t="s">
        <v>68</v>
      </c>
      <c r="B64" t="s">
        <v>69</v>
      </c>
      <c r="C64">
        <v>10588661</v>
      </c>
      <c r="D64" s="7">
        <f t="shared" si="0"/>
        <v>52943.305</v>
      </c>
      <c r="E64" s="2">
        <f>VLOOKUP(A64,'2.09.2021'!A$3:'2.09.2021'!I$202,5,)</f>
        <v>44385</v>
      </c>
      <c r="F64" s="2">
        <v>44462</v>
      </c>
      <c r="G64" s="23">
        <f>VLOOKUP(A64,'2.09.2021'!A$3:'2.09.2021'!I$202,7,)</f>
        <v>0.13958333333333334</v>
      </c>
      <c r="H64" t="str">
        <f>VLOOKUP(A64,'2.09.2021'!A$3:'2.09.2021'!I$202,8,)</f>
        <v>LATIN URBAN</v>
      </c>
      <c r="I64" t="str">
        <f>VLOOKUP(A64,'2.09.2021'!A$3:'2.09.2021'!I$202,9,)</f>
        <v>Columbia</v>
      </c>
      <c r="J64" t="str">
        <f t="shared" si="1"/>
        <v>Nu</v>
      </c>
    </row>
    <row r="65" spans="1:10" x14ac:dyDescent="0.2">
      <c r="A65" t="s">
        <v>58</v>
      </c>
      <c r="B65" t="s">
        <v>59</v>
      </c>
      <c r="C65">
        <v>10584248</v>
      </c>
      <c r="D65" s="7">
        <f t="shared" si="0"/>
        <v>52921.24</v>
      </c>
      <c r="E65" s="2">
        <f>VLOOKUP(A65,'2.09.2021'!A$3:'2.09.2021'!I$202,5,)</f>
        <v>44320</v>
      </c>
      <c r="F65" s="2">
        <v>44462</v>
      </c>
      <c r="G65" s="23">
        <f>VLOOKUP(A65,'2.09.2021'!A$3:'2.09.2021'!I$202,7,)</f>
        <v>0.14097222222222222</v>
      </c>
      <c r="H65" t="str">
        <f>VLOOKUP(A65,'2.09.2021'!A$3:'2.09.2021'!I$202,8,)</f>
        <v>R&amp;B/SOUL</v>
      </c>
      <c r="I65" t="str">
        <f>VLOOKUP(A65,'2.09.2021'!A$3:'2.09.2021'!I$202,9,)</f>
        <v>Olanda</v>
      </c>
      <c r="J65" t="str">
        <f t="shared" si="1"/>
        <v>Nu</v>
      </c>
    </row>
    <row r="66" spans="1:10" x14ac:dyDescent="0.2">
      <c r="A66" t="s">
        <v>93</v>
      </c>
      <c r="B66" t="s">
        <v>94</v>
      </c>
      <c r="C66">
        <v>10495538</v>
      </c>
      <c r="D66" s="7">
        <f t="shared" si="0"/>
        <v>52477.69</v>
      </c>
      <c r="E66" s="2">
        <f>VLOOKUP(A66,'2.09.2021'!A$3:'2.09.2021'!I$202,5,)</f>
        <v>44386</v>
      </c>
      <c r="F66" s="2">
        <v>44462</v>
      </c>
      <c r="G66" s="23">
        <f>VLOOKUP(A66,'2.09.2021'!A$3:'2.09.2021'!I$202,7,)</f>
        <v>0.13333333333333333</v>
      </c>
      <c r="H66" t="str">
        <f>VLOOKUP(A66,'2.09.2021'!A$3:'2.09.2021'!I$202,8,)</f>
        <v>RHYTHM &amp; BLUES</v>
      </c>
      <c r="I66" t="str">
        <f>VLOOKUP(A66,'2.09.2021'!A$3:'2.09.2021'!I$202,9,)</f>
        <v>Argentina</v>
      </c>
      <c r="J66" t="str">
        <f t="shared" si="1"/>
        <v>Nu</v>
      </c>
    </row>
    <row r="67" spans="1:10" x14ac:dyDescent="0.2">
      <c r="A67" t="s">
        <v>83</v>
      </c>
      <c r="B67" t="s">
        <v>84</v>
      </c>
      <c r="C67">
        <v>10166616</v>
      </c>
      <c r="D67" s="7">
        <f t="shared" si="0"/>
        <v>50833.08</v>
      </c>
      <c r="E67" s="2">
        <f>VLOOKUP(A67,'2.09.2021'!A$3:'2.09.2021'!I$202,5,)</f>
        <v>43812</v>
      </c>
      <c r="F67" s="2">
        <v>44462</v>
      </c>
      <c r="G67" s="23">
        <f>VLOOKUP(A67,'2.09.2021'!A$3:'2.09.2021'!I$202,7,)</f>
        <v>0.12013888888888889</v>
      </c>
      <c r="H67" t="str">
        <f>VLOOKUP(A67,'2.09.2021'!A$3:'2.09.2021'!I$202,8,)</f>
        <v>POP</v>
      </c>
      <c r="I67" t="str">
        <f>VLOOKUP(A67,'2.09.2021'!A$3:'2.09.2021'!I$202,9,)</f>
        <v>Marea Britanie</v>
      </c>
      <c r="J67" t="str">
        <f t="shared" si="1"/>
        <v>Nu</v>
      </c>
    </row>
    <row r="68" spans="1:10" x14ac:dyDescent="0.2">
      <c r="A68" t="s">
        <v>87</v>
      </c>
      <c r="B68" t="s">
        <v>88</v>
      </c>
      <c r="C68">
        <v>10154618</v>
      </c>
      <c r="D68" s="7">
        <f t="shared" ref="D68:D131" si="2">(C68/1000*5)</f>
        <v>50773.090000000004</v>
      </c>
      <c r="E68" s="2">
        <f>VLOOKUP(A68,'2.09.2021'!A$3:'2.09.2021'!I$202,5,)</f>
        <v>44260</v>
      </c>
      <c r="F68" s="2">
        <v>44462</v>
      </c>
      <c r="G68" s="23">
        <f>VLOOKUP(A68,'2.09.2021'!A$3:'2.09.2021'!I$202,7,)</f>
        <v>0.16805555555555554</v>
      </c>
      <c r="H68" t="str">
        <f>VLOOKUP(A68,'2.09.2021'!A$3:'2.09.2021'!I$202,8,)</f>
        <v>R&amp;B/SOUL</v>
      </c>
      <c r="I68" t="str">
        <f>VLOOKUP(A68,'2.09.2021'!A$3:'2.09.2021'!I$202,9,)</f>
        <v>Puerto Rico</v>
      </c>
      <c r="J68" t="str">
        <f t="shared" ref="J68:J131" si="3">IF(ISNUMBER(SEARCH("with",A68)),"Da","Nu")</f>
        <v>Nu</v>
      </c>
    </row>
    <row r="69" spans="1:10" x14ac:dyDescent="0.2">
      <c r="A69" t="s">
        <v>75</v>
      </c>
      <c r="B69" t="s">
        <v>55</v>
      </c>
      <c r="C69">
        <v>9964824</v>
      </c>
      <c r="D69" s="7">
        <f t="shared" si="2"/>
        <v>49824.12</v>
      </c>
      <c r="E69" s="2">
        <f>VLOOKUP(A69,'2.09.2021'!A$3:'2.09.2021'!I$202,5,)</f>
        <v>44386</v>
      </c>
      <c r="F69" s="2">
        <v>44462</v>
      </c>
      <c r="G69" s="23">
        <f>VLOOKUP(A69,'2.09.2021'!A$3:'2.09.2021'!I$202,7,)</f>
        <v>0.12986111111111112</v>
      </c>
      <c r="H69" t="str">
        <f>VLOOKUP(A69,'2.09.2021'!A$3:'2.09.2021'!I$202,8,)</f>
        <v>K-POP</v>
      </c>
      <c r="I69" t="str">
        <f>VLOOKUP(A69,'2.09.2021'!A$3:'2.09.2021'!I$202,9,)</f>
        <v>Korea de Sud</v>
      </c>
      <c r="J69" t="str">
        <f t="shared" si="3"/>
        <v>Nu</v>
      </c>
    </row>
    <row r="70" spans="1:10" x14ac:dyDescent="0.2">
      <c r="A70" t="s">
        <v>95</v>
      </c>
      <c r="B70" t="s">
        <v>17</v>
      </c>
      <c r="C70">
        <v>9788170</v>
      </c>
      <c r="D70" s="7">
        <f t="shared" si="2"/>
        <v>48940.85</v>
      </c>
      <c r="E70" s="2">
        <f>VLOOKUP(A70,'2.09.2021'!A$3:'2.09.2021'!I$202,5,)</f>
        <v>44337</v>
      </c>
      <c r="F70" s="2">
        <v>44462</v>
      </c>
      <c r="G70" s="23">
        <f>VLOOKUP(A70,'2.09.2021'!A$3:'2.09.2021'!I$202,7,)</f>
        <v>0.12152777777777778</v>
      </c>
      <c r="H70" t="str">
        <f>VLOOKUP(A70,'2.09.2021'!A$3:'2.09.2021'!I$202,8,)</f>
        <v>POP</v>
      </c>
      <c r="I70" t="str">
        <f>VLOOKUP(A70,'2.09.2021'!A$3:'2.09.2021'!I$202,9,)</f>
        <v>SUA</v>
      </c>
      <c r="J70" t="str">
        <f t="shared" si="3"/>
        <v>Nu</v>
      </c>
    </row>
    <row r="71" spans="1:10" x14ac:dyDescent="0.2">
      <c r="A71" t="s">
        <v>96</v>
      </c>
      <c r="B71" t="s">
        <v>97</v>
      </c>
      <c r="C71">
        <v>9719423</v>
      </c>
      <c r="D71" s="7">
        <f t="shared" si="2"/>
        <v>48597.115000000005</v>
      </c>
      <c r="E71" s="2">
        <f>VLOOKUP(A71,'2.09.2021'!A$3:'2.09.2021'!I$202,5,)</f>
        <v>43083</v>
      </c>
      <c r="F71" s="2">
        <v>44462</v>
      </c>
      <c r="G71" s="23">
        <f>VLOOKUP(A71,'2.09.2021'!A$3:'2.09.2021'!I$202,7,)</f>
        <v>0.1673611111111111</v>
      </c>
      <c r="H71" t="str">
        <f>VLOOKUP(A71,'2.09.2021'!A$3:'2.09.2021'!I$202,8,)</f>
        <v>ELECTRONIC</v>
      </c>
      <c r="I71" t="str">
        <f>VLOOKUP(A71,'2.09.2021'!A$3:'2.09.2021'!I$202,9,)</f>
        <v>Australia</v>
      </c>
      <c r="J71" t="str">
        <f t="shared" si="3"/>
        <v>Nu</v>
      </c>
    </row>
    <row r="72" spans="1:10" x14ac:dyDescent="0.2">
      <c r="A72" t="s">
        <v>81</v>
      </c>
      <c r="B72" t="s">
        <v>82</v>
      </c>
      <c r="C72">
        <v>9546848</v>
      </c>
      <c r="D72" s="7">
        <f t="shared" si="2"/>
        <v>47734.239999999998</v>
      </c>
      <c r="E72" s="2">
        <f>VLOOKUP(A72,'2.09.2021'!A$3:'2.09.2021'!I$202,5,)</f>
        <v>44400</v>
      </c>
      <c r="F72" s="2">
        <v>44462</v>
      </c>
      <c r="G72" s="23">
        <f>VLOOKUP(A72,'2.09.2021'!A$3:'2.09.2021'!I$202,7,)</f>
        <v>0.11388888888888889</v>
      </c>
      <c r="H72" t="str">
        <f>VLOOKUP(A72,'2.09.2021'!A$3:'2.09.2021'!I$202,8,)</f>
        <v>POP</v>
      </c>
      <c r="I72" t="str">
        <f>VLOOKUP(A72,'2.09.2021'!A$3:'2.09.2021'!I$202,9,)</f>
        <v>Cuba</v>
      </c>
      <c r="J72" t="str">
        <f t="shared" si="3"/>
        <v>Nu</v>
      </c>
    </row>
    <row r="73" spans="1:10" x14ac:dyDescent="0.2">
      <c r="A73" t="s">
        <v>431</v>
      </c>
      <c r="B73" t="s">
        <v>111</v>
      </c>
      <c r="C73">
        <v>9519785</v>
      </c>
      <c r="D73" s="7">
        <f t="shared" si="2"/>
        <v>47598.925000000003</v>
      </c>
      <c r="E73" s="2">
        <f>VLOOKUP(A73,'2.09.2021'!A$3:'2.09.2021'!I$202,5,)</f>
        <v>44317</v>
      </c>
      <c r="F73" s="2">
        <v>44462</v>
      </c>
      <c r="G73" s="23">
        <f>VLOOKUP(A73,'2.09.2021'!A$3:'2.09.2021'!I$202,7,)</f>
        <v>0.11458333333333333</v>
      </c>
      <c r="H73" t="str">
        <f>VLOOKUP(A73,'2.09.2021'!A$3:'2.09.2021'!I$202,8,)</f>
        <v>LATIN URBAN</v>
      </c>
      <c r="I73" t="s">
        <v>472</v>
      </c>
      <c r="J73" t="str">
        <f t="shared" si="3"/>
        <v>Nu</v>
      </c>
    </row>
    <row r="74" spans="1:10" x14ac:dyDescent="0.2">
      <c r="A74" t="s">
        <v>430</v>
      </c>
      <c r="B74" t="s">
        <v>32</v>
      </c>
      <c r="C74">
        <v>9353064</v>
      </c>
      <c r="D74" s="7">
        <f t="shared" si="2"/>
        <v>46765.32</v>
      </c>
      <c r="E74" s="2">
        <f>VLOOKUP(A74,'2.09.2021'!A$3:'2.09.2021'!I$202,5,)</f>
        <v>44134</v>
      </c>
      <c r="F74" s="2">
        <v>44462</v>
      </c>
      <c r="G74" s="23">
        <f>VLOOKUP(A74,'2.09.2021'!A$3:'2.09.2021'!I$202,7,)</f>
        <v>0.1423611111111111</v>
      </c>
      <c r="H74" t="str">
        <f>VLOOKUP(A74,'2.09.2021'!A$3:'2.09.2021'!I$202,8,)</f>
        <v>LATIN</v>
      </c>
      <c r="I74" t="str">
        <f>VLOOKUP(A74,'2.09.2021'!A$3:'2.09.2021'!I$202,9,)</f>
        <v>Puerto Rico</v>
      </c>
      <c r="J74" t="str">
        <f t="shared" si="3"/>
        <v>Nu</v>
      </c>
    </row>
    <row r="75" spans="1:10" x14ac:dyDescent="0.2">
      <c r="A75" t="s">
        <v>443</v>
      </c>
      <c r="B75" t="s">
        <v>116</v>
      </c>
      <c r="C75">
        <v>9277029</v>
      </c>
      <c r="D75" s="7">
        <f t="shared" si="2"/>
        <v>46385.145000000004</v>
      </c>
      <c r="E75" s="2">
        <f>VLOOKUP(A75,'2.09.2021'!A$3:'2.09.2021'!I$202,5,)</f>
        <v>44211</v>
      </c>
      <c r="F75" s="2">
        <v>44462</v>
      </c>
      <c r="G75" s="23">
        <f>VLOOKUP(A75,'2.09.2021'!A$3:'2.09.2021'!I$202,7,)</f>
        <v>0.1173611111111111</v>
      </c>
      <c r="H75" t="str">
        <f>VLOOKUP(A75,'2.09.2021'!A$3:'2.09.2021'!I$202,8,)</f>
        <v>DANCE</v>
      </c>
      <c r="I75" t="str">
        <f>VLOOKUP(A75,'2.09.2021'!A$3:'2.09.2021'!I$202,9,)</f>
        <v>Marea Britanie</v>
      </c>
      <c r="J75" t="str">
        <f t="shared" si="3"/>
        <v>Da</v>
      </c>
    </row>
    <row r="76" spans="1:10" x14ac:dyDescent="0.2">
      <c r="A76" t="s">
        <v>442</v>
      </c>
      <c r="B76" t="s">
        <v>98</v>
      </c>
      <c r="C76">
        <v>9137061</v>
      </c>
      <c r="D76" s="7">
        <f t="shared" si="2"/>
        <v>45685.305</v>
      </c>
      <c r="E76" s="2">
        <f>VLOOKUP(A76,'2.09.2021'!A$3:'2.09.2021'!I$202,5,)</f>
        <v>44336</v>
      </c>
      <c r="F76" s="2">
        <v>44462</v>
      </c>
      <c r="G76" s="23">
        <f>VLOOKUP(A76,'2.09.2021'!A$3:'2.09.2021'!I$202,7,)</f>
        <v>9.5138888888888884E-2</v>
      </c>
      <c r="H76" t="str">
        <f>VLOOKUP(A76,'2.09.2021'!A$3:'2.09.2021'!I$202,8,)</f>
        <v>HIP-HOP/RAP</v>
      </c>
      <c r="I76" t="str">
        <f>VLOOKUP(A76,'2.09.2021'!A$3:'2.09.2021'!I$202,9,)</f>
        <v>SUA</v>
      </c>
      <c r="J76" t="str">
        <f t="shared" si="3"/>
        <v>Da</v>
      </c>
    </row>
    <row r="77" spans="1:10" x14ac:dyDescent="0.2">
      <c r="A77" t="s">
        <v>127</v>
      </c>
      <c r="B77" t="s">
        <v>12</v>
      </c>
      <c r="C77">
        <v>9093003</v>
      </c>
      <c r="D77" s="7">
        <f t="shared" si="2"/>
        <v>45465.014999999999</v>
      </c>
      <c r="E77" s="2">
        <f>VLOOKUP(A77,'2.09.2021'!A$3:'2.09.2021'!I$202,5,)</f>
        <v>44372</v>
      </c>
      <c r="F77" s="2">
        <v>44462</v>
      </c>
      <c r="G77" s="23">
        <f>VLOOKUP(A77,'2.09.2021'!A$3:'2.09.2021'!I$202,7,)</f>
        <v>0.12083333333333333</v>
      </c>
      <c r="H77" t="str">
        <f>VLOOKUP(A77,'2.09.2021'!A$3:'2.09.2021'!I$202,8,)</f>
        <v>POP</v>
      </c>
      <c r="I77" t="str">
        <f>VLOOKUP(A77,'2.09.2021'!A$3:'2.09.2021'!I$202,9,)</f>
        <v>SUA</v>
      </c>
      <c r="J77" t="str">
        <f t="shared" si="3"/>
        <v>Nu</v>
      </c>
    </row>
    <row r="78" spans="1:10" x14ac:dyDescent="0.2">
      <c r="A78" t="s">
        <v>134</v>
      </c>
      <c r="B78" t="s">
        <v>135</v>
      </c>
      <c r="C78">
        <v>8942549</v>
      </c>
      <c r="D78" s="7">
        <f t="shared" si="2"/>
        <v>44712.745000000003</v>
      </c>
      <c r="E78" s="2">
        <f>VLOOKUP(A78,'2.09.2021'!A$3:'2.09.2021'!I$202,5,)</f>
        <v>44386</v>
      </c>
      <c r="F78" s="2">
        <v>44462</v>
      </c>
      <c r="G78" s="23">
        <f>VLOOKUP(A78,'2.09.2021'!A$3:'2.09.2021'!I$202,7,)</f>
        <v>0.14444444444444446</v>
      </c>
      <c r="H78" t="str">
        <f>VLOOKUP(A78,'2.09.2021'!A$3:'2.09.2021'!I$202,8,)</f>
        <v>LATIN URBAN</v>
      </c>
      <c r="I78" t="str">
        <f>VLOOKUP(A78,'2.09.2021'!A$3:'2.09.2021'!I$202,9,)</f>
        <v>Panama</v>
      </c>
      <c r="J78" t="str">
        <f t="shared" si="3"/>
        <v>Nu</v>
      </c>
    </row>
    <row r="79" spans="1:10" x14ac:dyDescent="0.2">
      <c r="A79" t="s">
        <v>112</v>
      </c>
      <c r="B79" t="s">
        <v>113</v>
      </c>
      <c r="C79">
        <v>8936748</v>
      </c>
      <c r="D79" s="7">
        <f t="shared" si="2"/>
        <v>44683.74</v>
      </c>
      <c r="E79" s="2">
        <f>VLOOKUP(A79,'2.09.2021'!A$3:'2.09.2021'!I$202,5,)</f>
        <v>44238</v>
      </c>
      <c r="F79" s="2">
        <v>44462</v>
      </c>
      <c r="G79" s="23">
        <f>VLOOKUP(A79,'2.09.2021'!A$3:'2.09.2021'!I$202,7,)</f>
        <v>0.20625000000000002</v>
      </c>
      <c r="H79" t="str">
        <f>VLOOKUP(A79,'2.09.2021'!A$3:'2.09.2021'!I$202,8,)</f>
        <v>LATIN URBAN</v>
      </c>
      <c r="I79" t="str">
        <f>VLOOKUP(A79,'2.09.2021'!A$3:'2.09.2021'!I$202,9,)</f>
        <v>Columbia</v>
      </c>
      <c r="J79" t="str">
        <f t="shared" si="3"/>
        <v>Nu</v>
      </c>
    </row>
    <row r="80" spans="1:10" x14ac:dyDescent="0.2">
      <c r="A80" t="s">
        <v>317</v>
      </c>
      <c r="B80" t="s">
        <v>318</v>
      </c>
      <c r="C80">
        <v>8909165</v>
      </c>
      <c r="D80" s="7">
        <f t="shared" si="2"/>
        <v>44545.825000000004</v>
      </c>
      <c r="E80" s="2">
        <v>44358</v>
      </c>
      <c r="F80" s="2">
        <v>44462</v>
      </c>
      <c r="G80" s="23">
        <v>0.28750000000000003</v>
      </c>
      <c r="H80" t="s">
        <v>422</v>
      </c>
      <c r="I80" t="s">
        <v>487</v>
      </c>
      <c r="J80" t="str">
        <f t="shared" si="3"/>
        <v>Nu</v>
      </c>
    </row>
    <row r="81" spans="1:10" x14ac:dyDescent="0.2">
      <c r="A81" t="s">
        <v>91</v>
      </c>
      <c r="B81" t="s">
        <v>92</v>
      </c>
      <c r="C81">
        <v>8859678</v>
      </c>
      <c r="D81" s="7">
        <f t="shared" si="2"/>
        <v>44298.39</v>
      </c>
      <c r="E81" s="2">
        <f>VLOOKUP(A81,'2.09.2021'!A$3:'2.09.2021'!I$202,5,)</f>
        <v>44276</v>
      </c>
      <c r="F81" s="2">
        <v>44462</v>
      </c>
      <c r="G81" s="23">
        <f>VLOOKUP(A81,'2.09.2021'!A$3:'2.09.2021'!I$202,7,)</f>
        <v>0.17500000000000002</v>
      </c>
      <c r="H81" t="str">
        <f>VLOOKUP(A81,'2.09.2021'!A$3:'2.09.2021'!I$202,8,)</f>
        <v>POP</v>
      </c>
      <c r="I81" t="str">
        <f>VLOOKUP(A81,'2.09.2021'!A$3:'2.09.2021'!I$202,9,)</f>
        <v>Marea Britanie</v>
      </c>
      <c r="J81" t="str">
        <f t="shared" si="3"/>
        <v>Nu</v>
      </c>
    </row>
    <row r="82" spans="1:10" x14ac:dyDescent="0.2">
      <c r="A82" t="s">
        <v>117</v>
      </c>
      <c r="B82" t="s">
        <v>118</v>
      </c>
      <c r="C82">
        <v>8851356</v>
      </c>
      <c r="D82" s="7">
        <f t="shared" si="2"/>
        <v>44256.78</v>
      </c>
      <c r="E82" s="2">
        <f>VLOOKUP(A82,'2.09.2021'!A$3:'2.09.2021'!I$202,5,)</f>
        <v>44287</v>
      </c>
      <c r="F82" s="2">
        <v>44462</v>
      </c>
      <c r="G82" s="23">
        <f>VLOOKUP(A82,'2.09.2021'!A$3:'2.09.2021'!I$202,7,)</f>
        <v>0.22291666666666665</v>
      </c>
      <c r="H82" t="str">
        <f>VLOOKUP(A82,'2.09.2021'!A$3:'2.09.2021'!I$202,8,)</f>
        <v>LATIN URBAN</v>
      </c>
      <c r="I82" t="str">
        <f>VLOOKUP(A82,'2.09.2021'!A$3:'2.09.2021'!I$202,9,)</f>
        <v>Puerto Rico</v>
      </c>
      <c r="J82" t="str">
        <f t="shared" si="3"/>
        <v>Nu</v>
      </c>
    </row>
    <row r="83" spans="1:10" x14ac:dyDescent="0.2">
      <c r="A83" t="s">
        <v>137</v>
      </c>
      <c r="B83" t="s">
        <v>138</v>
      </c>
      <c r="C83">
        <v>8826147</v>
      </c>
      <c r="D83" s="7">
        <f t="shared" si="2"/>
        <v>44130.735000000001</v>
      </c>
      <c r="E83" s="2">
        <f>VLOOKUP(A83,'2.09.2021'!A$3:'2.09.2021'!I$202,5,)</f>
        <v>44428</v>
      </c>
      <c r="F83" s="2">
        <v>44462</v>
      </c>
      <c r="G83" s="23">
        <f>VLOOKUP(A83,'2.09.2021'!A$3:'2.09.2021'!I$202,7,)</f>
        <v>0.1277777777777778</v>
      </c>
      <c r="H83" t="str">
        <f>VLOOKUP(A83,'2.09.2021'!A$3:'2.09.2021'!I$202,8,)</f>
        <v>POP</v>
      </c>
      <c r="I83" t="str">
        <f>VLOOKUP(A83,'2.09.2021'!A$3:'2.09.2021'!I$202,9,)</f>
        <v>Canada</v>
      </c>
      <c r="J83" t="str">
        <f t="shared" si="3"/>
        <v>Nu</v>
      </c>
    </row>
    <row r="84" spans="1:10" x14ac:dyDescent="0.2">
      <c r="A84" t="s">
        <v>103</v>
      </c>
      <c r="B84" t="s">
        <v>104</v>
      </c>
      <c r="C84">
        <v>8758620</v>
      </c>
      <c r="D84" s="7">
        <f t="shared" si="2"/>
        <v>43793.100000000006</v>
      </c>
      <c r="E84" s="2">
        <f>VLOOKUP(A84,'2.09.2021'!A$3:'2.09.2021'!I$202,5,)</f>
        <v>44229</v>
      </c>
      <c r="F84" s="2">
        <v>44462</v>
      </c>
      <c r="G84" s="23">
        <f>VLOOKUP(A84,'2.09.2021'!A$3:'2.09.2021'!I$202,7,)</f>
        <v>0.14097222222222222</v>
      </c>
      <c r="H84" t="str">
        <f>VLOOKUP(A84,'2.09.2021'!A$3:'2.09.2021'!I$202,8,)</f>
        <v>POP</v>
      </c>
      <c r="I84" t="str">
        <f>VLOOKUP(A84,'2.09.2021'!A$3:'2.09.2021'!I$202,9,)</f>
        <v>SUA</v>
      </c>
      <c r="J84" t="str">
        <f t="shared" si="3"/>
        <v>Nu</v>
      </c>
    </row>
    <row r="85" spans="1:10" x14ac:dyDescent="0.2">
      <c r="A85" t="s">
        <v>101</v>
      </c>
      <c r="B85" t="s">
        <v>102</v>
      </c>
      <c r="C85">
        <v>8746127</v>
      </c>
      <c r="D85" s="7">
        <f t="shared" si="2"/>
        <v>43730.635000000002</v>
      </c>
      <c r="E85" s="2">
        <f>VLOOKUP(A85,'2.09.2021'!A$3:'2.09.2021'!I$202,5,)</f>
        <v>44306</v>
      </c>
      <c r="F85" s="2">
        <v>44462</v>
      </c>
      <c r="G85" s="23">
        <f>VLOOKUP(A85,'2.09.2021'!A$3:'2.09.2021'!I$202,7,)</f>
        <v>0.15347222222222223</v>
      </c>
      <c r="H85" t="str">
        <f>VLOOKUP(A85,'2.09.2021'!A$3:'2.09.2021'!I$202,8,)</f>
        <v>DANCE</v>
      </c>
      <c r="I85" t="str">
        <f>VLOOKUP(A85,'2.09.2021'!A$3:'2.09.2021'!I$202,9,)</f>
        <v>SUA</v>
      </c>
      <c r="J85" t="str">
        <f t="shared" si="3"/>
        <v>Nu</v>
      </c>
    </row>
    <row r="86" spans="1:10" x14ac:dyDescent="0.2">
      <c r="A86" t="s">
        <v>119</v>
      </c>
      <c r="B86" t="s">
        <v>120</v>
      </c>
      <c r="C86">
        <v>8688742</v>
      </c>
      <c r="D86" s="7">
        <f t="shared" si="2"/>
        <v>43443.71</v>
      </c>
      <c r="E86" s="2">
        <f>VLOOKUP(A86,'2.09.2021'!A$3:'2.09.2021'!I$202,5,)</f>
        <v>44438</v>
      </c>
      <c r="F86" s="2">
        <v>44462</v>
      </c>
      <c r="G86" s="23">
        <f>VLOOKUP(A86,'2.09.2021'!A$3:'2.09.2021'!I$202,7,)</f>
        <v>0.16874999999999998</v>
      </c>
      <c r="H86" t="str">
        <f>VLOOKUP(A86,'2.09.2021'!A$3:'2.09.2021'!I$202,8,)</f>
        <v>POP</v>
      </c>
      <c r="I86" t="str">
        <f>VLOOKUP(A86,'2.09.2021'!A$3:'2.09.2021'!I$202,9,)</f>
        <v>Australia</v>
      </c>
      <c r="J86" t="str">
        <f t="shared" si="3"/>
        <v>Nu</v>
      </c>
    </row>
    <row r="87" spans="1:10" x14ac:dyDescent="0.2">
      <c r="A87" t="s">
        <v>319</v>
      </c>
      <c r="B87" t="s">
        <v>52</v>
      </c>
      <c r="C87">
        <v>8602816</v>
      </c>
      <c r="D87" s="7">
        <f t="shared" si="2"/>
        <v>43014.080000000002</v>
      </c>
      <c r="E87" s="2">
        <f>VLOOKUP(A87,'2.09.2021'!A$3:'2.09.2021'!I$202,5,)</f>
        <v>44437</v>
      </c>
      <c r="F87" s="2">
        <v>44462</v>
      </c>
      <c r="G87" s="23">
        <f>VLOOKUP(A87,'2.09.2021'!A$3:'2.09.2021'!I$202,7,)</f>
        <v>0.16805555555555554</v>
      </c>
      <c r="H87" t="str">
        <f>VLOOKUP(A87,'2.09.2021'!A$3:'2.09.2021'!I$202,8,)</f>
        <v>HIP-HOP/RAP</v>
      </c>
      <c r="I87" t="str">
        <f>VLOOKUP(A87,'2.09.2021'!A$3:'2.09.2021'!I$202,9,)</f>
        <v>SUA</v>
      </c>
      <c r="J87" t="str">
        <f t="shared" si="3"/>
        <v>Nu</v>
      </c>
    </row>
    <row r="88" spans="1:10" x14ac:dyDescent="0.2">
      <c r="A88" t="s">
        <v>99</v>
      </c>
      <c r="B88" t="s">
        <v>55</v>
      </c>
      <c r="C88">
        <v>8596692</v>
      </c>
      <c r="D88" s="7">
        <f t="shared" si="2"/>
        <v>42983.459999999992</v>
      </c>
      <c r="E88" s="2">
        <f>VLOOKUP(A88,'2.09.2021'!A$3:'2.09.2021'!I$202,5,)</f>
        <v>44459</v>
      </c>
      <c r="F88" s="2">
        <v>44462</v>
      </c>
      <c r="G88" s="23">
        <f>VLOOKUP(A88,'2.09.2021'!A$3:'2.09.2021'!I$202,7,)</f>
        <v>9.7916666666666666E-2</v>
      </c>
      <c r="H88" t="str">
        <f>VLOOKUP(A88,'2.09.2021'!A$3:'2.09.2021'!I$202,8,)</f>
        <v>K-POP</v>
      </c>
      <c r="I88" t="str">
        <f>VLOOKUP(A88,'2.09.2021'!A$3:'2.09.2021'!I$202,9,)</f>
        <v>Korea de Sud</v>
      </c>
      <c r="J88" t="str">
        <f t="shared" si="3"/>
        <v>Nu</v>
      </c>
    </row>
    <row r="89" spans="1:10" x14ac:dyDescent="0.2">
      <c r="A89" t="s">
        <v>441</v>
      </c>
      <c r="B89" t="s">
        <v>76</v>
      </c>
      <c r="C89">
        <v>8591860</v>
      </c>
      <c r="D89" s="7">
        <f t="shared" si="2"/>
        <v>42959.3</v>
      </c>
      <c r="E89" s="2">
        <f>VLOOKUP(A89,'2.09.2021'!A$3:'2.09.2021'!I$202,5,)</f>
        <v>44370</v>
      </c>
      <c r="F89" s="2">
        <v>44462</v>
      </c>
      <c r="G89" s="23">
        <f>VLOOKUP(A89,'2.09.2021'!A$3:'2.09.2021'!I$202,7,)</f>
        <v>0.18124999999999999</v>
      </c>
      <c r="H89" t="str">
        <f>VLOOKUP(A89,'2.09.2021'!A$3:'2.09.2021'!I$202,8,)</f>
        <v>ROCK</v>
      </c>
      <c r="I89" t="str">
        <f>VLOOKUP(A89,'2.09.2021'!A$3:'2.09.2021'!I$202,9,)</f>
        <v>Marea Britanie</v>
      </c>
      <c r="J89" t="str">
        <f t="shared" si="3"/>
        <v>Da</v>
      </c>
    </row>
    <row r="90" spans="1:10" x14ac:dyDescent="0.2">
      <c r="A90" t="s">
        <v>114</v>
      </c>
      <c r="B90" t="s">
        <v>115</v>
      </c>
      <c r="C90">
        <v>8574019</v>
      </c>
      <c r="D90" s="7">
        <f t="shared" si="2"/>
        <v>42870.095000000001</v>
      </c>
      <c r="E90" s="2">
        <f>VLOOKUP(A90,'2.09.2021'!A$3:'2.09.2021'!I$202,5,)</f>
        <v>44352</v>
      </c>
      <c r="F90" s="2">
        <v>44462</v>
      </c>
      <c r="G90" s="23">
        <f>VLOOKUP(A90,'2.09.2021'!A$3:'2.09.2021'!I$202,7,)</f>
        <v>0.11388888888888889</v>
      </c>
      <c r="H90" t="str">
        <f>VLOOKUP(A90,'2.09.2021'!A$3:'2.09.2021'!I$202,8,)</f>
        <v>HIP-HOP/RAP</v>
      </c>
      <c r="I90" t="str">
        <f>VLOOKUP(A90,'2.09.2021'!A$3:'2.09.2021'!I$202,9,)</f>
        <v>Norvegia</v>
      </c>
      <c r="J90" t="str">
        <f t="shared" si="3"/>
        <v>Nu</v>
      </c>
    </row>
    <row r="91" spans="1:10" x14ac:dyDescent="0.2">
      <c r="A91" t="s">
        <v>85</v>
      </c>
      <c r="B91" t="s">
        <v>86</v>
      </c>
      <c r="C91">
        <v>8573802</v>
      </c>
      <c r="D91" s="7">
        <f t="shared" si="2"/>
        <v>42869.009999999995</v>
      </c>
      <c r="E91" s="2">
        <f>VLOOKUP(A91,'2.09.2021'!A$3:'2.09.2021'!I$202,5,)</f>
        <v>44230</v>
      </c>
      <c r="F91" s="2">
        <v>44462</v>
      </c>
      <c r="G91" s="23">
        <f>VLOOKUP(A91,'2.09.2021'!A$3:'2.09.2021'!I$202,7,)</f>
        <v>9.5833333333333326E-2</v>
      </c>
      <c r="H91" t="str">
        <f>VLOOKUP(A91,'2.09.2021'!A$3:'2.09.2021'!I$202,8,)</f>
        <v>R&amp;B/SOUL</v>
      </c>
      <c r="I91" t="str">
        <f>VLOOKUP(A91,'2.09.2021'!A$3:'2.09.2021'!I$202,9,)</f>
        <v>SUA</v>
      </c>
      <c r="J91" t="str">
        <f t="shared" si="3"/>
        <v>Nu</v>
      </c>
    </row>
    <row r="92" spans="1:10" x14ac:dyDescent="0.2">
      <c r="A92" t="s">
        <v>125</v>
      </c>
      <c r="B92" t="s">
        <v>17</v>
      </c>
      <c r="C92">
        <v>8492457</v>
      </c>
      <c r="D92" s="7">
        <f t="shared" si="2"/>
        <v>42462.285000000003</v>
      </c>
      <c r="E92" s="2">
        <f>VLOOKUP(A92,'2.09.2021'!A$3:'2.09.2021'!I$202,5,)</f>
        <v>44337</v>
      </c>
      <c r="F92" s="2">
        <v>44462</v>
      </c>
      <c r="G92" s="23">
        <f>VLOOKUP(A92,'2.09.2021'!A$3:'2.09.2021'!I$202,7,)</f>
        <v>0.12013888888888889</v>
      </c>
      <c r="H92" t="str">
        <f>VLOOKUP(A92,'2.09.2021'!A$3:'2.09.2021'!I$202,8,)</f>
        <v>POP</v>
      </c>
      <c r="I92" t="str">
        <f>VLOOKUP(A92,'2.09.2021'!A$3:'2.09.2021'!I$202,9,)</f>
        <v>SUA</v>
      </c>
      <c r="J92" t="str">
        <f t="shared" si="3"/>
        <v>Nu</v>
      </c>
    </row>
    <row r="93" spans="1:10" x14ac:dyDescent="0.2">
      <c r="A93" t="s">
        <v>107</v>
      </c>
      <c r="B93" t="s">
        <v>108</v>
      </c>
      <c r="C93">
        <v>8386443</v>
      </c>
      <c r="D93" s="7">
        <f t="shared" si="2"/>
        <v>41932.214999999997</v>
      </c>
      <c r="E93" s="2">
        <f>VLOOKUP(A93,'2.09.2021'!A$3:'2.09.2021'!I$202,5,)</f>
        <v>44466</v>
      </c>
      <c r="F93" s="2">
        <v>44462</v>
      </c>
      <c r="G93" s="23">
        <f>VLOOKUP(A93,'2.09.2021'!A$3:'2.09.2021'!I$202,7,)</f>
        <v>0.16805555555555554</v>
      </c>
      <c r="H93" t="str">
        <f>VLOOKUP(A93,'2.09.2021'!A$3:'2.09.2021'!I$202,8,)</f>
        <v>ROCK</v>
      </c>
      <c r="I93" t="str">
        <f>VLOOKUP(A93,'2.09.2021'!A$3:'2.09.2021'!I$202,9,)</f>
        <v>SUA</v>
      </c>
      <c r="J93" t="str">
        <f t="shared" si="3"/>
        <v>Da</v>
      </c>
    </row>
    <row r="94" spans="1:10" x14ac:dyDescent="0.2">
      <c r="A94" t="s">
        <v>122</v>
      </c>
      <c r="B94" t="s">
        <v>59</v>
      </c>
      <c r="C94">
        <v>8220494</v>
      </c>
      <c r="D94" s="7">
        <f t="shared" si="2"/>
        <v>41102.47</v>
      </c>
      <c r="E94" s="2">
        <f>VLOOKUP(A94,'2.09.2021'!A$3:'2.09.2021'!I$202,5,)</f>
        <v>44336</v>
      </c>
      <c r="F94" s="2">
        <v>44462</v>
      </c>
      <c r="G94" s="23">
        <f>VLOOKUP(A94,'2.09.2021'!A$3:'2.09.2021'!I$202,7,)</f>
        <v>0.12152777777777778</v>
      </c>
      <c r="H94" t="str">
        <f>VLOOKUP(A94,'2.09.2021'!A$3:'2.09.2021'!I$202,8,)</f>
        <v>DANCE</v>
      </c>
      <c r="I94" t="str">
        <f>VLOOKUP(A94,'2.09.2021'!A$3:'2.09.2021'!I$202,9,)</f>
        <v>Olanda</v>
      </c>
      <c r="J94" t="str">
        <f t="shared" si="3"/>
        <v>Nu</v>
      </c>
    </row>
    <row r="95" spans="1:10" x14ac:dyDescent="0.2">
      <c r="A95" t="s">
        <v>208</v>
      </c>
      <c r="B95" t="s">
        <v>209</v>
      </c>
      <c r="C95">
        <v>8163156</v>
      </c>
      <c r="D95" s="7">
        <f t="shared" si="2"/>
        <v>40815.78</v>
      </c>
      <c r="E95" s="2">
        <f>VLOOKUP(A95,'2.09.2021'!A$3:'2.09.2021'!I$202,5,)</f>
        <v>44452</v>
      </c>
      <c r="F95" s="2">
        <v>44462</v>
      </c>
      <c r="G95" s="23">
        <f>VLOOKUP(A95,'2.09.2021'!A$3:'2.09.2021'!I$202,7,)</f>
        <v>0.13819444444444443</v>
      </c>
      <c r="H95" t="str">
        <f>VLOOKUP(A95,'2.09.2021'!A$3:'2.09.2021'!I$202,8,)</f>
        <v>HIP-HOP/RAP</v>
      </c>
      <c r="I95" t="str">
        <f>VLOOKUP(A95,'2.09.2021'!A$3:'2.09.2021'!I$202,9,)</f>
        <v>Brazilia</v>
      </c>
      <c r="J95" t="str">
        <f t="shared" si="3"/>
        <v>Nu</v>
      </c>
    </row>
    <row r="96" spans="1:10" x14ac:dyDescent="0.2">
      <c r="A96" t="s">
        <v>105</v>
      </c>
      <c r="B96" t="s">
        <v>106</v>
      </c>
      <c r="C96">
        <v>8159306</v>
      </c>
      <c r="D96" s="7">
        <f t="shared" si="2"/>
        <v>40796.53</v>
      </c>
      <c r="E96" s="2">
        <f>VLOOKUP(A96,'2.09.2021'!A$3:'2.09.2021'!I$202,5,)</f>
        <v>44377</v>
      </c>
      <c r="F96" s="2">
        <v>44462</v>
      </c>
      <c r="G96" s="23">
        <f>VLOOKUP(A96,'2.09.2021'!A$3:'2.09.2021'!I$202,7,)</f>
        <v>0.14444444444444446</v>
      </c>
      <c r="H96" t="str">
        <f>VLOOKUP(A96,'2.09.2021'!A$3:'2.09.2021'!I$202,8,)</f>
        <v>HIP-HOP/RAP</v>
      </c>
      <c r="I96" t="str">
        <f>VLOOKUP(A96,'2.09.2021'!A$3:'2.09.2021'!I$202,9,)</f>
        <v>Scoția</v>
      </c>
      <c r="J96" t="str">
        <f t="shared" si="3"/>
        <v>Nu</v>
      </c>
    </row>
    <row r="97" spans="1:10" x14ac:dyDescent="0.2">
      <c r="A97" t="s">
        <v>109</v>
      </c>
      <c r="B97" t="s">
        <v>38</v>
      </c>
      <c r="C97">
        <v>8140025</v>
      </c>
      <c r="D97" s="7">
        <f t="shared" si="2"/>
        <v>40700.125</v>
      </c>
      <c r="E97" s="2">
        <f>VLOOKUP(A97,'2.09.2021'!A$3:'2.09.2021'!I$202,5,)</f>
        <v>44248</v>
      </c>
      <c r="F97" s="2">
        <v>44462</v>
      </c>
      <c r="G97" s="23">
        <f>VLOOKUP(A97,'2.09.2021'!A$3:'2.09.2021'!I$202,7,)</f>
        <v>0.1173611111111111</v>
      </c>
      <c r="H97" t="str">
        <f>VLOOKUP(A97,'2.09.2021'!A$3:'2.09.2021'!I$202,8,)</f>
        <v>K-POP</v>
      </c>
      <c r="I97" t="str">
        <f>VLOOKUP(A97,'2.09.2021'!A$3:'2.09.2021'!I$202,9,)</f>
        <v>Marea Britanie</v>
      </c>
      <c r="J97" t="str">
        <f t="shared" si="3"/>
        <v>Nu</v>
      </c>
    </row>
    <row r="98" spans="1:10" x14ac:dyDescent="0.2">
      <c r="A98" t="s">
        <v>28</v>
      </c>
      <c r="B98" t="s">
        <v>29</v>
      </c>
      <c r="C98">
        <v>8106553</v>
      </c>
      <c r="D98" s="7">
        <f t="shared" si="2"/>
        <v>40532.764999999999</v>
      </c>
      <c r="E98" s="2">
        <v>44460</v>
      </c>
      <c r="F98" s="2">
        <v>44462</v>
      </c>
      <c r="G98" s="23">
        <v>0.13958333333333334</v>
      </c>
      <c r="H98" t="s">
        <v>422</v>
      </c>
      <c r="I98" t="s">
        <v>468</v>
      </c>
      <c r="J98" t="str">
        <f t="shared" si="3"/>
        <v>Nu</v>
      </c>
    </row>
    <row r="99" spans="1:10" x14ac:dyDescent="0.2">
      <c r="A99" t="s">
        <v>126</v>
      </c>
      <c r="B99" t="s">
        <v>38</v>
      </c>
      <c r="C99">
        <v>8078512</v>
      </c>
      <c r="D99" s="7">
        <f t="shared" si="2"/>
        <v>40392.559999999998</v>
      </c>
      <c r="E99" s="2">
        <f>VLOOKUP(A99,'2.09.2021'!A$3:'2.09.2021'!I$202,5,)</f>
        <v>44259</v>
      </c>
      <c r="F99" s="2">
        <v>44462</v>
      </c>
      <c r="G99" s="23">
        <f>VLOOKUP(A99,'2.09.2021'!A$3:'2.09.2021'!I$202,7,)</f>
        <v>0.14027777777777778</v>
      </c>
      <c r="H99" t="str">
        <f>VLOOKUP(A99,'2.09.2021'!A$3:'2.09.2021'!I$202,8,)</f>
        <v>ELECTRONIC</v>
      </c>
      <c r="I99" t="str">
        <f>VLOOKUP(A99,'2.09.2021'!A$3:'2.09.2021'!I$202,9,)</f>
        <v>Marea Britanie</v>
      </c>
      <c r="J99" t="str">
        <f t="shared" si="3"/>
        <v>Nu</v>
      </c>
    </row>
    <row r="100" spans="1:10" x14ac:dyDescent="0.2">
      <c r="A100" t="s">
        <v>256</v>
      </c>
      <c r="B100" t="s">
        <v>257</v>
      </c>
      <c r="C100">
        <v>8043658</v>
      </c>
      <c r="D100" s="7">
        <f t="shared" si="2"/>
        <v>40218.29</v>
      </c>
      <c r="E100" s="2">
        <f>VLOOKUP(A100,'2.09.2021'!A$3:'2.09.2021'!I$202,5,)</f>
        <v>44307</v>
      </c>
      <c r="F100" s="2">
        <v>44462</v>
      </c>
      <c r="G100" s="23">
        <f>VLOOKUP(A100,'2.09.2021'!A$3:'2.09.2021'!I$202,7,)</f>
        <v>0.14583333333333334</v>
      </c>
      <c r="H100" t="str">
        <f>VLOOKUP(A100,'2.09.2021'!A$3:'2.09.2021'!I$202,8,)</f>
        <v>R&amp;B/SOUL</v>
      </c>
      <c r="I100" t="str">
        <f>VLOOKUP(A100,'2.09.2021'!A$3:'2.09.2021'!I$202,9,)</f>
        <v>Brazilia</v>
      </c>
      <c r="J100" t="str">
        <f t="shared" si="3"/>
        <v>Nu</v>
      </c>
    </row>
    <row r="101" spans="1:10" x14ac:dyDescent="0.2">
      <c r="A101" t="s">
        <v>133</v>
      </c>
      <c r="B101" t="s">
        <v>17</v>
      </c>
      <c r="C101">
        <v>7929613</v>
      </c>
      <c r="D101" s="7">
        <f t="shared" si="2"/>
        <v>39648.065000000002</v>
      </c>
      <c r="E101" s="2">
        <f>VLOOKUP(A101,'2.09.2021'!A$3:'2.09.2021'!I$202,5,)</f>
        <v>44346</v>
      </c>
      <c r="F101" s="2">
        <v>44462</v>
      </c>
      <c r="G101" s="23">
        <f>VLOOKUP(A101,'2.09.2021'!A$3:'2.09.2021'!I$202,7,)</f>
        <v>0.14930555555555555</v>
      </c>
      <c r="H101" t="str">
        <f>VLOOKUP(A101,'2.09.2021'!A$3:'2.09.2021'!I$202,8,)</f>
        <v>ALTERNATIVE</v>
      </c>
      <c r="I101" t="str">
        <f>VLOOKUP(A101,'2.09.2021'!A$3:'2.09.2021'!I$202,9,)</f>
        <v>SUA</v>
      </c>
      <c r="J101" t="str">
        <f t="shared" si="3"/>
        <v>Nu</v>
      </c>
    </row>
    <row r="102" spans="1:10" x14ac:dyDescent="0.2">
      <c r="A102" t="s">
        <v>450</v>
      </c>
      <c r="B102" t="s">
        <v>55</v>
      </c>
      <c r="C102">
        <v>7911481</v>
      </c>
      <c r="D102" s="7">
        <f t="shared" si="2"/>
        <v>39557.404999999999</v>
      </c>
      <c r="E102" s="2">
        <f>VLOOKUP(A102,'2.09.2021'!A$3:'2.09.2021'!I$202,5,)</f>
        <v>44435</v>
      </c>
      <c r="F102" s="2">
        <v>44462</v>
      </c>
      <c r="G102" s="23">
        <f>VLOOKUP(A102,'2.09.2021'!A$3:'2.09.2021'!I$202,7,)</f>
        <v>0.11388888888888889</v>
      </c>
      <c r="H102" t="str">
        <f>VLOOKUP(A102,'2.09.2021'!A$3:'2.09.2021'!I$202,8,)</f>
        <v>K-POP</v>
      </c>
      <c r="I102" t="str">
        <f>VLOOKUP(A102,'2.09.2021'!A$3:'2.09.2021'!I$202,9,)</f>
        <v>Korea de Sud</v>
      </c>
      <c r="J102" t="str">
        <f t="shared" si="3"/>
        <v>Da</v>
      </c>
    </row>
    <row r="103" spans="1:10" x14ac:dyDescent="0.2">
      <c r="A103" t="s">
        <v>148</v>
      </c>
      <c r="B103" t="s">
        <v>149</v>
      </c>
      <c r="C103">
        <v>7836290</v>
      </c>
      <c r="D103" s="7">
        <f t="shared" si="2"/>
        <v>39181.449999999997</v>
      </c>
      <c r="E103" s="2">
        <f>VLOOKUP(A103,'2.09.2021'!A$3:'2.09.2021'!I$202,5,)</f>
        <v>44309</v>
      </c>
      <c r="F103" s="2">
        <v>44462</v>
      </c>
      <c r="G103" s="23">
        <f>VLOOKUP(A103,'2.09.2021'!A$3:'2.09.2021'!I$202,7,)</f>
        <v>0.19930555555555554</v>
      </c>
      <c r="H103" t="str">
        <f>VLOOKUP(A103,'2.09.2021'!A$3:'2.09.2021'!I$202,8,)</f>
        <v>K-POP</v>
      </c>
      <c r="I103" t="str">
        <f>VLOOKUP(A103,'2.09.2021'!A$3:'2.09.2021'!I$202,9,)</f>
        <v>SUA</v>
      </c>
      <c r="J103" t="str">
        <f t="shared" si="3"/>
        <v>Nu</v>
      </c>
    </row>
    <row r="104" spans="1:10" x14ac:dyDescent="0.2">
      <c r="A104" t="s">
        <v>165</v>
      </c>
      <c r="B104" t="s">
        <v>166</v>
      </c>
      <c r="C104">
        <v>7754498</v>
      </c>
      <c r="D104" s="7">
        <f t="shared" si="2"/>
        <v>38772.49</v>
      </c>
      <c r="E104" s="2">
        <f>VLOOKUP(A104,'2.09.2021'!A$3:'2.09.2021'!I$202,5,)</f>
        <v>44406</v>
      </c>
      <c r="F104" s="2">
        <v>44462</v>
      </c>
      <c r="G104" s="23">
        <f>VLOOKUP(A104,'2.09.2021'!A$3:'2.09.2021'!I$202,7,)</f>
        <v>0.14652777777777778</v>
      </c>
      <c r="H104" t="str">
        <f>VLOOKUP(A104,'2.09.2021'!A$3:'2.09.2021'!I$202,8,)</f>
        <v>LATIN</v>
      </c>
      <c r="I104" t="str">
        <f>VLOOKUP(A104,'2.09.2021'!A$3:'2.09.2021'!I$202,9,)</f>
        <v>India</v>
      </c>
      <c r="J104" t="str">
        <f t="shared" si="3"/>
        <v>Nu</v>
      </c>
    </row>
    <row r="105" spans="1:10" x14ac:dyDescent="0.2">
      <c r="A105" t="s">
        <v>139</v>
      </c>
      <c r="B105" t="s">
        <v>46</v>
      </c>
      <c r="C105">
        <v>7644771</v>
      </c>
      <c r="D105" s="7">
        <f t="shared" si="2"/>
        <v>38223.854999999996</v>
      </c>
      <c r="E105" s="2">
        <f>VLOOKUP(A105,'2.09.2021'!A$3:'2.09.2021'!I$202,5,)</f>
        <v>44209</v>
      </c>
      <c r="F105" s="2">
        <v>44462</v>
      </c>
      <c r="G105" s="23">
        <f>VLOOKUP(A105,'2.09.2021'!A$3:'2.09.2021'!I$202,7,)</f>
        <v>0.16874999999999998</v>
      </c>
      <c r="H105" t="str">
        <f>VLOOKUP(A105,'2.09.2021'!A$3:'2.09.2021'!I$202,8,)</f>
        <v>ELECTRONIC</v>
      </c>
      <c r="I105" t="str">
        <f>VLOOKUP(A105,'2.09.2021'!A$3:'2.09.2021'!I$202,9,)</f>
        <v>Canada</v>
      </c>
      <c r="J105" t="str">
        <f t="shared" si="3"/>
        <v>Nu</v>
      </c>
    </row>
    <row r="106" spans="1:10" x14ac:dyDescent="0.2">
      <c r="A106" t="s">
        <v>205</v>
      </c>
      <c r="B106" t="s">
        <v>206</v>
      </c>
      <c r="C106">
        <v>7598552</v>
      </c>
      <c r="D106" s="7">
        <f t="shared" si="2"/>
        <v>37992.759999999995</v>
      </c>
      <c r="E106" s="2">
        <f>VLOOKUP(A106,'2.09.2021'!A$3:'2.09.2021'!I$202,5,)</f>
        <v>44308</v>
      </c>
      <c r="F106" s="2">
        <v>44462</v>
      </c>
      <c r="G106" s="23">
        <f>VLOOKUP(A106,'2.09.2021'!A$3:'2.09.2021'!I$202,7,)</f>
        <v>0.14722222222222223</v>
      </c>
      <c r="H106" t="str">
        <f>VLOOKUP(A106,'2.09.2021'!A$3:'2.09.2021'!I$202,8,)</f>
        <v>HIP-HOP/RAP</v>
      </c>
      <c r="I106" t="str">
        <f>VLOOKUP(A106,'2.09.2021'!A$3:'2.09.2021'!I$202,9,)</f>
        <v>India</v>
      </c>
      <c r="J106" t="str">
        <f t="shared" si="3"/>
        <v>Nu</v>
      </c>
    </row>
    <row r="107" spans="1:10" x14ac:dyDescent="0.2">
      <c r="A107" t="s">
        <v>445</v>
      </c>
      <c r="B107" t="s">
        <v>140</v>
      </c>
      <c r="C107">
        <v>7559040</v>
      </c>
      <c r="D107" s="7">
        <f t="shared" si="2"/>
        <v>37795.199999999997</v>
      </c>
      <c r="E107" s="2">
        <f>VLOOKUP(A107,'2.09.2021'!A$3:'2.09.2021'!I$202,5,)</f>
        <v>44389</v>
      </c>
      <c r="F107" s="2">
        <v>44462</v>
      </c>
      <c r="G107" s="23">
        <f>VLOOKUP(A107,'2.09.2021'!A$3:'2.09.2021'!I$202,7,)</f>
        <v>0.20694444444444446</v>
      </c>
      <c r="H107" t="str">
        <f>VLOOKUP(A107,'2.09.2021'!A$3:'2.09.2021'!I$202,8,)</f>
        <v>ALTERNATIVE</v>
      </c>
      <c r="I107" t="str">
        <f>VLOOKUP(A107,'2.09.2021'!A$3:'2.09.2021'!I$202,9,)</f>
        <v>SUA</v>
      </c>
      <c r="J107" t="str">
        <f t="shared" si="3"/>
        <v>Da</v>
      </c>
    </row>
    <row r="108" spans="1:10" x14ac:dyDescent="0.2">
      <c r="A108" t="s">
        <v>47</v>
      </c>
      <c r="B108" t="s">
        <v>48</v>
      </c>
      <c r="C108">
        <v>7521280</v>
      </c>
      <c r="D108" s="7">
        <f t="shared" si="2"/>
        <v>37606.400000000001</v>
      </c>
      <c r="E108" s="2">
        <v>44305</v>
      </c>
      <c r="F108" s="2">
        <v>44462</v>
      </c>
      <c r="G108" s="23">
        <v>0.12638888888888888</v>
      </c>
      <c r="H108" t="s">
        <v>423</v>
      </c>
      <c r="I108" t="s">
        <v>468</v>
      </c>
      <c r="J108" t="str">
        <f t="shared" si="3"/>
        <v>Nu</v>
      </c>
    </row>
    <row r="109" spans="1:10" x14ac:dyDescent="0.2">
      <c r="A109" t="s">
        <v>181</v>
      </c>
      <c r="B109" t="s">
        <v>42</v>
      </c>
      <c r="C109">
        <v>7429298</v>
      </c>
      <c r="D109" s="7">
        <f t="shared" si="2"/>
        <v>37146.49</v>
      </c>
      <c r="E109" s="2">
        <f>VLOOKUP(A109,'2.09.2021'!A$3:'2.09.2021'!I$202,5,)</f>
        <v>44316</v>
      </c>
      <c r="F109" s="2">
        <v>44462</v>
      </c>
      <c r="G109" s="23">
        <f>VLOOKUP(A109,'2.09.2021'!A$3:'2.09.2021'!I$202,7,)</f>
        <v>0.12013888888888889</v>
      </c>
      <c r="H109" t="str">
        <f>VLOOKUP(A109,'2.09.2021'!A$3:'2.09.2021'!I$202,8,)</f>
        <v>ELECTRONIC</v>
      </c>
      <c r="I109" t="str">
        <f>VLOOKUP(A109,'2.09.2021'!A$3:'2.09.2021'!I$202,9,)</f>
        <v>Columbia</v>
      </c>
      <c r="J109" t="str">
        <f t="shared" si="3"/>
        <v>Nu</v>
      </c>
    </row>
    <row r="110" spans="1:10" x14ac:dyDescent="0.2">
      <c r="A110" t="s">
        <v>63</v>
      </c>
      <c r="B110" t="s">
        <v>64</v>
      </c>
      <c r="C110">
        <v>7428549</v>
      </c>
      <c r="D110" s="7">
        <f t="shared" si="2"/>
        <v>37142.745000000003</v>
      </c>
      <c r="E110" s="2">
        <v>44290</v>
      </c>
      <c r="F110" s="2">
        <v>44462</v>
      </c>
      <c r="G110" s="23">
        <v>0.20555555555555557</v>
      </c>
      <c r="H110" t="s">
        <v>418</v>
      </c>
      <c r="I110" t="s">
        <v>472</v>
      </c>
      <c r="J110" t="str">
        <f t="shared" si="3"/>
        <v>Nu</v>
      </c>
    </row>
    <row r="111" spans="1:10" x14ac:dyDescent="0.2">
      <c r="A111" t="s">
        <v>248</v>
      </c>
      <c r="B111" t="s">
        <v>211</v>
      </c>
      <c r="C111">
        <v>7346103</v>
      </c>
      <c r="D111" s="7">
        <f t="shared" si="2"/>
        <v>36730.514999999999</v>
      </c>
      <c r="E111" s="2">
        <f>VLOOKUP(A111,'2.09.2021'!A$3:'2.09.2021'!I$202,5,)</f>
        <v>44282</v>
      </c>
      <c r="F111" s="2">
        <v>44462</v>
      </c>
      <c r="G111" s="23">
        <f>VLOOKUP(A111,'2.09.2021'!A$3:'2.09.2021'!I$202,7,)</f>
        <v>9.7916666666666666E-2</v>
      </c>
      <c r="H111" t="str">
        <f>VLOOKUP(A111,'2.09.2021'!A$3:'2.09.2021'!I$202,8,)</f>
        <v>R&amp;B/SOUL</v>
      </c>
      <c r="I111" t="str">
        <f>VLOOKUP(A111,'2.09.2021'!A$3:'2.09.2021'!I$202,9,)</f>
        <v>SUA</v>
      </c>
      <c r="J111" t="str">
        <f t="shared" si="3"/>
        <v>Nu</v>
      </c>
    </row>
    <row r="112" spans="1:10" x14ac:dyDescent="0.2">
      <c r="A112" t="s">
        <v>320</v>
      </c>
      <c r="B112" t="s">
        <v>52</v>
      </c>
      <c r="C112">
        <v>7326845</v>
      </c>
      <c r="D112" s="7">
        <f t="shared" si="2"/>
        <v>36634.224999999999</v>
      </c>
      <c r="E112" s="2">
        <f>VLOOKUP(A112,'2.09.2021'!A$3:'2.09.2021'!I$202,5,)</f>
        <v>44437</v>
      </c>
      <c r="F112" s="2">
        <v>44462</v>
      </c>
      <c r="G112" s="23">
        <f>VLOOKUP(A112,'2.09.2021'!A$3:'2.09.2021'!I$202,7,)</f>
        <v>0.13541666666666666</v>
      </c>
      <c r="H112" t="str">
        <f>VLOOKUP(A112,'2.09.2021'!A$3:'2.09.2021'!I$202,8,)</f>
        <v>HIP-HOP/RAP</v>
      </c>
      <c r="I112" t="str">
        <f>VLOOKUP(A112,'2.09.2021'!A$3:'2.09.2021'!I$202,9,)</f>
        <v>SUA</v>
      </c>
      <c r="J112" t="str">
        <f t="shared" si="3"/>
        <v>Nu</v>
      </c>
    </row>
    <row r="113" spans="1:10" x14ac:dyDescent="0.2">
      <c r="A113" t="s">
        <v>150</v>
      </c>
      <c r="B113" t="s">
        <v>151</v>
      </c>
      <c r="C113">
        <v>7291791</v>
      </c>
      <c r="D113" s="7">
        <f t="shared" si="2"/>
        <v>36458.955000000002</v>
      </c>
      <c r="E113" s="2">
        <f>VLOOKUP(A113,'2.09.2021'!A$3:'2.09.2021'!I$202,5,)</f>
        <v>44244</v>
      </c>
      <c r="F113" s="2">
        <v>44462</v>
      </c>
      <c r="G113" s="23">
        <f>VLOOKUP(A113,'2.09.2021'!A$3:'2.09.2021'!I$202,7,)</f>
        <v>0.1173611111111111</v>
      </c>
      <c r="H113" t="str">
        <f>VLOOKUP(A113,'2.09.2021'!A$3:'2.09.2021'!I$202,8,)</f>
        <v>LATIN URBAN</v>
      </c>
      <c r="I113" t="str">
        <f>VLOOKUP(A113,'2.09.2021'!A$3:'2.09.2021'!I$202,9,)</f>
        <v>Brazilia</v>
      </c>
      <c r="J113" t="str">
        <f t="shared" si="3"/>
        <v>Nu</v>
      </c>
    </row>
    <row r="114" spans="1:10" x14ac:dyDescent="0.2">
      <c r="A114" t="s">
        <v>444</v>
      </c>
      <c r="B114" t="s">
        <v>121</v>
      </c>
      <c r="C114">
        <v>7264709</v>
      </c>
      <c r="D114" s="7">
        <f t="shared" si="2"/>
        <v>36323.544999999998</v>
      </c>
      <c r="E114" s="2">
        <f>VLOOKUP(A114,'2.09.2021'!A$3:'2.09.2021'!I$202,5,)</f>
        <v>43945</v>
      </c>
      <c r="F114" s="2">
        <v>44462</v>
      </c>
      <c r="G114" s="23">
        <f>VLOOKUP(A114,'2.09.2021'!A$3:'2.09.2021'!I$202,7,)</f>
        <v>9.0277777777777776E-2</v>
      </c>
      <c r="H114" t="str">
        <f>VLOOKUP(A114,'2.09.2021'!A$3:'2.09.2021'!I$202,8,)</f>
        <v>R&amp;B/SOUL</v>
      </c>
      <c r="I114" t="str">
        <f>VLOOKUP(A114,'2.09.2021'!A$3:'2.09.2021'!I$202,9,)</f>
        <v>Canada</v>
      </c>
      <c r="J114" t="str">
        <f t="shared" si="3"/>
        <v>Da</v>
      </c>
    </row>
    <row r="115" spans="1:10" x14ac:dyDescent="0.2">
      <c r="A115" t="s">
        <v>155</v>
      </c>
      <c r="B115" t="s">
        <v>156</v>
      </c>
      <c r="C115">
        <v>7181875</v>
      </c>
      <c r="D115" s="7">
        <f t="shared" si="2"/>
        <v>35909.375</v>
      </c>
      <c r="E115" s="2">
        <f>VLOOKUP(A115,'2.09.2021'!A$3:'2.09.2021'!I$202,5,)</f>
        <v>44245</v>
      </c>
      <c r="F115" s="2">
        <v>44462</v>
      </c>
      <c r="G115" s="23">
        <f>VLOOKUP(A115,'2.09.2021'!A$3:'2.09.2021'!I$202,7,)</f>
        <v>0.10069444444444443</v>
      </c>
      <c r="H115" t="str">
        <f>VLOOKUP(A115,'2.09.2021'!A$3:'2.09.2021'!I$202,8,)</f>
        <v>RHYTHM &amp; BLUES</v>
      </c>
      <c r="I115" t="str">
        <f>VLOOKUP(A115,'2.09.2021'!A$3:'2.09.2021'!I$202,9,)</f>
        <v>SUA</v>
      </c>
      <c r="J115" t="str">
        <f t="shared" si="3"/>
        <v>Nu</v>
      </c>
    </row>
    <row r="116" spans="1:10" x14ac:dyDescent="0.2">
      <c r="A116" t="s">
        <v>146</v>
      </c>
      <c r="B116" t="s">
        <v>147</v>
      </c>
      <c r="C116">
        <v>7174720</v>
      </c>
      <c r="D116" s="7">
        <f t="shared" si="2"/>
        <v>35873.599999999999</v>
      </c>
      <c r="E116" s="2">
        <f>VLOOKUP(A116,'2.09.2021'!A$3:'2.09.2021'!I$202,5,)</f>
        <v>44370</v>
      </c>
      <c r="F116" s="2">
        <v>44462</v>
      </c>
      <c r="G116" s="23">
        <f>VLOOKUP(A116,'2.09.2021'!A$3:'2.09.2021'!I$202,7,)</f>
        <v>0.15972222222222224</v>
      </c>
      <c r="H116" t="str">
        <f>VLOOKUP(A116,'2.09.2021'!A$3:'2.09.2021'!I$202,8,)</f>
        <v>HIP-HOP/RAP</v>
      </c>
      <c r="I116" t="str">
        <f>VLOOKUP(A116,'2.09.2021'!A$3:'2.09.2021'!I$202,9,)</f>
        <v>SUA</v>
      </c>
      <c r="J116" t="str">
        <f t="shared" si="3"/>
        <v>Nu</v>
      </c>
    </row>
    <row r="117" spans="1:10" x14ac:dyDescent="0.2">
      <c r="A117" t="s">
        <v>321</v>
      </c>
      <c r="B117" t="s">
        <v>52</v>
      </c>
      <c r="C117">
        <v>7132248</v>
      </c>
      <c r="D117" s="7">
        <f t="shared" si="2"/>
        <v>35661.24</v>
      </c>
      <c r="E117" s="2">
        <f>VLOOKUP(A117,'2.09.2021'!A$3:'2.09.2021'!I$202,5,)</f>
        <v>44437</v>
      </c>
      <c r="F117" s="2">
        <v>44462</v>
      </c>
      <c r="G117" s="23">
        <f>VLOOKUP(A117,'2.09.2021'!A$3:'2.09.2021'!I$202,7,)</f>
        <v>0.12361111111111112</v>
      </c>
      <c r="H117" t="str">
        <f>VLOOKUP(A117,'2.09.2021'!A$3:'2.09.2021'!I$202,8,)</f>
        <v>HIP-HOP/RAP</v>
      </c>
      <c r="I117" t="str">
        <f>VLOOKUP(A117,'2.09.2021'!A$3:'2.09.2021'!I$202,9,)</f>
        <v>SUA</v>
      </c>
      <c r="J117" t="str">
        <f t="shared" si="3"/>
        <v>Nu</v>
      </c>
    </row>
    <row r="118" spans="1:10" x14ac:dyDescent="0.2">
      <c r="A118" t="s">
        <v>322</v>
      </c>
      <c r="B118" t="s">
        <v>52</v>
      </c>
      <c r="C118">
        <v>7103738</v>
      </c>
      <c r="D118" s="7">
        <f t="shared" si="2"/>
        <v>35518.69</v>
      </c>
      <c r="E118" s="2">
        <f>VLOOKUP(A118,'2.09.2021'!A$3:'2.09.2021'!I$202,5,)</f>
        <v>44437</v>
      </c>
      <c r="F118" s="2">
        <v>44462</v>
      </c>
      <c r="G118" s="23">
        <f>VLOOKUP(A118,'2.09.2021'!A$3:'2.09.2021'!I$202,7,)</f>
        <v>0.10069444444444443</v>
      </c>
      <c r="H118" t="str">
        <f>VLOOKUP(A118,'2.09.2021'!A$3:'2.09.2021'!I$202,8,)</f>
        <v>HIP-HOP/RAP</v>
      </c>
      <c r="I118" t="str">
        <f>VLOOKUP(A118,'2.09.2021'!A$3:'2.09.2021'!I$202,9,)</f>
        <v>SUA</v>
      </c>
      <c r="J118" t="str">
        <f t="shared" si="3"/>
        <v>Nu</v>
      </c>
    </row>
    <row r="119" spans="1:10" x14ac:dyDescent="0.2">
      <c r="A119" t="s">
        <v>170</v>
      </c>
      <c r="B119" t="s">
        <v>171</v>
      </c>
      <c r="C119">
        <v>7102072</v>
      </c>
      <c r="D119" s="7">
        <f t="shared" si="2"/>
        <v>35510.36</v>
      </c>
      <c r="E119" s="2">
        <f>VLOOKUP(A119,'2.09.2021'!A$3:'2.09.2021'!I$202,5,)</f>
        <v>44446</v>
      </c>
      <c r="F119" s="2">
        <v>44462</v>
      </c>
      <c r="G119" s="23">
        <f>VLOOKUP(A119,'2.09.2021'!A$3:'2.09.2021'!I$202,7,)</f>
        <v>9.5138888888888884E-2</v>
      </c>
      <c r="H119" t="str">
        <f>VLOOKUP(A119,'2.09.2021'!A$3:'2.09.2021'!I$202,8,)</f>
        <v>ALTERNATIVE</v>
      </c>
      <c r="I119" t="str">
        <f>VLOOKUP(A119,'2.09.2021'!A$3:'2.09.2021'!I$202,9,)</f>
        <v>SUA</v>
      </c>
      <c r="J119" t="str">
        <f t="shared" si="3"/>
        <v>Nu</v>
      </c>
    </row>
    <row r="120" spans="1:10" x14ac:dyDescent="0.2">
      <c r="A120" t="s">
        <v>323</v>
      </c>
      <c r="B120" t="s">
        <v>318</v>
      </c>
      <c r="C120">
        <v>7059474</v>
      </c>
      <c r="D120" s="7">
        <f t="shared" si="2"/>
        <v>35297.370000000003</v>
      </c>
      <c r="E120" s="2">
        <v>44384</v>
      </c>
      <c r="F120" s="2">
        <v>44462</v>
      </c>
      <c r="G120" s="23">
        <v>0.11458333333333333</v>
      </c>
      <c r="H120" t="s">
        <v>422</v>
      </c>
      <c r="I120" t="s">
        <v>487</v>
      </c>
      <c r="J120" t="str">
        <f t="shared" si="3"/>
        <v>Nu</v>
      </c>
    </row>
    <row r="121" spans="1:10" x14ac:dyDescent="0.2">
      <c r="A121" t="s">
        <v>272</v>
      </c>
      <c r="B121" t="s">
        <v>273</v>
      </c>
      <c r="C121">
        <v>7045385</v>
      </c>
      <c r="D121" s="7">
        <f t="shared" si="2"/>
        <v>35226.925000000003</v>
      </c>
      <c r="E121" s="2">
        <f>VLOOKUP(A121,'2.09.2021'!A$3:'2.09.2021'!I$202,5,)</f>
        <v>44360</v>
      </c>
      <c r="F121" s="2">
        <v>44462</v>
      </c>
      <c r="G121" s="23">
        <f>VLOOKUP(A121,'2.09.2021'!A$3:'2.09.2021'!I$202,7,)</f>
        <v>0.15694444444444444</v>
      </c>
      <c r="H121" t="str">
        <f>VLOOKUP(A121,'2.09.2021'!A$3:'2.09.2021'!I$202,8,)</f>
        <v>POP</v>
      </c>
      <c r="I121" t="str">
        <f>VLOOKUP(A121,'2.09.2021'!A$3:'2.09.2021'!I$202,9,)</f>
        <v>India</v>
      </c>
      <c r="J121" t="str">
        <f t="shared" si="3"/>
        <v>Nu</v>
      </c>
    </row>
    <row r="122" spans="1:10" x14ac:dyDescent="0.2">
      <c r="A122" t="s">
        <v>456</v>
      </c>
      <c r="B122" t="s">
        <v>324</v>
      </c>
      <c r="C122">
        <v>6936068</v>
      </c>
      <c r="D122" s="7">
        <f t="shared" si="2"/>
        <v>34680.340000000004</v>
      </c>
      <c r="E122" s="2">
        <f>VLOOKUP(A122,'2.09.2021'!A$3:'2.09.2021'!I$202,5,)</f>
        <v>44409</v>
      </c>
      <c r="F122" s="2">
        <v>44462</v>
      </c>
      <c r="G122" s="23">
        <f>VLOOKUP(A122,'2.09.2021'!A$3:'2.09.2021'!I$202,7,)</f>
        <v>8.5416666666666655E-2</v>
      </c>
      <c r="H122" t="str">
        <f>VLOOKUP(A122,'2.09.2021'!A$3:'2.09.2021'!I$202,8,)</f>
        <v>ROCK</v>
      </c>
      <c r="I122" t="str">
        <f>VLOOKUP(A122,'2.09.2021'!A$3:'2.09.2021'!I$202,9,)</f>
        <v>SUA</v>
      </c>
      <c r="J122" t="str">
        <f t="shared" si="3"/>
        <v>Da</v>
      </c>
    </row>
    <row r="123" spans="1:10" x14ac:dyDescent="0.2">
      <c r="A123" t="s">
        <v>325</v>
      </c>
      <c r="B123" t="s">
        <v>326</v>
      </c>
      <c r="C123">
        <v>6924282</v>
      </c>
      <c r="D123" s="7">
        <f t="shared" si="2"/>
        <v>34621.410000000003</v>
      </c>
      <c r="E123" s="2">
        <f>VLOOKUP(A123,'2.09.2021'!A$3:'2.09.2021'!I$202,5,)</f>
        <v>42909</v>
      </c>
      <c r="F123" s="2">
        <v>44462</v>
      </c>
      <c r="G123" s="23">
        <f>VLOOKUP(A123,'2.09.2021'!A$3:'2.09.2021'!I$202,7,)</f>
        <v>0.13749999999999998</v>
      </c>
      <c r="H123" t="str">
        <f>VLOOKUP(A123,'2.09.2021'!A$3:'2.09.2021'!I$202,8,)</f>
        <v>RHYTHM &amp; BLUES</v>
      </c>
      <c r="I123" t="str">
        <f>VLOOKUP(A123,'2.09.2021'!A$3:'2.09.2021'!I$202,9,)</f>
        <v>Brazilia</v>
      </c>
      <c r="J123" t="str">
        <f t="shared" si="3"/>
        <v>Nu</v>
      </c>
    </row>
    <row r="124" spans="1:10" x14ac:dyDescent="0.2">
      <c r="A124" t="s">
        <v>130</v>
      </c>
      <c r="B124" t="s">
        <v>23</v>
      </c>
      <c r="C124">
        <v>6909297</v>
      </c>
      <c r="D124" s="7">
        <f t="shared" si="2"/>
        <v>34546.485000000001</v>
      </c>
      <c r="E124" s="2">
        <f>VLOOKUP(A124,'2.09.2021'!A$3:'2.09.2021'!I$202,5,)</f>
        <v>44385</v>
      </c>
      <c r="F124" s="2">
        <v>44462</v>
      </c>
      <c r="G124" s="23">
        <f>VLOOKUP(A124,'2.09.2021'!A$3:'2.09.2021'!I$202,7,)</f>
        <v>0.16805555555555554</v>
      </c>
      <c r="H124" t="str">
        <f>VLOOKUP(A124,'2.09.2021'!A$3:'2.09.2021'!I$202,8,)</f>
        <v>LATIN URBAN</v>
      </c>
      <c r="I124" t="str">
        <f>VLOOKUP(A124,'2.09.2021'!A$3:'2.09.2021'!I$202,9,)</f>
        <v>SUA</v>
      </c>
      <c r="J124" t="str">
        <f t="shared" si="3"/>
        <v>Da</v>
      </c>
    </row>
    <row r="125" spans="1:10" x14ac:dyDescent="0.2">
      <c r="A125" t="s">
        <v>453</v>
      </c>
      <c r="B125" t="s">
        <v>20</v>
      </c>
      <c r="C125">
        <v>6880532</v>
      </c>
      <c r="D125" s="7">
        <f t="shared" si="2"/>
        <v>34402.660000000003</v>
      </c>
      <c r="E125" s="2">
        <f>VLOOKUP(A125,'2.09.2021'!A$3:'2.09.2021'!I$202,5,)</f>
        <v>44381</v>
      </c>
      <c r="F125" s="2">
        <v>44462</v>
      </c>
      <c r="G125" s="23">
        <f>VLOOKUP(A125,'2.09.2021'!A$3:'2.09.2021'!I$202,7,)</f>
        <v>0.14444444444444446</v>
      </c>
      <c r="H125" t="str">
        <f>VLOOKUP(A125,'2.09.2021'!A$3:'2.09.2021'!I$202,8,)</f>
        <v>HIP-HOP/RAP</v>
      </c>
      <c r="I125" t="str">
        <f>VLOOKUP(A125,'2.09.2021'!A$3:'2.09.2021'!I$202,9,)</f>
        <v>Canada</v>
      </c>
      <c r="J125" t="str">
        <f t="shared" si="3"/>
        <v>Da</v>
      </c>
    </row>
    <row r="126" spans="1:10" x14ac:dyDescent="0.2">
      <c r="A126" t="s">
        <v>161</v>
      </c>
      <c r="B126" t="s">
        <v>162</v>
      </c>
      <c r="C126">
        <v>6865146</v>
      </c>
      <c r="D126" s="7">
        <f t="shared" si="2"/>
        <v>34325.729999999996</v>
      </c>
      <c r="E126" s="2">
        <f>VLOOKUP(A126,'2.09.2021'!A$3:'2.09.2021'!I$202,5,)</f>
        <v>44408</v>
      </c>
      <c r="F126" s="2">
        <v>44462</v>
      </c>
      <c r="G126" s="23">
        <f>VLOOKUP(A126,'2.09.2021'!A$3:'2.09.2021'!I$202,7,)</f>
        <v>0.15277777777777776</v>
      </c>
      <c r="H126" t="str">
        <f>VLOOKUP(A126,'2.09.2021'!A$3:'2.09.2021'!I$202,8,)</f>
        <v>HIP-HOP/RAP</v>
      </c>
      <c r="I126" t="str">
        <f>VLOOKUP(A126,'2.09.2021'!A$3:'2.09.2021'!I$202,9,)</f>
        <v>Australia</v>
      </c>
      <c r="J126" t="str">
        <f t="shared" si="3"/>
        <v>Nu</v>
      </c>
    </row>
    <row r="127" spans="1:10" x14ac:dyDescent="0.2">
      <c r="A127" t="s">
        <v>221</v>
      </c>
      <c r="B127" t="s">
        <v>222</v>
      </c>
      <c r="C127">
        <v>6859659</v>
      </c>
      <c r="D127" s="7">
        <f t="shared" si="2"/>
        <v>34298.294999999998</v>
      </c>
      <c r="E127" s="2">
        <f>VLOOKUP(A127,'2.09.2021'!A$3:'2.09.2021'!I$202,5,)</f>
        <v>44286</v>
      </c>
      <c r="F127" s="2">
        <v>44462</v>
      </c>
      <c r="G127" s="23">
        <f>VLOOKUP(A127,'2.09.2021'!A$3:'2.09.2021'!I$202,7,)</f>
        <v>8.8888888888888892E-2</v>
      </c>
      <c r="H127" t="str">
        <f>VLOOKUP(A127,'2.09.2021'!A$3:'2.09.2021'!I$202,8,)</f>
        <v>HIP-HOP/RAP</v>
      </c>
      <c r="I127" t="str">
        <f>VLOOKUP(A127,'2.09.2021'!A$3:'2.09.2021'!I$202,9,)</f>
        <v>Brazilia</v>
      </c>
      <c r="J127" t="str">
        <f t="shared" si="3"/>
        <v>Nu</v>
      </c>
    </row>
    <row r="128" spans="1:10" x14ac:dyDescent="0.2">
      <c r="A128" t="s">
        <v>157</v>
      </c>
      <c r="B128" t="s">
        <v>158</v>
      </c>
      <c r="C128">
        <v>6850165</v>
      </c>
      <c r="D128" s="7">
        <f t="shared" si="2"/>
        <v>34250.824999999997</v>
      </c>
      <c r="E128" s="2">
        <f>VLOOKUP(A128,'2.09.2021'!A$3:'2.09.2021'!I$202,5,)</f>
        <v>44245</v>
      </c>
      <c r="F128" s="2">
        <v>44462</v>
      </c>
      <c r="G128" s="23">
        <f>VLOOKUP(A128,'2.09.2021'!A$3:'2.09.2021'!I$202,7,)</f>
        <v>0.14305555555555557</v>
      </c>
      <c r="H128" t="str">
        <f>VLOOKUP(A128,'2.09.2021'!A$3:'2.09.2021'!I$202,8,)</f>
        <v>POP</v>
      </c>
      <c r="I128" t="str">
        <f>VLOOKUP(A128,'2.09.2021'!A$3:'2.09.2021'!I$202,9,)</f>
        <v>SUA</v>
      </c>
      <c r="J128" t="str">
        <f t="shared" si="3"/>
        <v>Nu</v>
      </c>
    </row>
    <row r="129" spans="1:10" x14ac:dyDescent="0.2">
      <c r="A129" t="s">
        <v>153</v>
      </c>
      <c r="B129" t="s">
        <v>154</v>
      </c>
      <c r="C129">
        <v>6819373</v>
      </c>
      <c r="D129" s="7">
        <f t="shared" si="2"/>
        <v>34096.864999999998</v>
      </c>
      <c r="E129" s="2">
        <f>VLOOKUP(A129,'2.09.2021'!A$3:'2.09.2021'!I$202,5,)</f>
        <v>44307</v>
      </c>
      <c r="F129" s="2">
        <v>44462</v>
      </c>
      <c r="G129" s="23">
        <f>VLOOKUP(A129,'2.09.2021'!A$3:'2.09.2021'!I$202,7,)</f>
        <v>0.15069444444444444</v>
      </c>
      <c r="H129" t="str">
        <f>VLOOKUP(A129,'2.09.2021'!A$3:'2.09.2021'!I$202,8,)</f>
        <v>POP</v>
      </c>
      <c r="I129" t="str">
        <f>VLOOKUP(A129,'2.09.2021'!A$3:'2.09.2021'!I$202,9,)</f>
        <v>SUA</v>
      </c>
      <c r="J129" t="str">
        <f t="shared" si="3"/>
        <v>Nu</v>
      </c>
    </row>
    <row r="130" spans="1:10" x14ac:dyDescent="0.2">
      <c r="A130" t="s">
        <v>152</v>
      </c>
      <c r="B130" t="s">
        <v>106</v>
      </c>
      <c r="C130">
        <v>6744648</v>
      </c>
      <c r="D130" s="7">
        <f t="shared" si="2"/>
        <v>33723.24</v>
      </c>
      <c r="E130" s="2">
        <f>VLOOKUP(A130,'2.09.2021'!A$3:'2.09.2021'!I$202,5,)</f>
        <v>44226</v>
      </c>
      <c r="F130" s="2">
        <v>44462</v>
      </c>
      <c r="G130" s="23">
        <f>VLOOKUP(A130,'2.09.2021'!A$3:'2.09.2021'!I$202,7,)</f>
        <v>0.13541666666666666</v>
      </c>
      <c r="H130" t="str">
        <f>VLOOKUP(A130,'2.09.2021'!A$3:'2.09.2021'!I$202,8,)</f>
        <v>HIP-HOP/RAP</v>
      </c>
      <c r="I130" t="str">
        <f>VLOOKUP(A130,'2.09.2021'!A$3:'2.09.2021'!I$202,9,)</f>
        <v>Scoția</v>
      </c>
      <c r="J130" t="str">
        <f t="shared" si="3"/>
        <v>Nu</v>
      </c>
    </row>
    <row r="131" spans="1:10" x14ac:dyDescent="0.2">
      <c r="A131" t="s">
        <v>220</v>
      </c>
      <c r="B131" t="s">
        <v>215</v>
      </c>
      <c r="C131">
        <v>6665219</v>
      </c>
      <c r="D131" s="7">
        <f t="shared" si="2"/>
        <v>33326.095000000001</v>
      </c>
      <c r="E131" s="2">
        <f>VLOOKUP(A131,'2.09.2021'!A$3:'2.09.2021'!I$202,5,)</f>
        <v>44412</v>
      </c>
      <c r="F131" s="2">
        <v>44462</v>
      </c>
      <c r="G131" s="23">
        <f>VLOOKUP(A131,'2.09.2021'!A$3:'2.09.2021'!I$202,7,)</f>
        <v>0.1673611111111111</v>
      </c>
      <c r="H131" t="str">
        <f>VLOOKUP(A131,'2.09.2021'!A$3:'2.09.2021'!I$202,8,)</f>
        <v>POP</v>
      </c>
      <c r="I131" t="str">
        <f>VLOOKUP(A131,'2.09.2021'!A$3:'2.09.2021'!I$202,9,)</f>
        <v>Puerto Rico</v>
      </c>
      <c r="J131" t="str">
        <f t="shared" si="3"/>
        <v>Nu</v>
      </c>
    </row>
    <row r="132" spans="1:10" x14ac:dyDescent="0.2">
      <c r="A132" t="s">
        <v>179</v>
      </c>
      <c r="B132" t="s">
        <v>180</v>
      </c>
      <c r="C132">
        <v>6636958</v>
      </c>
      <c r="D132" s="7">
        <f t="shared" ref="D132:D195" si="4">(C132/1000*5)</f>
        <v>33184.79</v>
      </c>
      <c r="E132" s="2">
        <f>VLOOKUP(A132,'2.09.2021'!A$3:'2.09.2021'!I$202,5,)</f>
        <v>44303</v>
      </c>
      <c r="F132" s="2">
        <v>44462</v>
      </c>
      <c r="G132" s="23">
        <f>VLOOKUP(A132,'2.09.2021'!A$3:'2.09.2021'!I$202,7,)</f>
        <v>0.15902777777777777</v>
      </c>
      <c r="H132" t="str">
        <f>VLOOKUP(A132,'2.09.2021'!A$3:'2.09.2021'!I$202,8,)</f>
        <v>HIP-HOP/RAP</v>
      </c>
      <c r="I132" t="str">
        <f>VLOOKUP(A132,'2.09.2021'!A$3:'2.09.2021'!I$202,9,)</f>
        <v>Olanda</v>
      </c>
      <c r="J132" t="str">
        <f t="shared" ref="J132:J195" si="5">IF(ISNUMBER(SEARCH("with",A132)),"Da","Nu")</f>
        <v>Nu</v>
      </c>
    </row>
    <row r="133" spans="1:10" x14ac:dyDescent="0.2">
      <c r="A133" t="s">
        <v>327</v>
      </c>
      <c r="B133" t="s">
        <v>52</v>
      </c>
      <c r="C133">
        <v>6632754</v>
      </c>
      <c r="D133" s="7">
        <f t="shared" si="4"/>
        <v>33163.769999999997</v>
      </c>
      <c r="E133" s="2">
        <f>VLOOKUP(A133,'2.09.2021'!A$3:'2.09.2021'!I$202,5,)</f>
        <v>44437</v>
      </c>
      <c r="F133" s="2">
        <v>44462</v>
      </c>
      <c r="G133" s="23">
        <f>VLOOKUP(A133,'2.09.2021'!A$3:'2.09.2021'!I$202,7,)</f>
        <v>0.14097222222222222</v>
      </c>
      <c r="H133" t="str">
        <f>VLOOKUP(A133,'2.09.2021'!A$3:'2.09.2021'!I$202,8,)</f>
        <v>HIP-HOP/RAP</v>
      </c>
      <c r="I133" t="str">
        <f>VLOOKUP(A133,'2.09.2021'!A$3:'2.09.2021'!I$202,9,)</f>
        <v>SUA</v>
      </c>
      <c r="J133" t="str">
        <f t="shared" si="5"/>
        <v>Nu</v>
      </c>
    </row>
    <row r="134" spans="1:10" x14ac:dyDescent="0.2">
      <c r="A134" t="s">
        <v>194</v>
      </c>
      <c r="B134" t="s">
        <v>12</v>
      </c>
      <c r="C134">
        <v>6625929</v>
      </c>
      <c r="D134" s="7">
        <f t="shared" si="4"/>
        <v>33129.645000000004</v>
      </c>
      <c r="E134" s="2">
        <f>VLOOKUP(A134,'2.09.2021'!A$3:'2.09.2021'!I$202,5,)</f>
        <v>44262</v>
      </c>
      <c r="F134" s="2">
        <v>44462</v>
      </c>
      <c r="G134" s="23">
        <f>VLOOKUP(A134,'2.09.2021'!A$3:'2.09.2021'!I$202,7,)</f>
        <v>0.10833333333333334</v>
      </c>
      <c r="H134" t="str">
        <f>VLOOKUP(A134,'2.09.2021'!A$3:'2.09.2021'!I$202,8,)</f>
        <v>LATIN URBAN</v>
      </c>
      <c r="I134" t="str">
        <f>VLOOKUP(A134,'2.09.2021'!A$3:'2.09.2021'!I$202,9,)</f>
        <v>SUA</v>
      </c>
      <c r="J134" t="str">
        <f t="shared" si="5"/>
        <v>Nu</v>
      </c>
    </row>
    <row r="135" spans="1:10" x14ac:dyDescent="0.2">
      <c r="A135" t="s">
        <v>163</v>
      </c>
      <c r="B135" t="s">
        <v>164</v>
      </c>
      <c r="C135">
        <v>6613583</v>
      </c>
      <c r="D135" s="7">
        <f t="shared" si="4"/>
        <v>33067.915000000001</v>
      </c>
      <c r="E135" s="2">
        <f>VLOOKUP(A135,'2.09.2021'!A$3:'2.09.2021'!I$202,5,)</f>
        <v>44412</v>
      </c>
      <c r="F135" s="2">
        <v>44462</v>
      </c>
      <c r="G135" s="23">
        <f>VLOOKUP(A135,'2.09.2021'!A$3:'2.09.2021'!I$202,7,)</f>
        <v>0.10069444444444443</v>
      </c>
      <c r="H135" t="str">
        <f>VLOOKUP(A135,'2.09.2021'!A$3:'2.09.2021'!I$202,8,)</f>
        <v>HIP-HOP/RAP</v>
      </c>
      <c r="I135" t="str">
        <f>VLOOKUP(A135,'2.09.2021'!A$3:'2.09.2021'!I$202,9,)</f>
        <v>SUA</v>
      </c>
      <c r="J135" t="str">
        <f t="shared" si="5"/>
        <v>Nu</v>
      </c>
    </row>
    <row r="136" spans="1:10" x14ac:dyDescent="0.2">
      <c r="A136" t="s">
        <v>136</v>
      </c>
      <c r="B136" t="s">
        <v>10</v>
      </c>
      <c r="C136">
        <v>6549237</v>
      </c>
      <c r="D136" s="7">
        <f t="shared" si="4"/>
        <v>32746.185000000001</v>
      </c>
      <c r="E136" s="2">
        <f>VLOOKUP(A136,'2.09.2021'!A$3:'2.09.2021'!I$202,5,)</f>
        <v>44240</v>
      </c>
      <c r="F136" s="2">
        <v>44462</v>
      </c>
      <c r="G136" s="23">
        <f>VLOOKUP(A136,'2.09.2021'!A$3:'2.09.2021'!I$202,7,)</f>
        <v>0.13958333333333334</v>
      </c>
      <c r="H136" t="str">
        <f>VLOOKUP(A136,'2.09.2021'!A$3:'2.09.2021'!I$202,8,)</f>
        <v>POP</v>
      </c>
      <c r="I136" t="str">
        <f>VLOOKUP(A136,'2.09.2021'!A$3:'2.09.2021'!I$202,9,)</f>
        <v>Marea Britanie</v>
      </c>
      <c r="J136" t="str">
        <f t="shared" si="5"/>
        <v>Nu</v>
      </c>
    </row>
    <row r="137" spans="1:10" x14ac:dyDescent="0.2">
      <c r="A137" t="s">
        <v>328</v>
      </c>
      <c r="B137" t="s">
        <v>329</v>
      </c>
      <c r="C137">
        <v>6548822</v>
      </c>
      <c r="D137" s="7">
        <f t="shared" si="4"/>
        <v>32744.11</v>
      </c>
      <c r="E137" s="2">
        <v>44339</v>
      </c>
      <c r="F137" s="2">
        <v>44462</v>
      </c>
      <c r="G137" s="23">
        <v>0.26458333333333334</v>
      </c>
      <c r="H137" t="s">
        <v>423</v>
      </c>
      <c r="I137" t="s">
        <v>468</v>
      </c>
      <c r="J137" t="str">
        <f t="shared" si="5"/>
        <v>Nu</v>
      </c>
    </row>
    <row r="138" spans="1:10" x14ac:dyDescent="0.2">
      <c r="A138" t="s">
        <v>452</v>
      </c>
      <c r="B138" t="s">
        <v>233</v>
      </c>
      <c r="C138">
        <v>6544280</v>
      </c>
      <c r="D138" s="7">
        <f t="shared" si="4"/>
        <v>32721.399999999998</v>
      </c>
      <c r="E138" s="2">
        <f>VLOOKUP(A138,'2.09.2021'!A$3:'2.09.2021'!I$202,5,)</f>
        <v>44341</v>
      </c>
      <c r="F138" s="2">
        <v>44462</v>
      </c>
      <c r="G138" s="23">
        <f>VLOOKUP(A138,'2.09.2021'!A$3:'2.09.2021'!I$202,7,)</f>
        <v>0.14097222222222222</v>
      </c>
      <c r="H138" t="str">
        <f>VLOOKUP(A138,'2.09.2021'!A$3:'2.09.2021'!I$202,8,)</f>
        <v>HIP-HOP/RAP</v>
      </c>
      <c r="I138" t="str">
        <f>VLOOKUP(A138,'2.09.2021'!A$3:'2.09.2021'!I$202,9,)</f>
        <v>SUA</v>
      </c>
      <c r="J138" t="str">
        <f t="shared" si="5"/>
        <v>Da</v>
      </c>
    </row>
    <row r="139" spans="1:10" x14ac:dyDescent="0.2">
      <c r="A139" t="s">
        <v>249</v>
      </c>
      <c r="B139" t="s">
        <v>250</v>
      </c>
      <c r="C139">
        <v>6481155</v>
      </c>
      <c r="D139" s="7">
        <f t="shared" si="4"/>
        <v>32405.774999999998</v>
      </c>
      <c r="E139" s="2">
        <f>VLOOKUP(A139,'2.09.2021'!A$3:'2.09.2021'!I$202,5,)</f>
        <v>44340</v>
      </c>
      <c r="F139" s="2">
        <v>44462</v>
      </c>
      <c r="G139" s="23">
        <f>VLOOKUP(A139,'2.09.2021'!A$3:'2.09.2021'!I$202,7,)</f>
        <v>0.23541666666666669</v>
      </c>
      <c r="H139" t="str">
        <f>VLOOKUP(A139,'2.09.2021'!A$3:'2.09.2021'!I$202,8,)</f>
        <v>LATIN URBAN</v>
      </c>
      <c r="I139" t="str">
        <f>VLOOKUP(A139,'2.09.2021'!A$3:'2.09.2021'!I$202,9,)</f>
        <v>Suedia</v>
      </c>
      <c r="J139" t="str">
        <f t="shared" si="5"/>
        <v>Da</v>
      </c>
    </row>
    <row r="140" spans="1:10" x14ac:dyDescent="0.2">
      <c r="A140" t="s">
        <v>330</v>
      </c>
      <c r="B140" t="s">
        <v>10</v>
      </c>
      <c r="C140">
        <v>6479386</v>
      </c>
      <c r="D140" s="7">
        <f t="shared" si="4"/>
        <v>32396.93</v>
      </c>
      <c r="E140" s="2">
        <f>VLOOKUP(A140,'2.09.2021'!A$3:'2.09.2021'!I$202,5,)</f>
        <v>44254</v>
      </c>
      <c r="F140" s="2">
        <v>44462</v>
      </c>
      <c r="G140" s="23">
        <f>VLOOKUP(A140,'2.09.2021'!A$3:'2.09.2021'!I$202,7,)</f>
        <v>0.14722222222222223</v>
      </c>
      <c r="H140" t="str">
        <f>VLOOKUP(A140,'2.09.2021'!A$3:'2.09.2021'!I$202,8,)</f>
        <v>POP</v>
      </c>
      <c r="I140" t="str">
        <f>VLOOKUP(A140,'2.09.2021'!A$3:'2.09.2021'!I$202,9,)</f>
        <v>Marea Britanie</v>
      </c>
      <c r="J140" t="str">
        <f t="shared" si="5"/>
        <v>Nu</v>
      </c>
    </row>
    <row r="141" spans="1:10" x14ac:dyDescent="0.2">
      <c r="A141" t="s">
        <v>172</v>
      </c>
      <c r="B141" t="s">
        <v>173</v>
      </c>
      <c r="C141">
        <v>6467218</v>
      </c>
      <c r="D141" s="7">
        <f t="shared" si="4"/>
        <v>32336.09</v>
      </c>
      <c r="E141" s="2">
        <f>VLOOKUP(A141,'2.09.2021'!A$3:'2.09.2021'!I$202,5,)</f>
        <v>44227</v>
      </c>
      <c r="F141" s="2">
        <v>44462</v>
      </c>
      <c r="G141" s="23">
        <f>VLOOKUP(A141,'2.09.2021'!A$3:'2.09.2021'!I$202,7,)</f>
        <v>0.23124999999999998</v>
      </c>
      <c r="H141" t="str">
        <f>VLOOKUP(A141,'2.09.2021'!A$3:'2.09.2021'!I$202,8,)</f>
        <v>HIP-HOP/RAP</v>
      </c>
      <c r="I141" t="str">
        <f>VLOOKUP(A141,'2.09.2021'!A$3:'2.09.2021'!I$202,9,)</f>
        <v>SUA</v>
      </c>
      <c r="J141" t="str">
        <f t="shared" si="5"/>
        <v>Nu</v>
      </c>
    </row>
    <row r="142" spans="1:10" x14ac:dyDescent="0.2">
      <c r="A142" t="s">
        <v>197</v>
      </c>
      <c r="B142" t="s">
        <v>1</v>
      </c>
      <c r="C142">
        <v>6422603</v>
      </c>
      <c r="D142" s="7">
        <f t="shared" si="4"/>
        <v>32113.014999999999</v>
      </c>
      <c r="E142" s="2">
        <f>VLOOKUP(A142,'2.09.2021'!A$3:'2.09.2021'!I$202,5,)</f>
        <v>44243</v>
      </c>
      <c r="F142" s="2">
        <v>44462</v>
      </c>
      <c r="G142" s="23">
        <f>VLOOKUP(A142,'2.09.2021'!A$3:'2.09.2021'!I$202,7,)</f>
        <v>0.11388888888888889</v>
      </c>
      <c r="H142" t="str">
        <f>VLOOKUP(A142,'2.09.2021'!A$3:'2.09.2021'!I$202,8,)</f>
        <v>LATIN URBAN</v>
      </c>
      <c r="I142" t="str">
        <f>VLOOKUP(A142,'2.09.2021'!A$3:'2.09.2021'!I$202,9,)</f>
        <v>Australia</v>
      </c>
      <c r="J142" t="str">
        <f t="shared" si="5"/>
        <v>Da</v>
      </c>
    </row>
    <row r="143" spans="1:10" x14ac:dyDescent="0.2">
      <c r="A143" t="s">
        <v>168</v>
      </c>
      <c r="B143" t="s">
        <v>158</v>
      </c>
      <c r="C143">
        <v>6408406</v>
      </c>
      <c r="D143" s="7">
        <f t="shared" si="4"/>
        <v>32042.03</v>
      </c>
      <c r="E143" s="2">
        <f>VLOOKUP(A143,'2.09.2021'!A$3:'2.09.2021'!I$202,5,)</f>
        <v>44464</v>
      </c>
      <c r="F143" s="2">
        <v>44462</v>
      </c>
      <c r="G143" s="23">
        <f>VLOOKUP(A143,'2.09.2021'!A$3:'2.09.2021'!I$202,7,)</f>
        <v>0.12361111111111112</v>
      </c>
      <c r="H143" t="str">
        <f>VLOOKUP(A143,'2.09.2021'!A$3:'2.09.2021'!I$202,8,)</f>
        <v>LATIN URBAN</v>
      </c>
      <c r="I143" t="str">
        <f>VLOOKUP(A143,'2.09.2021'!A$3:'2.09.2021'!I$202,9,)</f>
        <v>SUA</v>
      </c>
      <c r="J143" t="str">
        <f t="shared" si="5"/>
        <v>Nu</v>
      </c>
    </row>
    <row r="144" spans="1:10" x14ac:dyDescent="0.2">
      <c r="A144" t="s">
        <v>218</v>
      </c>
      <c r="B144" t="s">
        <v>219</v>
      </c>
      <c r="C144">
        <v>6401330</v>
      </c>
      <c r="D144" s="7">
        <f t="shared" si="4"/>
        <v>32006.65</v>
      </c>
      <c r="E144" s="2">
        <f>VLOOKUP(A144,'2.09.2021'!A$3:'2.09.2021'!I$202,5,)</f>
        <v>44320</v>
      </c>
      <c r="F144" s="2">
        <v>44462</v>
      </c>
      <c r="G144" s="23">
        <f>VLOOKUP(A144,'2.09.2021'!A$3:'2.09.2021'!I$202,7,)</f>
        <v>0.18958333333333333</v>
      </c>
      <c r="H144" t="str">
        <f>VLOOKUP(A144,'2.09.2021'!A$3:'2.09.2021'!I$202,8,)</f>
        <v>POP</v>
      </c>
      <c r="I144" t="str">
        <f>VLOOKUP(A144,'2.09.2021'!A$3:'2.09.2021'!I$202,9,)</f>
        <v>Puerto Rico</v>
      </c>
      <c r="J144" t="str">
        <f t="shared" si="5"/>
        <v>Nu</v>
      </c>
    </row>
    <row r="145" spans="1:10" x14ac:dyDescent="0.2">
      <c r="A145" t="s">
        <v>186</v>
      </c>
      <c r="B145" t="s">
        <v>38</v>
      </c>
      <c r="C145">
        <v>6362178</v>
      </c>
      <c r="D145" s="7">
        <f t="shared" si="4"/>
        <v>31810.89</v>
      </c>
      <c r="E145" s="2">
        <f>VLOOKUP(A145,'2.09.2021'!A$3:'2.09.2021'!I$202,5,)</f>
        <v>44315</v>
      </c>
      <c r="F145" s="2">
        <v>44462</v>
      </c>
      <c r="G145" s="23">
        <f>VLOOKUP(A145,'2.09.2021'!A$3:'2.09.2021'!I$202,7,)</f>
        <v>0.14097222222222222</v>
      </c>
      <c r="H145" t="str">
        <f>VLOOKUP(A145,'2.09.2021'!A$3:'2.09.2021'!I$202,8,)</f>
        <v>LATIN URBAN</v>
      </c>
      <c r="I145" t="str">
        <f>VLOOKUP(A145,'2.09.2021'!A$3:'2.09.2021'!I$202,9,)</f>
        <v>Marea Britanie</v>
      </c>
      <c r="J145" t="str">
        <f t="shared" si="5"/>
        <v>Nu</v>
      </c>
    </row>
    <row r="146" spans="1:10" x14ac:dyDescent="0.2">
      <c r="A146" t="s">
        <v>331</v>
      </c>
      <c r="B146" t="s">
        <v>288</v>
      </c>
      <c r="C146">
        <v>6356257</v>
      </c>
      <c r="D146" s="7">
        <f t="shared" si="4"/>
        <v>31781.284999999996</v>
      </c>
      <c r="E146" s="2">
        <f>VLOOKUP(A146,'2.09.2021'!A$3:'2.09.2021'!I$202,5,)</f>
        <v>44346</v>
      </c>
      <c r="F146" s="2">
        <v>44462</v>
      </c>
      <c r="G146" s="23">
        <f>VLOOKUP(A146,'2.09.2021'!A$3:'2.09.2021'!I$202,7,)</f>
        <v>0.14722222222222223</v>
      </c>
      <c r="H146" t="str">
        <f>VLOOKUP(A146,'2.09.2021'!A$3:'2.09.2021'!I$202,8,)</f>
        <v>LATIN URBAN</v>
      </c>
      <c r="I146" t="str">
        <f>VLOOKUP(A146,'2.09.2021'!A$3:'2.09.2021'!I$202,9,)</f>
        <v>Brazilia</v>
      </c>
      <c r="J146" t="str">
        <f t="shared" si="5"/>
        <v>Nu</v>
      </c>
    </row>
    <row r="147" spans="1:10" x14ac:dyDescent="0.2">
      <c r="A147" t="s">
        <v>332</v>
      </c>
      <c r="B147" t="s">
        <v>52</v>
      </c>
      <c r="C147">
        <v>6354920</v>
      </c>
      <c r="D147" s="7">
        <f t="shared" si="4"/>
        <v>31774.6</v>
      </c>
      <c r="E147" s="2">
        <f>VLOOKUP(A147,'2.09.2021'!A$3:'2.09.2021'!I$202,5,)</f>
        <v>44437</v>
      </c>
      <c r="F147" s="2">
        <v>44462</v>
      </c>
      <c r="G147" s="23">
        <f>VLOOKUP(A147,'2.09.2021'!A$3:'2.09.2021'!I$202,7,)</f>
        <v>0.24861111111111112</v>
      </c>
      <c r="H147" t="str">
        <f>VLOOKUP(A147,'2.09.2021'!A$3:'2.09.2021'!I$202,8,)</f>
        <v>HIP-HOP/RAP</v>
      </c>
      <c r="I147" t="str">
        <f>VLOOKUP(A147,'2.09.2021'!A$3:'2.09.2021'!I$202,9,)</f>
        <v>SUA</v>
      </c>
      <c r="J147" t="str">
        <f t="shared" si="5"/>
        <v>Nu</v>
      </c>
    </row>
    <row r="148" spans="1:10" x14ac:dyDescent="0.2">
      <c r="A148" t="s">
        <v>333</v>
      </c>
      <c r="B148" t="s">
        <v>334</v>
      </c>
      <c r="C148">
        <v>6352131</v>
      </c>
      <c r="D148" s="7">
        <f t="shared" si="4"/>
        <v>31760.655000000002</v>
      </c>
      <c r="E148" s="2">
        <f>VLOOKUP(A148,'2.09.2021'!A$3:'2.09.2021'!I$202,5,)</f>
        <v>44351</v>
      </c>
      <c r="F148" s="2">
        <v>44462</v>
      </c>
      <c r="G148" s="23">
        <f>VLOOKUP(A148,'2.09.2021'!A$3:'2.09.2021'!I$202,7,)</f>
        <v>0.11458333333333333</v>
      </c>
      <c r="H148" t="str">
        <f>VLOOKUP(A148,'2.09.2021'!A$3:'2.09.2021'!I$202,8,)</f>
        <v>HIP-HOP/RAP</v>
      </c>
      <c r="I148" t="str">
        <f>VLOOKUP(A148,'2.09.2021'!A$3:'2.09.2021'!I$202,9,)</f>
        <v>Brazilia</v>
      </c>
      <c r="J148" t="str">
        <f t="shared" si="5"/>
        <v>Nu</v>
      </c>
    </row>
    <row r="149" spans="1:10" x14ac:dyDescent="0.2">
      <c r="A149" t="s">
        <v>169</v>
      </c>
      <c r="B149" t="s">
        <v>10</v>
      </c>
      <c r="C149">
        <v>6343313</v>
      </c>
      <c r="D149" s="7">
        <f t="shared" si="4"/>
        <v>31716.565000000002</v>
      </c>
      <c r="E149" s="2">
        <f>VLOOKUP(A149,'2.09.2021'!A$3:'2.09.2021'!I$202,5,)</f>
        <v>44309</v>
      </c>
      <c r="F149" s="2">
        <v>44462</v>
      </c>
      <c r="G149" s="23">
        <f>VLOOKUP(A149,'2.09.2021'!A$3:'2.09.2021'!I$202,7,)</f>
        <v>0.1076388888888889</v>
      </c>
      <c r="H149" t="str">
        <f>VLOOKUP(A149,'2.09.2021'!A$3:'2.09.2021'!I$202,8,)</f>
        <v>LATIN URBAN</v>
      </c>
      <c r="I149" t="str">
        <f>VLOOKUP(A149,'2.09.2021'!A$3:'2.09.2021'!I$202,9,)</f>
        <v>Marea Britanie</v>
      </c>
      <c r="J149" t="str">
        <f t="shared" si="5"/>
        <v>Nu</v>
      </c>
    </row>
    <row r="150" spans="1:10" x14ac:dyDescent="0.2">
      <c r="A150" t="s">
        <v>236</v>
      </c>
      <c r="B150" t="s">
        <v>17</v>
      </c>
      <c r="C150">
        <v>6338064</v>
      </c>
      <c r="D150" s="7">
        <f t="shared" si="4"/>
        <v>31690.32</v>
      </c>
      <c r="E150" s="2">
        <f>VLOOKUP(A150,'2.09.2021'!A$3:'2.09.2021'!I$202,5,)</f>
        <v>44347</v>
      </c>
      <c r="F150" s="2">
        <v>44462</v>
      </c>
      <c r="G150" s="23">
        <f>VLOOKUP(A150,'2.09.2021'!A$3:'2.09.2021'!I$202,7,)</f>
        <v>0.12013888888888889</v>
      </c>
      <c r="H150" t="str">
        <f>VLOOKUP(A150,'2.09.2021'!A$3:'2.09.2021'!I$202,8,)</f>
        <v>HIP-HOP/RAP</v>
      </c>
      <c r="I150" t="str">
        <f>VLOOKUP(A150,'2.09.2021'!A$3:'2.09.2021'!I$202,9,)</f>
        <v>SUA</v>
      </c>
      <c r="J150" t="str">
        <f t="shared" si="5"/>
        <v>Nu</v>
      </c>
    </row>
    <row r="151" spans="1:10" x14ac:dyDescent="0.2">
      <c r="A151" t="s">
        <v>454</v>
      </c>
      <c r="B151" t="s">
        <v>279</v>
      </c>
      <c r="C151">
        <v>6326987</v>
      </c>
      <c r="D151" s="7">
        <f t="shared" si="4"/>
        <v>31634.935000000001</v>
      </c>
      <c r="E151" s="2">
        <f>VLOOKUP(A151,'2.09.2021'!A$3:'2.09.2021'!I$202,5,)</f>
        <v>44383</v>
      </c>
      <c r="F151" s="2">
        <v>44462</v>
      </c>
      <c r="G151" s="23">
        <f>VLOOKUP(A151,'2.09.2021'!A$3:'2.09.2021'!I$202,7,)</f>
        <v>0.13958333333333334</v>
      </c>
      <c r="H151" t="str">
        <f>VLOOKUP(A151,'2.09.2021'!A$3:'2.09.2021'!I$202,8,)</f>
        <v>HIP-HOP/RAP</v>
      </c>
      <c r="I151" t="str">
        <f>VLOOKUP(A151,'2.09.2021'!A$3:'2.09.2021'!I$202,9,)</f>
        <v>Argentina</v>
      </c>
      <c r="J151" t="str">
        <f t="shared" si="5"/>
        <v>Da</v>
      </c>
    </row>
    <row r="152" spans="1:10" x14ac:dyDescent="0.2">
      <c r="A152" t="s">
        <v>66</v>
      </c>
      <c r="B152" t="s">
        <v>67</v>
      </c>
      <c r="C152">
        <v>6277466</v>
      </c>
      <c r="D152" s="7">
        <f t="shared" si="4"/>
        <v>31387.33</v>
      </c>
      <c r="E152" s="2">
        <v>43714</v>
      </c>
      <c r="F152" s="2">
        <v>44462</v>
      </c>
      <c r="G152" s="23">
        <v>9.930555555555555E-2</v>
      </c>
      <c r="H152" t="s">
        <v>422</v>
      </c>
      <c r="I152" t="s">
        <v>468</v>
      </c>
      <c r="J152" t="str">
        <f t="shared" si="5"/>
        <v>Nu</v>
      </c>
    </row>
    <row r="153" spans="1:10" x14ac:dyDescent="0.2">
      <c r="A153" t="s">
        <v>449</v>
      </c>
      <c r="B153" t="s">
        <v>76</v>
      </c>
      <c r="C153">
        <v>6222805</v>
      </c>
      <c r="D153" s="7">
        <f t="shared" si="4"/>
        <v>31114.025000000001</v>
      </c>
      <c r="E153" s="2">
        <f>VLOOKUP(A153,'2.09.2021'!A$3:'2.09.2021'!I$202,5,)</f>
        <v>44391</v>
      </c>
      <c r="F153" s="2">
        <v>44462</v>
      </c>
      <c r="G153" s="23">
        <f>VLOOKUP(A153,'2.09.2021'!A$3:'2.09.2021'!I$202,7,)</f>
        <v>0.10208333333333335</v>
      </c>
      <c r="H153" t="str">
        <f>VLOOKUP(A153,'2.09.2021'!A$3:'2.09.2021'!I$202,8,)</f>
        <v>LATIN URBAN</v>
      </c>
      <c r="I153" t="str">
        <f>VLOOKUP(A153,'2.09.2021'!A$3:'2.09.2021'!I$202,9,)</f>
        <v>Marea Britanie</v>
      </c>
      <c r="J153" t="str">
        <f t="shared" si="5"/>
        <v>Da</v>
      </c>
    </row>
    <row r="154" spans="1:10" x14ac:dyDescent="0.2">
      <c r="A154" t="s">
        <v>159</v>
      </c>
      <c r="B154" t="s">
        <v>160</v>
      </c>
      <c r="C154">
        <v>6197901</v>
      </c>
      <c r="D154" s="7">
        <f t="shared" si="4"/>
        <v>30989.504999999997</v>
      </c>
      <c r="E154" s="2">
        <f>VLOOKUP(A154,'2.09.2021'!A$3:'2.09.2021'!I$202,5,)</f>
        <v>44329</v>
      </c>
      <c r="F154" s="2">
        <v>44462</v>
      </c>
      <c r="G154" s="23">
        <f>VLOOKUP(A154,'2.09.2021'!A$3:'2.09.2021'!I$202,7,)</f>
        <v>0.14930555555555555</v>
      </c>
      <c r="H154" t="str">
        <f>VLOOKUP(A154,'2.09.2021'!A$3:'2.09.2021'!I$202,8,)</f>
        <v>RHYTHM &amp; BLUES</v>
      </c>
      <c r="I154" t="str">
        <f>VLOOKUP(A154,'2.09.2021'!A$3:'2.09.2021'!I$202,9,)</f>
        <v>SUA</v>
      </c>
      <c r="J154" t="str">
        <f t="shared" si="5"/>
        <v>Nu</v>
      </c>
    </row>
    <row r="155" spans="1:10" x14ac:dyDescent="0.2">
      <c r="A155" t="s">
        <v>335</v>
      </c>
      <c r="B155" t="s">
        <v>52</v>
      </c>
      <c r="C155">
        <v>6168953</v>
      </c>
      <c r="D155" s="7">
        <f t="shared" si="4"/>
        <v>30844.765000000003</v>
      </c>
      <c r="E155" s="2">
        <f>VLOOKUP(A155,'2.09.2021'!A$3:'2.09.2021'!I$202,5,)</f>
        <v>44437</v>
      </c>
      <c r="F155" s="2">
        <v>44462</v>
      </c>
      <c r="G155" s="23">
        <f>VLOOKUP(A155,'2.09.2021'!A$3:'2.09.2021'!I$202,7,)</f>
        <v>0.13749999999999998</v>
      </c>
      <c r="H155" t="str">
        <f>VLOOKUP(A155,'2.09.2021'!A$3:'2.09.2021'!I$202,8,)</f>
        <v>HIP-HOP/RAP</v>
      </c>
      <c r="I155" t="str">
        <f>VLOOKUP(A155,'2.09.2021'!A$3:'2.09.2021'!I$202,9,)</f>
        <v>SUA</v>
      </c>
      <c r="J155" t="str">
        <f t="shared" si="5"/>
        <v>Nu</v>
      </c>
    </row>
    <row r="156" spans="1:10" x14ac:dyDescent="0.2">
      <c r="A156" t="s">
        <v>198</v>
      </c>
      <c r="B156" t="s">
        <v>138</v>
      </c>
      <c r="C156">
        <v>6057587</v>
      </c>
      <c r="D156" s="7">
        <f t="shared" si="4"/>
        <v>30287.935000000001</v>
      </c>
      <c r="E156" s="2">
        <f>VLOOKUP(A156,'2.09.2021'!A$3:'2.09.2021'!I$202,5,)</f>
        <v>44295</v>
      </c>
      <c r="F156" s="2">
        <v>44462</v>
      </c>
      <c r="G156" s="23">
        <f>VLOOKUP(A156,'2.09.2021'!A$3:'2.09.2021'!I$202,7,)</f>
        <v>0.37361111111111112</v>
      </c>
      <c r="H156" t="str">
        <f>VLOOKUP(A156,'2.09.2021'!A$3:'2.09.2021'!I$202,8,)</f>
        <v>K-POP</v>
      </c>
      <c r="I156" t="str">
        <f>VLOOKUP(A156,'2.09.2021'!A$3:'2.09.2021'!I$202,9,)</f>
        <v>Canada</v>
      </c>
      <c r="J156" t="str">
        <f t="shared" si="5"/>
        <v>Nu</v>
      </c>
    </row>
    <row r="157" spans="1:10" x14ac:dyDescent="0.2">
      <c r="A157" t="s">
        <v>336</v>
      </c>
      <c r="B157" t="s">
        <v>337</v>
      </c>
      <c r="C157">
        <v>6025166</v>
      </c>
      <c r="D157" s="7">
        <f t="shared" si="4"/>
        <v>30125.83</v>
      </c>
      <c r="E157" s="2">
        <f>VLOOKUP(A157,'2.09.2021'!A$3:'2.09.2021'!I$202,5,)</f>
        <v>44304</v>
      </c>
      <c r="F157" s="2">
        <v>44462</v>
      </c>
      <c r="G157" s="23">
        <f>VLOOKUP(A157,'2.09.2021'!A$3:'2.09.2021'!I$202,7,)</f>
        <v>0.14930555555555555</v>
      </c>
      <c r="H157" t="str">
        <f>VLOOKUP(A157,'2.09.2021'!A$3:'2.09.2021'!I$202,8,)</f>
        <v>HIP-HOP/RAP</v>
      </c>
      <c r="I157" t="str">
        <f>VLOOKUP(A157,'2.09.2021'!A$3:'2.09.2021'!I$202,9,)</f>
        <v>Puerto Rico</v>
      </c>
      <c r="J157" t="str">
        <f t="shared" si="5"/>
        <v>Nu</v>
      </c>
    </row>
    <row r="158" spans="1:10" x14ac:dyDescent="0.2">
      <c r="A158" t="s">
        <v>253</v>
      </c>
      <c r="B158" t="s">
        <v>34</v>
      </c>
      <c r="C158">
        <v>6011124</v>
      </c>
      <c r="D158" s="7">
        <f t="shared" si="4"/>
        <v>30055.62</v>
      </c>
      <c r="E158" s="2">
        <f>VLOOKUP(A158,'2.09.2021'!A$3:'2.09.2021'!I$202,5,)</f>
        <v>44454</v>
      </c>
      <c r="F158" s="2">
        <v>44462</v>
      </c>
      <c r="G158" s="23">
        <f>VLOOKUP(A158,'2.09.2021'!A$3:'2.09.2021'!I$202,7,)</f>
        <v>0.17500000000000002</v>
      </c>
      <c r="H158" t="str">
        <f>VLOOKUP(A158,'2.09.2021'!A$3:'2.09.2021'!I$202,8,)</f>
        <v>DANCE</v>
      </c>
      <c r="I158" t="str">
        <f>VLOOKUP(A158,'2.09.2021'!A$3:'2.09.2021'!I$202,9,)</f>
        <v>Puerto Rico</v>
      </c>
      <c r="J158" t="str">
        <f t="shared" si="5"/>
        <v>Nu</v>
      </c>
    </row>
    <row r="159" spans="1:10" x14ac:dyDescent="0.2">
      <c r="A159" t="s">
        <v>254</v>
      </c>
      <c r="B159" t="s">
        <v>255</v>
      </c>
      <c r="C159">
        <v>6008272</v>
      </c>
      <c r="D159" s="7">
        <f t="shared" si="4"/>
        <v>30041.360000000001</v>
      </c>
      <c r="E159" s="2">
        <f>VLOOKUP(A159,'2.09.2021'!A$3:'2.09.2021'!I$202,5,)</f>
        <v>44339</v>
      </c>
      <c r="F159" s="2">
        <v>44462</v>
      </c>
      <c r="G159" s="23">
        <f>VLOOKUP(A159,'2.09.2021'!A$3:'2.09.2021'!I$202,7,)</f>
        <v>0.24861111111111112</v>
      </c>
      <c r="H159" t="str">
        <f>VLOOKUP(A159,'2.09.2021'!A$3:'2.09.2021'!I$202,8,)</f>
        <v>ROCK</v>
      </c>
      <c r="I159" t="str">
        <f>VLOOKUP(A159,'2.09.2021'!A$3:'2.09.2021'!I$202,9,)</f>
        <v>Țara Galilor</v>
      </c>
      <c r="J159" t="str">
        <f t="shared" si="5"/>
        <v>Nu</v>
      </c>
    </row>
    <row r="160" spans="1:10" x14ac:dyDescent="0.2">
      <c r="A160" t="s">
        <v>338</v>
      </c>
      <c r="B160" t="s">
        <v>339</v>
      </c>
      <c r="C160">
        <v>6007138</v>
      </c>
      <c r="D160" s="7">
        <f t="shared" si="4"/>
        <v>30035.69</v>
      </c>
      <c r="E160" s="2">
        <f>VLOOKUP(A160,'2.09.2021'!A$3:'2.09.2021'!I$202,5,)</f>
        <v>44427</v>
      </c>
      <c r="F160" s="2">
        <v>44462</v>
      </c>
      <c r="G160" s="23">
        <f>VLOOKUP(A160,'2.09.2021'!A$3:'2.09.2021'!I$202,7,)</f>
        <v>0.20625000000000002</v>
      </c>
      <c r="H160" t="str">
        <f>VLOOKUP(A160,'2.09.2021'!A$3:'2.09.2021'!I$202,8,)</f>
        <v>ALTERNATIVE</v>
      </c>
      <c r="I160" t="str">
        <f>VLOOKUP(A160,'2.09.2021'!A$3:'2.09.2021'!I$202,9,)</f>
        <v>SUA</v>
      </c>
      <c r="J160" t="str">
        <f t="shared" si="5"/>
        <v>Da</v>
      </c>
    </row>
    <row r="161" spans="1:10" x14ac:dyDescent="0.2">
      <c r="A161" t="s">
        <v>184</v>
      </c>
      <c r="B161" t="s">
        <v>185</v>
      </c>
      <c r="C161">
        <v>5999762</v>
      </c>
      <c r="D161" s="7">
        <f t="shared" si="4"/>
        <v>29998.809999999998</v>
      </c>
      <c r="E161" s="2">
        <f>VLOOKUP(A161,'2.09.2021'!A$3:'2.09.2021'!I$202,5,)</f>
        <v>44321</v>
      </c>
      <c r="F161" s="2">
        <v>44462</v>
      </c>
      <c r="G161" s="23">
        <f>VLOOKUP(A161,'2.09.2021'!A$3:'2.09.2021'!I$202,7,)</f>
        <v>0.16805555555555554</v>
      </c>
      <c r="H161" t="str">
        <f>VLOOKUP(A161,'2.09.2021'!A$3:'2.09.2021'!I$202,8,)</f>
        <v>HIP-HOP/RAP</v>
      </c>
      <c r="I161" t="str">
        <f>VLOOKUP(A161,'2.09.2021'!A$3:'2.09.2021'!I$202,9,)</f>
        <v>SUA</v>
      </c>
      <c r="J161" t="str">
        <f t="shared" si="5"/>
        <v>Nu</v>
      </c>
    </row>
    <row r="162" spans="1:10" x14ac:dyDescent="0.2">
      <c r="A162" t="s">
        <v>340</v>
      </c>
      <c r="B162" t="s">
        <v>147</v>
      </c>
      <c r="C162">
        <v>5989165</v>
      </c>
      <c r="D162" s="7">
        <f t="shared" si="4"/>
        <v>29945.825000000001</v>
      </c>
      <c r="E162" s="2">
        <v>44318</v>
      </c>
      <c r="F162" s="2">
        <v>44462</v>
      </c>
      <c r="G162" s="23">
        <v>0.12083333333333333</v>
      </c>
      <c r="H162" t="s">
        <v>433</v>
      </c>
      <c r="I162" t="s">
        <v>468</v>
      </c>
      <c r="J162" t="str">
        <f t="shared" si="5"/>
        <v>Nu</v>
      </c>
    </row>
    <row r="163" spans="1:10" x14ac:dyDescent="0.2">
      <c r="A163" t="s">
        <v>201</v>
      </c>
      <c r="B163" t="s">
        <v>202</v>
      </c>
      <c r="C163">
        <v>5971363</v>
      </c>
      <c r="D163" s="7">
        <f t="shared" si="4"/>
        <v>29856.815000000002</v>
      </c>
      <c r="E163" s="2">
        <v>44415</v>
      </c>
      <c r="F163" s="2">
        <v>44462</v>
      </c>
      <c r="G163" s="23">
        <v>0.13958333333333334</v>
      </c>
      <c r="H163" t="s">
        <v>418</v>
      </c>
      <c r="I163" t="s">
        <v>474</v>
      </c>
      <c r="J163" t="str">
        <f t="shared" si="5"/>
        <v>Nu</v>
      </c>
    </row>
    <row r="164" spans="1:10" x14ac:dyDescent="0.2">
      <c r="A164" t="s">
        <v>187</v>
      </c>
      <c r="B164" t="s">
        <v>188</v>
      </c>
      <c r="C164">
        <v>5965071</v>
      </c>
      <c r="D164" s="7">
        <f t="shared" si="4"/>
        <v>29825.355</v>
      </c>
      <c r="E164" s="2">
        <f>VLOOKUP(A164,'2.09.2021'!A$3:'2.09.2021'!I$202,5,)</f>
        <v>44362</v>
      </c>
      <c r="F164" s="2">
        <v>44462</v>
      </c>
      <c r="G164" s="23">
        <f>VLOOKUP(A164,'2.09.2021'!A$3:'2.09.2021'!I$202,7,)</f>
        <v>0.14027777777777778</v>
      </c>
      <c r="H164" t="str">
        <f>VLOOKUP(A164,'2.09.2021'!A$3:'2.09.2021'!I$202,8,)</f>
        <v>HIP-HOP/RAP</v>
      </c>
      <c r="I164" t="str">
        <f>VLOOKUP(A164,'2.09.2021'!A$3:'2.09.2021'!I$202,9,)</f>
        <v>Marea Britanie</v>
      </c>
      <c r="J164" t="str">
        <f t="shared" si="5"/>
        <v>Nu</v>
      </c>
    </row>
    <row r="165" spans="1:10" x14ac:dyDescent="0.2">
      <c r="A165" t="s">
        <v>341</v>
      </c>
      <c r="B165" t="s">
        <v>132</v>
      </c>
      <c r="C165">
        <v>5964873</v>
      </c>
      <c r="D165" s="7">
        <f t="shared" si="4"/>
        <v>29824.364999999998</v>
      </c>
      <c r="E165" s="2">
        <f>VLOOKUP(A165,'2.09.2021'!A$3:'2.09.2021'!I$202,5,)</f>
        <v>44370</v>
      </c>
      <c r="F165" s="2">
        <v>44462</v>
      </c>
      <c r="G165" s="23">
        <f>VLOOKUP(A165,'2.09.2021'!A$3:'2.09.2021'!I$202,7,)</f>
        <v>0.12986111111111112</v>
      </c>
      <c r="H165" t="str">
        <f>VLOOKUP(A165,'2.09.2021'!A$3:'2.09.2021'!I$202,8,)</f>
        <v>POP</v>
      </c>
      <c r="I165" t="str">
        <f>VLOOKUP(A165,'2.09.2021'!A$3:'2.09.2021'!I$202,9,)</f>
        <v>Columbia</v>
      </c>
      <c r="J165" t="str">
        <f t="shared" si="5"/>
        <v>Nu</v>
      </c>
    </row>
    <row r="166" spans="1:10" x14ac:dyDescent="0.2">
      <c r="A166" t="s">
        <v>203</v>
      </c>
      <c r="B166" t="s">
        <v>204</v>
      </c>
      <c r="C166">
        <v>5960573</v>
      </c>
      <c r="D166" s="7">
        <f t="shared" si="4"/>
        <v>29802.865000000002</v>
      </c>
      <c r="E166" s="2">
        <f>VLOOKUP(A166,'2.09.2021'!A$3:'2.09.2021'!I$202,5,)</f>
        <v>44254</v>
      </c>
      <c r="F166" s="2">
        <v>44462</v>
      </c>
      <c r="G166" s="23">
        <f>VLOOKUP(A166,'2.09.2021'!A$3:'2.09.2021'!I$202,7,)</f>
        <v>0.15277777777777776</v>
      </c>
      <c r="H166" t="str">
        <f>VLOOKUP(A166,'2.09.2021'!A$3:'2.09.2021'!I$202,8,)</f>
        <v>K-POP</v>
      </c>
      <c r="I166" t="str">
        <f>VLOOKUP(A166,'2.09.2021'!A$3:'2.09.2021'!I$202,9,)</f>
        <v>SUA</v>
      </c>
      <c r="J166" t="str">
        <f t="shared" si="5"/>
        <v>Nu</v>
      </c>
    </row>
    <row r="167" spans="1:10" x14ac:dyDescent="0.2">
      <c r="A167" t="s">
        <v>295</v>
      </c>
      <c r="B167" t="s">
        <v>296</v>
      </c>
      <c r="C167">
        <v>5959804</v>
      </c>
      <c r="D167" s="7">
        <f t="shared" si="4"/>
        <v>29799.02</v>
      </c>
      <c r="E167" s="2">
        <f>VLOOKUP(A167,'2.09.2021'!A$3:'2.09.2021'!I$202,5,)</f>
        <v>44214</v>
      </c>
      <c r="F167" s="2">
        <v>44462</v>
      </c>
      <c r="G167" s="23">
        <f>VLOOKUP(A167,'2.09.2021'!A$3:'2.09.2021'!I$202,7,)</f>
        <v>0.11388888888888889</v>
      </c>
      <c r="H167" t="str">
        <f>VLOOKUP(A167,'2.09.2021'!A$3:'2.09.2021'!I$202,8,)</f>
        <v>HIP-HOP/RAP</v>
      </c>
      <c r="I167" t="str">
        <f>VLOOKUP(A167,'2.09.2021'!A$3:'2.09.2021'!I$202,9,)</f>
        <v>Germania</v>
      </c>
      <c r="J167" t="str">
        <f t="shared" si="5"/>
        <v>Nu</v>
      </c>
    </row>
    <row r="168" spans="1:10" x14ac:dyDescent="0.2">
      <c r="A168" t="s">
        <v>212</v>
      </c>
      <c r="B168" t="s">
        <v>213</v>
      </c>
      <c r="C168">
        <v>5922052</v>
      </c>
      <c r="D168" s="7">
        <f t="shared" si="4"/>
        <v>29610.26</v>
      </c>
      <c r="E168" s="2">
        <f>VLOOKUP(A168,'2.09.2021'!A$3:'2.09.2021'!I$202,5,)</f>
        <v>44337</v>
      </c>
      <c r="F168" s="2">
        <v>44462</v>
      </c>
      <c r="G168" s="23">
        <f>VLOOKUP(A168,'2.09.2021'!A$3:'2.09.2021'!I$202,7,)</f>
        <v>0.22291666666666665</v>
      </c>
      <c r="H168" t="str">
        <f>VLOOKUP(A168,'2.09.2021'!A$3:'2.09.2021'!I$202,8,)</f>
        <v>LATIN URBAN</v>
      </c>
      <c r="I168" t="str">
        <f>VLOOKUP(A168,'2.09.2021'!A$3:'2.09.2021'!I$202,9,)</f>
        <v>Suedia</v>
      </c>
      <c r="J168" t="str">
        <f t="shared" si="5"/>
        <v>Nu</v>
      </c>
    </row>
    <row r="169" spans="1:10" x14ac:dyDescent="0.2">
      <c r="A169" t="s">
        <v>191</v>
      </c>
      <c r="B169" t="s">
        <v>192</v>
      </c>
      <c r="C169">
        <v>5893006</v>
      </c>
      <c r="D169" s="7">
        <f t="shared" si="4"/>
        <v>29465.030000000002</v>
      </c>
      <c r="E169" s="2">
        <f>VLOOKUP(A169,'2.09.2021'!A$3:'2.09.2021'!I$202,5,)</f>
        <v>44413</v>
      </c>
      <c r="F169" s="2">
        <v>44462</v>
      </c>
      <c r="G169" s="23">
        <f>VLOOKUP(A169,'2.09.2021'!A$3:'2.09.2021'!I$202,7,)</f>
        <v>0.12013888888888889</v>
      </c>
      <c r="H169" t="str">
        <f>VLOOKUP(A169,'2.09.2021'!A$3:'2.09.2021'!I$202,8,)</f>
        <v>LATIN</v>
      </c>
      <c r="I169" t="str">
        <f>VLOOKUP(A169,'2.09.2021'!A$3:'2.09.2021'!I$202,9,)</f>
        <v>Canada</v>
      </c>
      <c r="J169" t="str">
        <f t="shared" si="5"/>
        <v>Nu</v>
      </c>
    </row>
    <row r="170" spans="1:10" x14ac:dyDescent="0.2">
      <c r="A170" t="s">
        <v>195</v>
      </c>
      <c r="B170" t="s">
        <v>196</v>
      </c>
      <c r="C170">
        <v>5884152</v>
      </c>
      <c r="D170" s="7">
        <f t="shared" si="4"/>
        <v>29420.760000000002</v>
      </c>
      <c r="E170" s="2">
        <v>44246</v>
      </c>
      <c r="F170" s="2">
        <v>44462</v>
      </c>
      <c r="G170" s="23">
        <v>0.10416666666666667</v>
      </c>
      <c r="H170" t="s">
        <v>426</v>
      </c>
      <c r="I170" t="s">
        <v>474</v>
      </c>
      <c r="J170" t="str">
        <f t="shared" si="5"/>
        <v>Nu</v>
      </c>
    </row>
    <row r="171" spans="1:10" x14ac:dyDescent="0.2">
      <c r="A171" t="s">
        <v>230</v>
      </c>
      <c r="B171" t="s">
        <v>231</v>
      </c>
      <c r="C171">
        <v>5880549</v>
      </c>
      <c r="D171" s="7">
        <f t="shared" si="4"/>
        <v>29402.744999999999</v>
      </c>
      <c r="E171" s="2">
        <f>VLOOKUP(A171,'2.09.2021'!A$3:'2.09.2021'!I$202,5,)</f>
        <v>44339</v>
      </c>
      <c r="F171" s="2">
        <v>44462</v>
      </c>
      <c r="G171" s="23">
        <f>VLOOKUP(A171,'2.09.2021'!A$3:'2.09.2021'!I$202,7,)</f>
        <v>0.16805555555555554</v>
      </c>
      <c r="H171" t="str">
        <f>VLOOKUP(A171,'2.09.2021'!A$3:'2.09.2021'!I$202,8,)</f>
        <v>HIP-HOP/RAP</v>
      </c>
      <c r="I171" t="str">
        <f>VLOOKUP(A171,'2.09.2021'!A$3:'2.09.2021'!I$202,9,)</f>
        <v>Mexic</v>
      </c>
      <c r="J171" t="str">
        <f t="shared" si="5"/>
        <v>Nu</v>
      </c>
    </row>
    <row r="172" spans="1:10" x14ac:dyDescent="0.2">
      <c r="A172" t="s">
        <v>223</v>
      </c>
      <c r="B172" t="s">
        <v>88</v>
      </c>
      <c r="C172">
        <v>5840592</v>
      </c>
      <c r="D172" s="7">
        <f t="shared" si="4"/>
        <v>29202.959999999999</v>
      </c>
      <c r="E172" s="2">
        <f>VLOOKUP(A172,'2.09.2021'!A$3:'2.09.2021'!I$202,5,)</f>
        <v>44351</v>
      </c>
      <c r="F172" s="2">
        <v>44462</v>
      </c>
      <c r="G172" s="23">
        <f>VLOOKUP(A172,'2.09.2021'!A$3:'2.09.2021'!I$202,7,)</f>
        <v>0.15347222222222223</v>
      </c>
      <c r="H172" t="str">
        <f>VLOOKUP(A172,'2.09.2021'!A$3:'2.09.2021'!I$202,8,)</f>
        <v>POP</v>
      </c>
      <c r="I172" t="str">
        <f>VLOOKUP(A172,'2.09.2021'!A$3:'2.09.2021'!I$202,9,)</f>
        <v>SUA</v>
      </c>
      <c r="J172" t="str">
        <f t="shared" si="5"/>
        <v>Nu</v>
      </c>
    </row>
    <row r="173" spans="1:10" x14ac:dyDescent="0.2">
      <c r="A173" s="10">
        <v>24</v>
      </c>
      <c r="B173" t="s">
        <v>52</v>
      </c>
      <c r="C173">
        <v>5834938</v>
      </c>
      <c r="D173" s="7">
        <f t="shared" si="4"/>
        <v>29174.690000000002</v>
      </c>
      <c r="E173" s="2">
        <f>VLOOKUP(A173,'2.09.2021'!A$3:'2.09.2021'!I$202,5,)</f>
        <v>44437</v>
      </c>
      <c r="F173" s="2">
        <v>44462</v>
      </c>
      <c r="G173" s="23">
        <f>VLOOKUP(A173,'2.09.2021'!A$3:'2.09.2021'!I$202,7,)</f>
        <v>0.13680555555555554</v>
      </c>
      <c r="H173" t="str">
        <f>VLOOKUP(A173,'2.09.2021'!A$3:'2.09.2021'!I$202,8,)</f>
        <v>HIP-HOP/RAP</v>
      </c>
      <c r="I173" t="str">
        <f>VLOOKUP(A173,'2.09.2021'!A$3:'2.09.2021'!I$202,9,)</f>
        <v>SUA</v>
      </c>
      <c r="J173" t="str">
        <f t="shared" si="5"/>
        <v>Nu</v>
      </c>
    </row>
    <row r="174" spans="1:10" x14ac:dyDescent="0.2">
      <c r="A174" t="s">
        <v>290</v>
      </c>
      <c r="B174" t="s">
        <v>158</v>
      </c>
      <c r="C174">
        <v>5832231</v>
      </c>
      <c r="D174" s="7">
        <f t="shared" si="4"/>
        <v>29161.154999999999</v>
      </c>
      <c r="E174" s="2">
        <f>VLOOKUP(A174,'2.09.2021'!A$3:'2.09.2021'!I$202,5,)</f>
        <v>44208</v>
      </c>
      <c r="F174" s="2">
        <v>44462</v>
      </c>
      <c r="G174" s="23">
        <f>VLOOKUP(A174,'2.09.2021'!A$3:'2.09.2021'!I$202,7,)</f>
        <v>0.16527777777777777</v>
      </c>
      <c r="H174" t="str">
        <f>VLOOKUP(A174,'2.09.2021'!A$3:'2.09.2021'!I$202,8,)</f>
        <v>ROCK</v>
      </c>
      <c r="I174" t="str">
        <f>VLOOKUP(A174,'2.09.2021'!A$3:'2.09.2021'!I$202,9,)</f>
        <v>SUA</v>
      </c>
      <c r="J174" t="str">
        <f t="shared" si="5"/>
        <v>Nu</v>
      </c>
    </row>
    <row r="175" spans="1:10" x14ac:dyDescent="0.2">
      <c r="A175" t="s">
        <v>448</v>
      </c>
      <c r="B175" t="s">
        <v>207</v>
      </c>
      <c r="C175">
        <v>5828495</v>
      </c>
      <c r="D175" s="7">
        <f t="shared" si="4"/>
        <v>29142.474999999999</v>
      </c>
      <c r="E175" s="2">
        <f>VLOOKUP(A175,'2.09.2021'!A$3:'2.09.2021'!I$202,5,)</f>
        <v>44309</v>
      </c>
      <c r="F175" s="2">
        <v>44462</v>
      </c>
      <c r="G175" s="23">
        <f>VLOOKUP(A175,'2.09.2021'!A$3:'2.09.2021'!I$202,7,)</f>
        <v>0.13333333333333333</v>
      </c>
      <c r="H175" t="str">
        <f>VLOOKUP(A175,'2.09.2021'!A$3:'2.09.2021'!I$202,8,)</f>
        <v>LATIN</v>
      </c>
      <c r="I175" t="str">
        <f>VLOOKUP(A175,'2.09.2021'!A$3:'2.09.2021'!I$202,9,)</f>
        <v>SUA</v>
      </c>
      <c r="J175" t="str">
        <f t="shared" si="5"/>
        <v>Da</v>
      </c>
    </row>
    <row r="176" spans="1:10" x14ac:dyDescent="0.2">
      <c r="A176" t="s">
        <v>193</v>
      </c>
      <c r="B176" t="s">
        <v>86</v>
      </c>
      <c r="C176">
        <v>5819986</v>
      </c>
      <c r="D176" s="7">
        <f t="shared" si="4"/>
        <v>29099.93</v>
      </c>
      <c r="E176" s="2">
        <f>VLOOKUP(A176,'2.09.2021'!A$3:'2.09.2021'!I$202,5,)</f>
        <v>44230</v>
      </c>
      <c r="F176" s="2">
        <v>44462</v>
      </c>
      <c r="G176" s="23">
        <f>VLOOKUP(A176,'2.09.2021'!A$3:'2.09.2021'!I$202,7,)</f>
        <v>0.12083333333333333</v>
      </c>
      <c r="H176" t="str">
        <f>VLOOKUP(A176,'2.09.2021'!A$3:'2.09.2021'!I$202,8,)</f>
        <v>HIP-HOP/RAP</v>
      </c>
      <c r="I176" t="str">
        <f>VLOOKUP(A176,'2.09.2021'!A$3:'2.09.2021'!I$202,9,)</f>
        <v>SUA</v>
      </c>
      <c r="J176" t="str">
        <f t="shared" si="5"/>
        <v>Nu</v>
      </c>
    </row>
    <row r="177" spans="1:10" x14ac:dyDescent="0.2">
      <c r="A177" t="s">
        <v>342</v>
      </c>
      <c r="B177" t="s">
        <v>52</v>
      </c>
      <c r="C177">
        <v>5817181</v>
      </c>
      <c r="D177" s="7">
        <f t="shared" si="4"/>
        <v>29085.904999999999</v>
      </c>
      <c r="E177" s="2">
        <f>VLOOKUP(A177,'2.09.2021'!A$3:'2.09.2021'!I$202,5,)</f>
        <v>44417</v>
      </c>
      <c r="F177" s="2">
        <v>44462</v>
      </c>
      <c r="G177" s="23">
        <f>VLOOKUP(A177,'2.09.2021'!A$3:'2.09.2021'!I$202,7,)</f>
        <v>0.10208333333333335</v>
      </c>
      <c r="H177" t="str">
        <f>VLOOKUP(A177,'2.09.2021'!A$3:'2.09.2021'!I$202,8,)</f>
        <v>HIP-HOP/RAP</v>
      </c>
      <c r="I177" t="str">
        <f>VLOOKUP(A177,'2.09.2021'!A$3:'2.09.2021'!I$202,9,)</f>
        <v>SUA</v>
      </c>
      <c r="J177" t="str">
        <f t="shared" si="5"/>
        <v>Nu</v>
      </c>
    </row>
    <row r="178" spans="1:10" x14ac:dyDescent="0.2">
      <c r="A178" t="s">
        <v>214</v>
      </c>
      <c r="B178" t="s">
        <v>215</v>
      </c>
      <c r="C178">
        <v>5807138</v>
      </c>
      <c r="D178" s="7">
        <f t="shared" si="4"/>
        <v>29035.69</v>
      </c>
      <c r="E178" s="2">
        <v>44305</v>
      </c>
      <c r="F178" s="2">
        <v>44462</v>
      </c>
      <c r="G178" s="23">
        <v>9.7916666666666666E-2</v>
      </c>
      <c r="H178" t="s">
        <v>426</v>
      </c>
      <c r="I178" t="s">
        <v>474</v>
      </c>
      <c r="J178" t="str">
        <f t="shared" si="5"/>
        <v>Nu</v>
      </c>
    </row>
    <row r="179" spans="1:10" x14ac:dyDescent="0.2">
      <c r="A179" t="s">
        <v>285</v>
      </c>
      <c r="B179" t="s">
        <v>286</v>
      </c>
      <c r="C179">
        <v>5797954</v>
      </c>
      <c r="D179" s="7">
        <f t="shared" si="4"/>
        <v>28989.769999999997</v>
      </c>
      <c r="E179" s="2">
        <f>VLOOKUP(A179,'2.09.2021'!A$3:'2.09.2021'!I$202,5,)</f>
        <v>44439</v>
      </c>
      <c r="F179" s="2">
        <v>44462</v>
      </c>
      <c r="G179" s="23">
        <f>VLOOKUP(A179,'2.09.2021'!A$3:'2.09.2021'!I$202,7,)</f>
        <v>9.5833333333333326E-2</v>
      </c>
      <c r="H179" t="str">
        <f>VLOOKUP(A179,'2.09.2021'!A$3:'2.09.2021'!I$202,8,)</f>
        <v>HIP-HOP/RAP</v>
      </c>
      <c r="I179" t="str">
        <f>VLOOKUP(A179,'2.09.2021'!A$3:'2.09.2021'!I$202,9,)</f>
        <v>Marea Britanie</v>
      </c>
      <c r="J179" t="str">
        <f t="shared" si="5"/>
        <v>Nu</v>
      </c>
    </row>
    <row r="180" spans="1:10" x14ac:dyDescent="0.2">
      <c r="A180" t="s">
        <v>264</v>
      </c>
      <c r="B180" t="s">
        <v>265</v>
      </c>
      <c r="C180">
        <v>5796892</v>
      </c>
      <c r="D180" s="7">
        <f t="shared" si="4"/>
        <v>28984.46</v>
      </c>
      <c r="E180" s="2">
        <f>VLOOKUP(A180,'2.09.2021'!A$3:'2.09.2021'!I$202,5,)</f>
        <v>44414</v>
      </c>
      <c r="F180" s="2">
        <v>44462</v>
      </c>
      <c r="G180" s="23">
        <f>VLOOKUP(A180,'2.09.2021'!A$3:'2.09.2021'!I$202,7,)</f>
        <v>0.12013888888888889</v>
      </c>
      <c r="H180" t="str">
        <f>VLOOKUP(A180,'2.09.2021'!A$3:'2.09.2021'!I$202,8,)</f>
        <v>LATIN URBAN</v>
      </c>
      <c r="I180" t="str">
        <f>VLOOKUP(A180,'2.09.2021'!A$3:'2.09.2021'!I$202,9,)</f>
        <v>Australia</v>
      </c>
      <c r="J180" t="str">
        <f t="shared" si="5"/>
        <v>Nu</v>
      </c>
    </row>
    <row r="181" spans="1:10" x14ac:dyDescent="0.2">
      <c r="A181" t="s">
        <v>251</v>
      </c>
      <c r="B181" t="s">
        <v>229</v>
      </c>
      <c r="C181">
        <v>5766816</v>
      </c>
      <c r="D181" s="7">
        <f t="shared" si="4"/>
        <v>28834.079999999998</v>
      </c>
      <c r="E181" s="2">
        <f>VLOOKUP(A181,'2.09.2021'!A$3:'2.09.2021'!I$202,5,)</f>
        <v>44413</v>
      </c>
      <c r="F181" s="2">
        <v>44462</v>
      </c>
      <c r="G181" s="23">
        <f>VLOOKUP(A181,'2.09.2021'!A$3:'2.09.2021'!I$202,7,)</f>
        <v>0.12152777777777778</v>
      </c>
      <c r="H181" t="str">
        <f>VLOOKUP(A181,'2.09.2021'!A$3:'2.09.2021'!I$202,8,)</f>
        <v>HIP-HOP/RAP</v>
      </c>
      <c r="I181" t="str">
        <f>VLOOKUP(A181,'2.09.2021'!A$3:'2.09.2021'!I$202,9,)</f>
        <v>SUA</v>
      </c>
      <c r="J181" t="str">
        <f t="shared" si="5"/>
        <v>Nu</v>
      </c>
    </row>
    <row r="182" spans="1:10" x14ac:dyDescent="0.2">
      <c r="A182" t="s">
        <v>232</v>
      </c>
      <c r="B182" t="s">
        <v>233</v>
      </c>
      <c r="C182">
        <v>5737892</v>
      </c>
      <c r="D182" s="7">
        <f t="shared" si="4"/>
        <v>28689.46</v>
      </c>
      <c r="E182" s="2">
        <f>VLOOKUP(A182,'2.09.2021'!A$3:'2.09.2021'!I$202,5,)</f>
        <v>44389</v>
      </c>
      <c r="F182" s="2">
        <v>44462</v>
      </c>
      <c r="G182" s="23">
        <f>VLOOKUP(A182,'2.09.2021'!A$3:'2.09.2021'!I$202,7,)</f>
        <v>0.14097222222222222</v>
      </c>
      <c r="H182" t="str">
        <f>VLOOKUP(A182,'2.09.2021'!A$3:'2.09.2021'!I$202,8,)</f>
        <v>POP</v>
      </c>
      <c r="I182" t="str">
        <f>VLOOKUP(A182,'2.09.2021'!A$3:'2.09.2021'!I$202,9,)</f>
        <v>SUA</v>
      </c>
      <c r="J182" t="str">
        <f t="shared" si="5"/>
        <v>Nu</v>
      </c>
    </row>
    <row r="183" spans="1:10" x14ac:dyDescent="0.2">
      <c r="A183" t="s">
        <v>343</v>
      </c>
      <c r="B183" t="s">
        <v>20</v>
      </c>
      <c r="C183">
        <v>5718647</v>
      </c>
      <c r="D183" s="7">
        <f t="shared" si="4"/>
        <v>28593.235000000001</v>
      </c>
      <c r="E183" s="2">
        <v>43660</v>
      </c>
      <c r="F183" s="2">
        <v>44462</v>
      </c>
      <c r="G183" s="23">
        <v>0.11458333333333333</v>
      </c>
      <c r="H183" t="s">
        <v>423</v>
      </c>
      <c r="I183" t="s">
        <v>420</v>
      </c>
      <c r="J183" t="str">
        <f t="shared" si="5"/>
        <v>Nu</v>
      </c>
    </row>
    <row r="184" spans="1:10" x14ac:dyDescent="0.2">
      <c r="A184" t="s">
        <v>245</v>
      </c>
      <c r="B184" t="s">
        <v>246</v>
      </c>
      <c r="C184">
        <v>5710298</v>
      </c>
      <c r="D184" s="7">
        <f t="shared" si="4"/>
        <v>28551.489999999998</v>
      </c>
      <c r="E184" s="2">
        <f>VLOOKUP(A184,'2.09.2021'!A$3:'2.09.2021'!I$202,5,)</f>
        <v>44244</v>
      </c>
      <c r="F184" s="2">
        <v>44462</v>
      </c>
      <c r="G184" s="23">
        <f>VLOOKUP(A184,'2.09.2021'!A$3:'2.09.2021'!I$202,7,)</f>
        <v>0.12013888888888889</v>
      </c>
      <c r="H184" t="str">
        <f>VLOOKUP(A184,'2.09.2021'!A$3:'2.09.2021'!I$202,8,)</f>
        <v>LATIN URBAN</v>
      </c>
      <c r="I184" t="str">
        <f>VLOOKUP(A184,'2.09.2021'!A$3:'2.09.2021'!I$202,9,)</f>
        <v>Australia</v>
      </c>
      <c r="J184" t="str">
        <f t="shared" si="5"/>
        <v>Nu</v>
      </c>
    </row>
    <row r="185" spans="1:10" x14ac:dyDescent="0.2">
      <c r="A185" t="s">
        <v>226</v>
      </c>
      <c r="B185" t="s">
        <v>227</v>
      </c>
      <c r="C185">
        <v>5682156</v>
      </c>
      <c r="D185" s="7">
        <f t="shared" si="4"/>
        <v>28410.78</v>
      </c>
      <c r="E185" s="2">
        <f>VLOOKUP(A185,'2.09.2021'!A$3:'2.09.2021'!I$202,5,)</f>
        <v>44437</v>
      </c>
      <c r="F185" s="2">
        <v>44462</v>
      </c>
      <c r="G185" s="23">
        <f>VLOOKUP(A185,'2.09.2021'!A$3:'2.09.2021'!I$202,7,)</f>
        <v>0.19930555555555554</v>
      </c>
      <c r="H185" t="str">
        <f>VLOOKUP(A185,'2.09.2021'!A$3:'2.09.2021'!I$202,8,)</f>
        <v>LATIN URBAN</v>
      </c>
      <c r="I185" t="str">
        <f>VLOOKUP(A185,'2.09.2021'!A$3:'2.09.2021'!I$202,9,)</f>
        <v>SUA</v>
      </c>
      <c r="J185" t="str">
        <f t="shared" si="5"/>
        <v>Nu</v>
      </c>
    </row>
    <row r="186" spans="1:10" x14ac:dyDescent="0.2">
      <c r="A186" t="s">
        <v>228</v>
      </c>
      <c r="B186" t="s">
        <v>229</v>
      </c>
      <c r="C186">
        <v>5626129</v>
      </c>
      <c r="D186" s="7">
        <f t="shared" si="4"/>
        <v>28130.645</v>
      </c>
      <c r="E186" s="2">
        <f>VLOOKUP(A186,'2.09.2021'!A$3:'2.09.2021'!I$202,5,)</f>
        <v>44336</v>
      </c>
      <c r="F186" s="2">
        <v>44462</v>
      </c>
      <c r="G186" s="23">
        <f>VLOOKUP(A186,'2.09.2021'!A$3:'2.09.2021'!I$202,7,)</f>
        <v>9.7916666666666666E-2</v>
      </c>
      <c r="H186" t="str">
        <f>VLOOKUP(A186,'2.09.2021'!A$3:'2.09.2021'!I$202,8,)</f>
        <v>DANCE</v>
      </c>
      <c r="I186" t="str">
        <f>VLOOKUP(A186,'2.09.2021'!A$3:'2.09.2021'!I$202,9,)</f>
        <v>SUA</v>
      </c>
      <c r="J186" t="str">
        <f t="shared" si="5"/>
        <v>Nu</v>
      </c>
    </row>
    <row r="187" spans="1:10" x14ac:dyDescent="0.2">
      <c r="A187" t="s">
        <v>268</v>
      </c>
      <c r="B187" t="s">
        <v>269</v>
      </c>
      <c r="C187">
        <v>5624497</v>
      </c>
      <c r="D187" s="7">
        <f t="shared" si="4"/>
        <v>28122.485000000001</v>
      </c>
      <c r="E187" s="2">
        <f>VLOOKUP(A187,'2.09.2021'!A$3:'2.09.2021'!I$202,5,)</f>
        <v>44350</v>
      </c>
      <c r="F187" s="2">
        <v>44462</v>
      </c>
      <c r="G187" s="23">
        <f>VLOOKUP(A187,'2.09.2021'!A$3:'2.09.2021'!I$202,7,)</f>
        <v>0.14444444444444446</v>
      </c>
      <c r="H187" t="str">
        <f>VLOOKUP(A187,'2.09.2021'!A$3:'2.09.2021'!I$202,8,)</f>
        <v>HIP-HOP/RAP</v>
      </c>
      <c r="I187" t="str">
        <f>VLOOKUP(A187,'2.09.2021'!A$3:'2.09.2021'!I$202,9,)</f>
        <v>SUA</v>
      </c>
      <c r="J187" t="str">
        <f t="shared" si="5"/>
        <v>Nu</v>
      </c>
    </row>
    <row r="188" spans="1:10" x14ac:dyDescent="0.2">
      <c r="A188" t="s">
        <v>275</v>
      </c>
      <c r="B188" t="s">
        <v>276</v>
      </c>
      <c r="C188">
        <v>5622532</v>
      </c>
      <c r="D188" s="7">
        <f t="shared" si="4"/>
        <v>28112.66</v>
      </c>
      <c r="E188" s="2">
        <f>VLOOKUP(A188,'2.09.2021'!A$3:'2.09.2021'!I$202,5,)</f>
        <v>44209</v>
      </c>
      <c r="F188" s="2">
        <v>44462</v>
      </c>
      <c r="G188" s="23">
        <f>VLOOKUP(A188,'2.09.2021'!A$3:'2.09.2021'!I$202,7,)</f>
        <v>0.15902777777777777</v>
      </c>
      <c r="H188" t="str">
        <f>VLOOKUP(A188,'2.09.2021'!A$3:'2.09.2021'!I$202,8,)</f>
        <v>LATIN</v>
      </c>
      <c r="I188" t="str">
        <f>VLOOKUP(A188,'2.09.2021'!A$3:'2.09.2021'!I$202,9,)</f>
        <v>Franța</v>
      </c>
      <c r="J188" t="str">
        <f t="shared" si="5"/>
        <v>Nu</v>
      </c>
    </row>
    <row r="189" spans="1:10" x14ac:dyDescent="0.2">
      <c r="A189" t="s">
        <v>344</v>
      </c>
      <c r="B189" t="s">
        <v>52</v>
      </c>
      <c r="C189">
        <v>5618339</v>
      </c>
      <c r="D189" s="7">
        <f t="shared" si="4"/>
        <v>28091.695</v>
      </c>
      <c r="E189" s="2">
        <f>VLOOKUP(A189,'2.09.2021'!A$3:'2.09.2021'!I$202,5,)</f>
        <v>44437</v>
      </c>
      <c r="F189" s="2">
        <v>44462</v>
      </c>
      <c r="G189" s="23">
        <f>VLOOKUP(A189,'2.09.2021'!A$3:'2.09.2021'!I$202,7,)</f>
        <v>0.23124999999999998</v>
      </c>
      <c r="H189" t="str">
        <f>VLOOKUP(A189,'2.09.2021'!A$3:'2.09.2021'!I$202,8,)</f>
        <v>HIP-HOP/RAP</v>
      </c>
      <c r="I189" t="str">
        <f>VLOOKUP(A189,'2.09.2021'!A$3:'2.09.2021'!I$202,9,)</f>
        <v>SUA</v>
      </c>
      <c r="J189" t="str">
        <f t="shared" si="5"/>
        <v>Nu</v>
      </c>
    </row>
    <row r="190" spans="1:10" x14ac:dyDescent="0.2">
      <c r="A190" t="s">
        <v>234</v>
      </c>
      <c r="B190" t="s">
        <v>235</v>
      </c>
      <c r="C190">
        <v>5574395</v>
      </c>
      <c r="D190" s="7">
        <f t="shared" si="4"/>
        <v>27871.975000000002</v>
      </c>
      <c r="E190" s="2">
        <f>VLOOKUP(A190,'2.09.2021'!A$3:'2.09.2021'!I$202,5,)</f>
        <v>44285</v>
      </c>
      <c r="F190" s="2">
        <v>44462</v>
      </c>
      <c r="G190" s="23">
        <f>VLOOKUP(A190,'2.09.2021'!A$3:'2.09.2021'!I$202,7,)</f>
        <v>0.12708333333333333</v>
      </c>
      <c r="H190" t="str">
        <f>VLOOKUP(A190,'2.09.2021'!A$3:'2.09.2021'!I$202,8,)</f>
        <v>HIP-HOP/RAP</v>
      </c>
      <c r="I190" t="str">
        <f>VLOOKUP(A190,'2.09.2021'!A$3:'2.09.2021'!I$202,9,)</f>
        <v>Marea Britanie</v>
      </c>
      <c r="J190" t="str">
        <f t="shared" si="5"/>
        <v>Nu</v>
      </c>
    </row>
    <row r="191" spans="1:10" x14ac:dyDescent="0.2">
      <c r="A191" t="s">
        <v>210</v>
      </c>
      <c r="B191" t="s">
        <v>211</v>
      </c>
      <c r="C191">
        <v>5568753</v>
      </c>
      <c r="D191" s="7">
        <f t="shared" si="4"/>
        <v>27843.764999999999</v>
      </c>
      <c r="E191" s="2">
        <f>VLOOKUP(A191,'2.09.2021'!A$3:'2.09.2021'!I$202,5,)</f>
        <v>44456</v>
      </c>
      <c r="F191" s="2">
        <v>44462</v>
      </c>
      <c r="G191" s="23">
        <f>VLOOKUP(A191,'2.09.2021'!A$3:'2.09.2021'!I$202,7,)</f>
        <v>0.12361111111111112</v>
      </c>
      <c r="H191" t="str">
        <f>VLOOKUP(A191,'2.09.2021'!A$3:'2.09.2021'!I$202,8,)</f>
        <v>ROCK</v>
      </c>
      <c r="I191" t="str">
        <f>VLOOKUP(A191,'2.09.2021'!A$3:'2.09.2021'!I$202,9,)</f>
        <v>SUA</v>
      </c>
      <c r="J191" t="str">
        <f t="shared" si="5"/>
        <v>Nu</v>
      </c>
    </row>
    <row r="192" spans="1:10" x14ac:dyDescent="0.2">
      <c r="A192" t="s">
        <v>241</v>
      </c>
      <c r="B192" t="s">
        <v>242</v>
      </c>
      <c r="C192">
        <v>5567519</v>
      </c>
      <c r="D192" s="7">
        <f t="shared" si="4"/>
        <v>27837.595000000001</v>
      </c>
      <c r="E192" s="2">
        <f>VLOOKUP(A192,'2.09.2021'!A$3:'2.09.2021'!I$202,5,)</f>
        <v>44377</v>
      </c>
      <c r="F192" s="2">
        <v>44462</v>
      </c>
      <c r="G192" s="23">
        <f>VLOOKUP(A192,'2.09.2021'!A$3:'2.09.2021'!I$202,7,)</f>
        <v>0.16527777777777777</v>
      </c>
      <c r="H192" t="str">
        <f>VLOOKUP(A192,'2.09.2021'!A$3:'2.09.2021'!I$202,8,)</f>
        <v>HIP-HOP/RAP</v>
      </c>
      <c r="I192" t="str">
        <f>VLOOKUP(A192,'2.09.2021'!A$3:'2.09.2021'!I$202,9,)</f>
        <v>Marea Britanie</v>
      </c>
      <c r="J192" t="str">
        <f t="shared" si="5"/>
        <v>Nu</v>
      </c>
    </row>
    <row r="193" spans="1:10" x14ac:dyDescent="0.2">
      <c r="A193" t="s">
        <v>263</v>
      </c>
      <c r="B193" t="s">
        <v>213</v>
      </c>
      <c r="C193">
        <v>5554738</v>
      </c>
      <c r="D193" s="7">
        <f t="shared" si="4"/>
        <v>27773.690000000002</v>
      </c>
      <c r="E193" s="2">
        <f>VLOOKUP(A193,'2.09.2021'!A$3:'2.09.2021'!I$202,5,)</f>
        <v>44256</v>
      </c>
      <c r="F193" s="2">
        <v>44462</v>
      </c>
      <c r="G193" s="23">
        <f>VLOOKUP(A193,'2.09.2021'!A$3:'2.09.2021'!I$202,7,)</f>
        <v>0.13749999999999998</v>
      </c>
      <c r="H193" t="str">
        <f>VLOOKUP(A193,'2.09.2021'!A$3:'2.09.2021'!I$202,8,)</f>
        <v>HIP-HOP/RAP</v>
      </c>
      <c r="I193" t="str">
        <f>VLOOKUP(A193,'2.09.2021'!A$3:'2.09.2021'!I$202,9,)</f>
        <v>Suedia</v>
      </c>
      <c r="J193" t="str">
        <f t="shared" si="5"/>
        <v>Nu</v>
      </c>
    </row>
    <row r="194" spans="1:10" x14ac:dyDescent="0.2">
      <c r="A194" t="s">
        <v>167</v>
      </c>
      <c r="B194" t="s">
        <v>4</v>
      </c>
      <c r="C194">
        <v>5526358</v>
      </c>
      <c r="D194" s="7">
        <f t="shared" si="4"/>
        <v>27631.79</v>
      </c>
      <c r="E194" s="2">
        <f>VLOOKUP(A194,'2.09.2021'!A$3:'2.09.2021'!I$202,5,)</f>
        <v>44437</v>
      </c>
      <c r="F194" s="2">
        <v>44462</v>
      </c>
      <c r="G194" s="23">
        <f>VLOOKUP(A194,'2.09.2021'!A$3:'2.09.2021'!I$202,7,)</f>
        <v>0.20625000000000002</v>
      </c>
      <c r="H194" t="str">
        <f>VLOOKUP(A194,'2.09.2021'!A$3:'2.09.2021'!I$202,8,)</f>
        <v>RHYTHM &amp; BLUES</v>
      </c>
      <c r="I194" t="str">
        <f>VLOOKUP(A194,'2.09.2021'!A$3:'2.09.2021'!I$202,9,)</f>
        <v>Marea Britanie</v>
      </c>
      <c r="J194" t="str">
        <f t="shared" si="5"/>
        <v>Nu</v>
      </c>
    </row>
    <row r="195" spans="1:10" x14ac:dyDescent="0.2">
      <c r="A195" t="s">
        <v>261</v>
      </c>
      <c r="B195" t="s">
        <v>262</v>
      </c>
      <c r="C195">
        <v>5519131</v>
      </c>
      <c r="D195" s="7">
        <f t="shared" si="4"/>
        <v>27595.655000000002</v>
      </c>
      <c r="E195" s="2">
        <f>VLOOKUP(A195,'2.09.2021'!A$3:'2.09.2021'!I$202,5,)</f>
        <v>44259</v>
      </c>
      <c r="F195" s="2">
        <v>44462</v>
      </c>
      <c r="G195" s="23">
        <f>VLOOKUP(A195,'2.09.2021'!A$3:'2.09.2021'!I$202,7,)</f>
        <v>0.10833333333333334</v>
      </c>
      <c r="H195" t="str">
        <f>VLOOKUP(A195,'2.09.2021'!A$3:'2.09.2021'!I$202,8,)</f>
        <v>HIP-HOP/RAP</v>
      </c>
      <c r="I195" t="str">
        <f>VLOOKUP(A195,'2.09.2021'!A$3:'2.09.2021'!I$202,9,)</f>
        <v>Marea Britanie</v>
      </c>
      <c r="J195" t="str">
        <f t="shared" si="5"/>
        <v>Nu</v>
      </c>
    </row>
    <row r="196" spans="1:10" x14ac:dyDescent="0.2">
      <c r="A196" t="s">
        <v>239</v>
      </c>
      <c r="B196" t="s">
        <v>240</v>
      </c>
      <c r="C196">
        <v>5505935</v>
      </c>
      <c r="D196" s="7">
        <f t="shared" ref="D196:D202" si="6">(C196/1000*5)</f>
        <v>27529.675000000003</v>
      </c>
      <c r="E196" s="2">
        <f>VLOOKUP(A196,'2.09.2021'!A$3:'2.09.2021'!I$202,5,)</f>
        <v>44407</v>
      </c>
      <c r="F196" s="2">
        <v>44462</v>
      </c>
      <c r="G196" s="23">
        <f>VLOOKUP(A196,'2.09.2021'!A$3:'2.09.2021'!I$202,7,)</f>
        <v>0.16874999999999998</v>
      </c>
      <c r="H196" t="str">
        <f>VLOOKUP(A196,'2.09.2021'!A$3:'2.09.2021'!I$202,8,)</f>
        <v>POP</v>
      </c>
      <c r="I196" t="str">
        <f>VLOOKUP(A196,'2.09.2021'!A$3:'2.09.2021'!I$202,9,)</f>
        <v>Irlanda</v>
      </c>
      <c r="J196" t="str">
        <f t="shared" ref="J196:J202" si="7">IF(ISNUMBER(SEARCH("with",A196)),"Da","Nu")</f>
        <v>Nu</v>
      </c>
    </row>
    <row r="197" spans="1:10" x14ac:dyDescent="0.2">
      <c r="A197" t="s">
        <v>224</v>
      </c>
      <c r="B197" t="s">
        <v>225</v>
      </c>
      <c r="C197">
        <v>5474110</v>
      </c>
      <c r="D197" s="7">
        <f t="shared" si="6"/>
        <v>27370.55</v>
      </c>
      <c r="E197" s="2">
        <f>VLOOKUP(A197,'2.09.2021'!A$3:'2.09.2021'!I$202,5,)</f>
        <v>44460</v>
      </c>
      <c r="F197" s="2">
        <v>44462</v>
      </c>
      <c r="G197" s="23">
        <f>VLOOKUP(A197,'2.09.2021'!A$3:'2.09.2021'!I$202,7,)</f>
        <v>0.15694444444444444</v>
      </c>
      <c r="H197" t="str">
        <f>VLOOKUP(A197,'2.09.2021'!A$3:'2.09.2021'!I$202,8,)</f>
        <v>HIP-HOP/RAP</v>
      </c>
      <c r="I197" t="str">
        <f>VLOOKUP(A197,'2.09.2021'!A$3:'2.09.2021'!I$202,9,)</f>
        <v>Marea Britanie</v>
      </c>
      <c r="J197" t="str">
        <f t="shared" si="7"/>
        <v>Nu</v>
      </c>
    </row>
    <row r="198" spans="1:10" x14ac:dyDescent="0.2">
      <c r="A198" t="s">
        <v>345</v>
      </c>
      <c r="B198" t="s">
        <v>346</v>
      </c>
      <c r="C198">
        <v>5465605</v>
      </c>
      <c r="D198" s="7">
        <f t="shared" si="6"/>
        <v>27328.024999999998</v>
      </c>
      <c r="E198" s="2">
        <v>44315</v>
      </c>
      <c r="F198" s="2">
        <v>44462</v>
      </c>
      <c r="G198" s="23">
        <v>9.7916666666666666E-2</v>
      </c>
      <c r="H198" t="s">
        <v>418</v>
      </c>
      <c r="I198" t="s">
        <v>474</v>
      </c>
      <c r="J198" t="str">
        <f t="shared" si="7"/>
        <v>Nu</v>
      </c>
    </row>
    <row r="199" spans="1:10" x14ac:dyDescent="0.2">
      <c r="A199" t="s">
        <v>292</v>
      </c>
      <c r="B199" t="s">
        <v>43</v>
      </c>
      <c r="C199">
        <v>5464809</v>
      </c>
      <c r="D199" s="7">
        <f t="shared" si="6"/>
        <v>27324.045000000002</v>
      </c>
      <c r="E199" s="2">
        <f>VLOOKUP(A199,'2.09.2021'!A$3:'2.09.2021'!I$202,5,)</f>
        <v>44242</v>
      </c>
      <c r="F199" s="2">
        <v>44462</v>
      </c>
      <c r="G199" s="23">
        <f>VLOOKUP(A199,'2.09.2021'!A$3:'2.09.2021'!I$202,7,)</f>
        <v>0.14652777777777778</v>
      </c>
      <c r="H199" t="str">
        <f>VLOOKUP(A199,'2.09.2021'!A$3:'2.09.2021'!I$202,8,)</f>
        <v>RHYTHM &amp; BLUES</v>
      </c>
      <c r="I199" t="str">
        <f>VLOOKUP(A199,'2.09.2021'!A$3:'2.09.2021'!I$202,9,)</f>
        <v>Canada</v>
      </c>
      <c r="J199" t="str">
        <f t="shared" si="7"/>
        <v>Nu</v>
      </c>
    </row>
    <row r="200" spans="1:10" x14ac:dyDescent="0.2">
      <c r="A200" t="s">
        <v>252</v>
      </c>
      <c r="B200" t="s">
        <v>154</v>
      </c>
      <c r="C200">
        <v>5461991</v>
      </c>
      <c r="D200" s="7">
        <f t="shared" si="6"/>
        <v>27309.955000000002</v>
      </c>
      <c r="E200" s="2">
        <f>VLOOKUP(A200,'2.09.2021'!A$3:'2.09.2021'!I$202,5,)</f>
        <v>44338</v>
      </c>
      <c r="F200" s="2">
        <v>44462</v>
      </c>
      <c r="G200" s="23">
        <f>VLOOKUP(A200,'2.09.2021'!A$3:'2.09.2021'!I$202,7,)</f>
        <v>0.10069444444444443</v>
      </c>
      <c r="H200" t="str">
        <f>VLOOKUP(A200,'2.09.2021'!A$3:'2.09.2021'!I$202,8,)</f>
        <v>R&amp;B/SOUL</v>
      </c>
      <c r="I200" t="str">
        <f>VLOOKUP(A200,'2.09.2021'!A$3:'2.09.2021'!I$202,9,)</f>
        <v>SUA</v>
      </c>
      <c r="J200" t="str">
        <f t="shared" si="7"/>
        <v>Nu</v>
      </c>
    </row>
    <row r="201" spans="1:10" x14ac:dyDescent="0.2">
      <c r="A201" t="s">
        <v>347</v>
      </c>
      <c r="B201" t="s">
        <v>348</v>
      </c>
      <c r="C201">
        <v>5411385</v>
      </c>
      <c r="D201" s="7">
        <f t="shared" si="6"/>
        <v>27056.925000000003</v>
      </c>
      <c r="E201" s="2">
        <f>VLOOKUP(A201,'2.09.2021'!A$3:'2.09.2021'!I$202,5,)</f>
        <v>44238</v>
      </c>
      <c r="F201" s="2">
        <v>44462</v>
      </c>
      <c r="G201" s="23">
        <f>VLOOKUP(A201,'2.09.2021'!A$3:'2.09.2021'!I$202,7,)</f>
        <v>0.14722222222222223</v>
      </c>
      <c r="H201" t="str">
        <f>VLOOKUP(A201,'2.09.2021'!A$3:'2.09.2021'!I$202,8,)</f>
        <v>LATIN URBAN</v>
      </c>
      <c r="I201" t="str">
        <f>VLOOKUP(A201,'2.09.2021'!A$3:'2.09.2021'!I$202,9,)</f>
        <v>Puerto Rico</v>
      </c>
      <c r="J201" t="str">
        <f t="shared" si="7"/>
        <v>Nu</v>
      </c>
    </row>
    <row r="202" spans="1:10" x14ac:dyDescent="0.2">
      <c r="A202" t="s">
        <v>349</v>
      </c>
      <c r="B202" t="s">
        <v>350</v>
      </c>
      <c r="C202">
        <v>5409053</v>
      </c>
      <c r="D202" s="7">
        <f t="shared" si="6"/>
        <v>27045.264999999999</v>
      </c>
      <c r="E202" s="2">
        <f>VLOOKUP(A202,'2.09.2021'!A$3:'2.09.2021'!I$202,5,)</f>
        <v>44351</v>
      </c>
      <c r="F202" s="2">
        <v>44462</v>
      </c>
      <c r="G202" s="23">
        <f>VLOOKUP(A202,'2.09.2021'!A$3:'2.09.2021'!I$202,7,)</f>
        <v>0.14444444444444446</v>
      </c>
      <c r="H202" t="str">
        <f>VLOOKUP(A202,'2.09.2021'!A$3:'2.09.2021'!I$202,8,)</f>
        <v>HIP-HOP/RAP</v>
      </c>
      <c r="I202" t="str">
        <f>VLOOKUP(A202,'2.09.2021'!A$3:'2.09.2021'!I$202,9,)</f>
        <v>Marea Britanie</v>
      </c>
      <c r="J202" t="str">
        <f t="shared" si="7"/>
        <v>Nu</v>
      </c>
    </row>
    <row r="205" spans="1:10" x14ac:dyDescent="0.2">
      <c r="C205" s="1" t="s">
        <v>402</v>
      </c>
      <c r="D205" s="1" t="s">
        <v>411</v>
      </c>
    </row>
    <row r="206" spans="1:10" x14ac:dyDescent="0.2">
      <c r="C206" s="1">
        <f>AVERAGE(C3:C202)</f>
        <v>11238714.970000001</v>
      </c>
      <c r="D206" s="4">
        <f>SUM(D3:D202)/200</f>
        <v>56193.574849999968</v>
      </c>
    </row>
    <row r="207" spans="1:10" x14ac:dyDescent="0.2">
      <c r="C207" s="1"/>
      <c r="D207" s="1"/>
    </row>
    <row r="208" spans="1:10" x14ac:dyDescent="0.2">
      <c r="C208" s="1" t="s">
        <v>403</v>
      </c>
      <c r="D208" s="1" t="s">
        <v>410</v>
      </c>
    </row>
    <row r="209" spans="3:4" x14ac:dyDescent="0.2">
      <c r="C209" s="1">
        <f>SUM(C3:C202)</f>
        <v>2247742994</v>
      </c>
      <c r="D209" s="4">
        <f>SUM(D3:D202)</f>
        <v>11238714.969999993</v>
      </c>
    </row>
  </sheetData>
  <conditionalFormatting sqref="J3:J202">
    <cfRule type="containsText" dxfId="14" priority="1" operator="containsText" text="Da">
      <formula>NOT(ISERROR(SEARCH("Da",J3)))</formula>
    </cfRule>
    <cfRule type="containsText" dxfId="13" priority="2" operator="containsText" text="Nu">
      <formula>NOT(ISERROR(SEARCH("Nu",J3)))</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3E534-5E72-1E42-B181-BB21935B6F4C}">
  <sheetPr>
    <tabColor rgb="FFFFFF00"/>
  </sheetPr>
  <dimension ref="A1:J209"/>
  <sheetViews>
    <sheetView workbookViewId="0">
      <selection activeCell="A12" sqref="A12"/>
    </sheetView>
  </sheetViews>
  <sheetFormatPr baseColWidth="10" defaultColWidth="11" defaultRowHeight="16" x14ac:dyDescent="0.2"/>
  <cols>
    <col min="1" max="1" width="49" bestFit="1" customWidth="1"/>
    <col min="2" max="2" width="19" bestFit="1" customWidth="1"/>
    <col min="3" max="3" width="25.5" bestFit="1" customWidth="1"/>
    <col min="4" max="4" width="26" bestFit="1" customWidth="1"/>
    <col min="5" max="5" width="11.83203125" bestFit="1" customWidth="1"/>
    <col min="6" max="6" width="15.83203125" bestFit="1" customWidth="1"/>
    <col min="7" max="7" width="14.33203125" bestFit="1" customWidth="1"/>
    <col min="8" max="8" width="14.83203125" bestFit="1" customWidth="1"/>
    <col min="9" max="9" width="21.1640625" bestFit="1" customWidth="1"/>
    <col min="10" max="10" width="10" bestFit="1" customWidth="1"/>
  </cols>
  <sheetData>
    <row r="1" spans="1:10" x14ac:dyDescent="0.2">
      <c r="A1" s="12" t="s">
        <v>404</v>
      </c>
      <c r="B1" s="11" t="s">
        <v>405</v>
      </c>
      <c r="C1" s="13" t="s">
        <v>406</v>
      </c>
      <c r="D1" s="14" t="s">
        <v>407</v>
      </c>
      <c r="E1" s="15" t="s">
        <v>408</v>
      </c>
      <c r="F1" s="16" t="s">
        <v>409</v>
      </c>
      <c r="G1" s="17" t="s">
        <v>412</v>
      </c>
      <c r="H1" s="18" t="s">
        <v>413</v>
      </c>
      <c r="I1" s="19" t="s">
        <v>419</v>
      </c>
      <c r="J1" s="20" t="s">
        <v>421</v>
      </c>
    </row>
    <row r="3" spans="1:10" x14ac:dyDescent="0.2">
      <c r="A3" t="s">
        <v>0</v>
      </c>
      <c r="B3" t="s">
        <v>1</v>
      </c>
      <c r="C3">
        <v>55885730</v>
      </c>
      <c r="D3" s="7">
        <f>(C3/1000*5)</f>
        <v>279428.65000000002</v>
      </c>
      <c r="E3" s="2">
        <f>VLOOKUP(A3,'2.09.2021'!A$3:'2.09.2021'!I$202,5,)</f>
        <v>44386</v>
      </c>
      <c r="F3" s="2">
        <v>44469</v>
      </c>
      <c r="G3" s="23">
        <f>VLOOKUP(A3,'2.09.2021'!A$3:'2.09.2021'!I$202,7,)</f>
        <v>9.7916666666666666E-2</v>
      </c>
      <c r="H3" t="str">
        <f>VLOOKUP(A3,'2.09.2021'!A$3:'2.09.2021'!I$202,8,)</f>
        <v>POP</v>
      </c>
      <c r="I3" t="str">
        <f>VLOOKUP(A3,'2.09.2021'!A$3:'2.09.2021'!I$202,9,)</f>
        <v>Australia</v>
      </c>
      <c r="J3" t="str">
        <f>IF(ISNUMBER(SEARCH("with",A3)),"Da","Nu")</f>
        <v>Da</v>
      </c>
    </row>
    <row r="4" spans="1:10" x14ac:dyDescent="0.2">
      <c r="A4" t="s">
        <v>436</v>
      </c>
      <c r="B4" t="s">
        <v>2</v>
      </c>
      <c r="C4">
        <v>47510601</v>
      </c>
      <c r="D4" s="7">
        <f t="shared" ref="D4:D67" si="0">(C4/1000*5)</f>
        <v>237553.005</v>
      </c>
      <c r="E4" s="2">
        <f>VLOOKUP(A4,'2.09.2021'!A$3:'2.09.2021'!I$202,5,)</f>
        <v>44400</v>
      </c>
      <c r="F4" s="2">
        <v>44469</v>
      </c>
      <c r="G4" s="23">
        <f>VLOOKUP(A4,'2.09.2021'!A$3:'2.09.2021'!I$202,7,)</f>
        <v>0.14722222222222223</v>
      </c>
      <c r="H4" t="str">
        <f>VLOOKUP(A4,'2.09.2021'!A$3:'2.09.2021'!I$202,8,)</f>
        <v>HIP-HOP/RAP</v>
      </c>
      <c r="I4" t="str">
        <f>VLOOKUP(A4,'2.09.2021'!A$3:'2.09.2021'!I$202,9,)</f>
        <v>SUA</v>
      </c>
      <c r="J4" t="str">
        <f t="shared" ref="J4:J67" si="1">IF(ISNUMBER(SEARCH("with",A4)),"Da","Nu")</f>
        <v>Da</v>
      </c>
    </row>
    <row r="5" spans="1:10" x14ac:dyDescent="0.2">
      <c r="A5" t="s">
        <v>3</v>
      </c>
      <c r="B5" t="s">
        <v>4</v>
      </c>
      <c r="C5">
        <v>32790116</v>
      </c>
      <c r="D5" s="7">
        <f t="shared" si="0"/>
        <v>163950.58000000002</v>
      </c>
      <c r="E5" s="2">
        <v>44339</v>
      </c>
      <c r="F5" s="2">
        <v>44469</v>
      </c>
      <c r="G5" s="23">
        <v>0.14097222222222222</v>
      </c>
      <c r="H5" t="s">
        <v>433</v>
      </c>
      <c r="I5" t="s">
        <v>469</v>
      </c>
      <c r="J5" t="str">
        <f t="shared" si="1"/>
        <v>Nu</v>
      </c>
    </row>
    <row r="6" spans="1:10" x14ac:dyDescent="0.2">
      <c r="A6" t="s">
        <v>5</v>
      </c>
      <c r="B6" t="s">
        <v>6</v>
      </c>
      <c r="C6">
        <v>31067813</v>
      </c>
      <c r="D6" s="7">
        <f t="shared" si="0"/>
        <v>155339.065</v>
      </c>
      <c r="E6" s="2">
        <f>VLOOKUP(A6,'2.09.2021'!A$3:'2.09.2021'!I$202,5,)</f>
        <v>44050</v>
      </c>
      <c r="F6" s="2">
        <v>44469</v>
      </c>
      <c r="G6" s="23">
        <f>VLOOKUP(A6,'2.09.2021'!A$3:'2.09.2021'!I$202,7,)</f>
        <v>0.16527777777777777</v>
      </c>
      <c r="H6" t="str">
        <f>VLOOKUP(A6,'2.09.2021'!A$3:'2.09.2021'!I$202,8,)</f>
        <v>POP</v>
      </c>
      <c r="I6" t="str">
        <f>VLOOKUP(A6,'2.09.2021'!A$3:'2.09.2021'!I$202,9,)</f>
        <v>Marea Britanie</v>
      </c>
      <c r="J6" t="str">
        <f t="shared" si="1"/>
        <v>Nu</v>
      </c>
    </row>
    <row r="7" spans="1:10" x14ac:dyDescent="0.2">
      <c r="A7" t="s">
        <v>7</v>
      </c>
      <c r="B7" t="s">
        <v>8</v>
      </c>
      <c r="C7">
        <v>29289287</v>
      </c>
      <c r="D7" s="7">
        <f t="shared" si="0"/>
        <v>146446.435</v>
      </c>
      <c r="E7" s="2">
        <f>VLOOKUP(A7,'2.09.2021'!A$3:'2.09.2021'!I$202,5,)</f>
        <v>44538</v>
      </c>
      <c r="F7" s="2">
        <v>44469</v>
      </c>
      <c r="G7" s="23">
        <f>VLOOKUP(A7,'2.09.2021'!A$3:'2.09.2021'!I$202,7,)</f>
        <v>0.19930555555555554</v>
      </c>
      <c r="H7" t="str">
        <f>VLOOKUP(A7,'2.09.2021'!A$3:'2.09.2021'!I$202,8,)</f>
        <v>LATIN URBAN</v>
      </c>
      <c r="I7" t="str">
        <f>VLOOKUP(A7,'2.09.2021'!A$3:'2.09.2021'!I$202,9,)</f>
        <v>Puerto Rico</v>
      </c>
      <c r="J7" t="str">
        <f t="shared" si="1"/>
        <v>Nu</v>
      </c>
    </row>
    <row r="8" spans="1:10" x14ac:dyDescent="0.2">
      <c r="A8" t="s">
        <v>9</v>
      </c>
      <c r="B8" t="s">
        <v>10</v>
      </c>
      <c r="C8">
        <v>29024050</v>
      </c>
      <c r="D8" s="7">
        <f t="shared" si="0"/>
        <v>145120.25</v>
      </c>
      <c r="E8" s="2">
        <f>VLOOKUP(A8,'2.09.2021'!A$3:'2.09.2021'!I$202,5,)</f>
        <v>44358</v>
      </c>
      <c r="F8" s="2">
        <v>44469</v>
      </c>
      <c r="G8" s="23">
        <f>VLOOKUP(A8,'2.09.2021'!A$3:'2.09.2021'!I$202,7,)</f>
        <v>0.14722222222222223</v>
      </c>
      <c r="H8" t="str">
        <f>VLOOKUP(A8,'2.09.2021'!A$3:'2.09.2021'!I$202,8,)</f>
        <v>POP</v>
      </c>
      <c r="I8" t="str">
        <f>VLOOKUP(A8,'2.09.2021'!A$3:'2.09.2021'!I$202,9,)</f>
        <v>Marea Britanie</v>
      </c>
      <c r="J8" t="str">
        <f t="shared" si="1"/>
        <v>Nu</v>
      </c>
    </row>
    <row r="9" spans="1:10" x14ac:dyDescent="0.2">
      <c r="A9" t="s">
        <v>11</v>
      </c>
      <c r="B9" t="s">
        <v>12</v>
      </c>
      <c r="C9">
        <v>27995514</v>
      </c>
      <c r="D9" s="7">
        <f t="shared" si="0"/>
        <v>139977.57</v>
      </c>
      <c r="E9" s="2">
        <f>VLOOKUP(A9,'2.09.2021'!A$3:'2.09.2021'!I$202,5,)</f>
        <v>44374</v>
      </c>
      <c r="F9" s="2">
        <v>44469</v>
      </c>
      <c r="G9" s="23">
        <f>VLOOKUP(A9,'2.09.2021'!A$3:'2.09.2021'!I$202,7,)</f>
        <v>0.10069444444444443</v>
      </c>
      <c r="H9" t="str">
        <f>VLOOKUP(A9,'2.09.2021'!A$3:'2.09.2021'!I$202,8,)</f>
        <v>POP</v>
      </c>
      <c r="I9" t="str">
        <f>VLOOKUP(A9,'2.09.2021'!A$3:'2.09.2021'!I$202,9,)</f>
        <v>SUA</v>
      </c>
      <c r="J9" t="str">
        <f t="shared" si="1"/>
        <v>Nu</v>
      </c>
    </row>
    <row r="10" spans="1:10" x14ac:dyDescent="0.2">
      <c r="A10" t="s">
        <v>13</v>
      </c>
      <c r="B10" t="s">
        <v>10</v>
      </c>
      <c r="C10">
        <v>26022703</v>
      </c>
      <c r="D10" s="7">
        <f t="shared" si="0"/>
        <v>130113.51500000001</v>
      </c>
      <c r="E10" s="2">
        <v>44315</v>
      </c>
      <c r="F10" s="2">
        <v>44469</v>
      </c>
      <c r="G10" s="23">
        <v>0.10555555555555556</v>
      </c>
      <c r="H10" t="s">
        <v>422</v>
      </c>
      <c r="I10" t="s">
        <v>469</v>
      </c>
      <c r="J10" t="str">
        <f t="shared" si="1"/>
        <v>Nu</v>
      </c>
    </row>
    <row r="11" spans="1:10" x14ac:dyDescent="0.2">
      <c r="A11" t="s">
        <v>14</v>
      </c>
      <c r="B11" t="s">
        <v>2</v>
      </c>
      <c r="C11">
        <v>25839821</v>
      </c>
      <c r="D11" s="7">
        <f t="shared" si="0"/>
        <v>129199.105</v>
      </c>
      <c r="E11" s="2">
        <v>44316</v>
      </c>
      <c r="F11" s="2">
        <v>44469</v>
      </c>
      <c r="G11" s="23">
        <v>0.18124999999999999</v>
      </c>
      <c r="H11" t="s">
        <v>422</v>
      </c>
      <c r="I11" t="s">
        <v>468</v>
      </c>
      <c r="J11" t="str">
        <f t="shared" si="1"/>
        <v>Nu</v>
      </c>
    </row>
    <row r="12" spans="1:10" x14ac:dyDescent="0.2">
      <c r="A12" t="s">
        <v>15</v>
      </c>
      <c r="B12" t="s">
        <v>415</v>
      </c>
      <c r="C12">
        <v>24387323</v>
      </c>
      <c r="D12" s="7">
        <f t="shared" si="0"/>
        <v>121936.61500000001</v>
      </c>
      <c r="E12" s="2">
        <f>VLOOKUP(A12,'2.09.2021'!A$3:'2.09.2021'!I$202,5,)</f>
        <v>43077</v>
      </c>
      <c r="F12" s="2">
        <v>44469</v>
      </c>
      <c r="G12" s="23">
        <f>VLOOKUP(A12,'2.09.2021'!A$3:'2.09.2021'!I$202,7,)</f>
        <v>0.14652777777777778</v>
      </c>
      <c r="H12" t="str">
        <f>VLOOKUP(A12,'2.09.2021'!A$3:'2.09.2021'!I$202,8,)</f>
        <v>ROCK</v>
      </c>
      <c r="I12" t="str">
        <f>VLOOKUP(A12,'2.09.2021'!A$3:'2.09.2021'!I$202,9,)</f>
        <v>Italia</v>
      </c>
      <c r="J12" t="str">
        <f t="shared" si="1"/>
        <v>Nu</v>
      </c>
    </row>
    <row r="13" spans="1:10" x14ac:dyDescent="0.2">
      <c r="A13" t="s">
        <v>16</v>
      </c>
      <c r="B13" t="s">
        <v>17</v>
      </c>
      <c r="C13">
        <v>23551560</v>
      </c>
      <c r="D13" s="7">
        <f t="shared" si="0"/>
        <v>117757.8</v>
      </c>
      <c r="E13" s="2">
        <f>VLOOKUP(A13,'2.09.2021'!A$3:'2.09.2021'!I$202,5,)</f>
        <v>44337</v>
      </c>
      <c r="F13" s="2">
        <v>44469</v>
      </c>
      <c r="G13" s="23">
        <f>VLOOKUP(A13,'2.09.2021'!A$3:'2.09.2021'!I$202,7,)</f>
        <v>0.12361111111111112</v>
      </c>
      <c r="H13" t="str">
        <f>VLOOKUP(A13,'2.09.2021'!A$3:'2.09.2021'!I$202,8,)</f>
        <v>POP</v>
      </c>
      <c r="I13" t="str">
        <f>VLOOKUP(A13,'2.09.2021'!A$3:'2.09.2021'!I$202,9,)</f>
        <v>SUA</v>
      </c>
      <c r="J13" t="str">
        <f t="shared" si="1"/>
        <v>Nu</v>
      </c>
    </row>
    <row r="14" spans="1:10" x14ac:dyDescent="0.2">
      <c r="A14" t="s">
        <v>18</v>
      </c>
      <c r="B14" t="s">
        <v>2</v>
      </c>
      <c r="C14">
        <v>23544094</v>
      </c>
      <c r="D14" s="7">
        <f t="shared" si="0"/>
        <v>117720.47</v>
      </c>
      <c r="E14" s="2">
        <f>VLOOKUP(A14,'2.09.2021'!A$3:'2.09.2021'!I$202,5,)</f>
        <v>44456</v>
      </c>
      <c r="F14" s="2">
        <v>44469</v>
      </c>
      <c r="G14" s="23">
        <f>VLOOKUP(A14,'2.09.2021'!A$3:'2.09.2021'!I$202,7,)</f>
        <v>9.5138888888888884E-2</v>
      </c>
      <c r="H14" t="str">
        <f>VLOOKUP(A14,'2.09.2021'!A$3:'2.09.2021'!I$202,8,)</f>
        <v>POP</v>
      </c>
      <c r="I14" t="str">
        <f>VLOOKUP(A14,'2.09.2021'!A$3:'2.09.2021'!I$202,9,)</f>
        <v>SUA</v>
      </c>
      <c r="J14" t="str">
        <f t="shared" si="1"/>
        <v>Nu</v>
      </c>
    </row>
    <row r="15" spans="1:10" x14ac:dyDescent="0.2">
      <c r="A15" t="s">
        <v>19</v>
      </c>
      <c r="B15" t="s">
        <v>20</v>
      </c>
      <c r="C15">
        <v>20625145</v>
      </c>
      <c r="D15" s="7">
        <f t="shared" si="0"/>
        <v>103125.72500000001</v>
      </c>
      <c r="E15" s="2">
        <v>44246</v>
      </c>
      <c r="F15" s="2">
        <v>44469</v>
      </c>
      <c r="G15" s="23">
        <v>0.16388888888888889</v>
      </c>
      <c r="H15" t="s">
        <v>423</v>
      </c>
      <c r="I15" t="s">
        <v>420</v>
      </c>
      <c r="J15" t="str">
        <f t="shared" si="1"/>
        <v>Da</v>
      </c>
    </row>
    <row r="16" spans="1:10" x14ac:dyDescent="0.2">
      <c r="A16" t="s">
        <v>21</v>
      </c>
      <c r="B16" t="s">
        <v>12</v>
      </c>
      <c r="C16">
        <v>20494448</v>
      </c>
      <c r="D16" s="7">
        <f t="shared" si="0"/>
        <v>102472.24</v>
      </c>
      <c r="E16" s="2">
        <f>VLOOKUP(A16,'2.09.2021'!A$3:'2.09.2021'!I$202,5,)</f>
        <v>44371</v>
      </c>
      <c r="F16" s="2">
        <v>44469</v>
      </c>
      <c r="G16" s="23">
        <f>VLOOKUP(A16,'2.09.2021'!A$3:'2.09.2021'!I$202,7,)</f>
        <v>0.14583333333333334</v>
      </c>
      <c r="H16" t="str">
        <f>VLOOKUP(A16,'2.09.2021'!A$3:'2.09.2021'!I$202,8,)</f>
        <v>POP</v>
      </c>
      <c r="I16" t="str">
        <f>VLOOKUP(A16,'2.09.2021'!A$3:'2.09.2021'!I$202,9,)</f>
        <v>SUA</v>
      </c>
      <c r="J16" t="str">
        <f t="shared" si="1"/>
        <v>Nu</v>
      </c>
    </row>
    <row r="17" spans="1:10" x14ac:dyDescent="0.2">
      <c r="A17" t="s">
        <v>22</v>
      </c>
      <c r="B17" t="s">
        <v>23</v>
      </c>
      <c r="C17">
        <v>19975909</v>
      </c>
      <c r="D17" s="7">
        <f t="shared" si="0"/>
        <v>99879.544999999998</v>
      </c>
      <c r="E17" s="2">
        <f>VLOOKUP(A17,'2.09.2021'!A$3:'2.09.2021'!I$202,5,)</f>
        <v>44407</v>
      </c>
      <c r="F17" s="2">
        <v>44469</v>
      </c>
      <c r="G17" s="23">
        <f>VLOOKUP(A17,'2.09.2021'!A$3:'2.09.2021'!I$202,7,)</f>
        <v>0.20694444444444446</v>
      </c>
      <c r="H17" t="str">
        <f>VLOOKUP(A17,'2.09.2021'!A$3:'2.09.2021'!I$202,8,)</f>
        <v>ALTERNATIVE</v>
      </c>
      <c r="I17" t="str">
        <f>VLOOKUP(A17,'2.09.2021'!A$3:'2.09.2021'!I$202,9,)</f>
        <v>SUA</v>
      </c>
      <c r="J17" t="str">
        <f t="shared" si="1"/>
        <v>Nu</v>
      </c>
    </row>
    <row r="18" spans="1:10" x14ac:dyDescent="0.2">
      <c r="A18" t="s">
        <v>24</v>
      </c>
      <c r="B18" t="s">
        <v>25</v>
      </c>
      <c r="C18">
        <v>19974579</v>
      </c>
      <c r="D18" s="7">
        <f t="shared" si="0"/>
        <v>99872.895000000004</v>
      </c>
      <c r="E18" s="2">
        <v>44337</v>
      </c>
      <c r="F18" s="2">
        <v>44469</v>
      </c>
      <c r="G18" s="23">
        <v>0.1013888888888889</v>
      </c>
      <c r="H18" t="s">
        <v>498</v>
      </c>
      <c r="I18" t="s">
        <v>497</v>
      </c>
      <c r="J18" t="str">
        <f t="shared" si="1"/>
        <v>Nu</v>
      </c>
    </row>
    <row r="19" spans="1:10" x14ac:dyDescent="0.2">
      <c r="A19" t="s">
        <v>26</v>
      </c>
      <c r="B19" t="s">
        <v>27</v>
      </c>
      <c r="C19">
        <v>19485554</v>
      </c>
      <c r="D19" s="7">
        <f t="shared" si="0"/>
        <v>97427.77</v>
      </c>
      <c r="E19" s="2">
        <f>VLOOKUP(A19,'2.09.2021'!A$3:'2.09.2021'!I$202,5,)</f>
        <v>44421</v>
      </c>
      <c r="F19" s="2">
        <v>44469</v>
      </c>
      <c r="G19" s="23">
        <f>VLOOKUP(A19,'2.09.2021'!A$3:'2.09.2021'!I$202,7,)</f>
        <v>0.14027777777777778</v>
      </c>
      <c r="H19" t="str">
        <f>VLOOKUP(A19,'2.09.2021'!A$3:'2.09.2021'!I$202,8,)</f>
        <v>POP</v>
      </c>
      <c r="I19" t="str">
        <f>VLOOKUP(A19,'2.09.2021'!A$3:'2.09.2021'!I$202,9,)</f>
        <v>Marea Britanie</v>
      </c>
      <c r="J19" t="str">
        <f t="shared" si="1"/>
        <v>Nu</v>
      </c>
    </row>
    <row r="20" spans="1:10" x14ac:dyDescent="0.2">
      <c r="A20" t="s">
        <v>28</v>
      </c>
      <c r="B20" t="s">
        <v>29</v>
      </c>
      <c r="C20">
        <v>19268564</v>
      </c>
      <c r="D20" s="7">
        <f t="shared" si="0"/>
        <v>96342.819999999992</v>
      </c>
      <c r="E20" s="2">
        <v>44197</v>
      </c>
      <c r="F20" s="2">
        <v>44469</v>
      </c>
      <c r="G20" s="23">
        <v>0.12569444444444444</v>
      </c>
      <c r="H20" t="s">
        <v>422</v>
      </c>
      <c r="I20" t="s">
        <v>468</v>
      </c>
      <c r="J20" t="str">
        <f t="shared" si="1"/>
        <v>Nu</v>
      </c>
    </row>
    <row r="21" spans="1:10" x14ac:dyDescent="0.2">
      <c r="A21" t="s">
        <v>437</v>
      </c>
      <c r="B21" t="s">
        <v>12</v>
      </c>
      <c r="C21">
        <v>18642369</v>
      </c>
      <c r="D21" s="7">
        <f t="shared" si="0"/>
        <v>93211.845000000001</v>
      </c>
      <c r="E21" s="2">
        <f>VLOOKUP(A21,'2.09.2021'!A$3:'2.09.2021'!I$202,5,)</f>
        <v>44295</v>
      </c>
      <c r="F21" s="2">
        <v>44469</v>
      </c>
      <c r="G21" s="23">
        <f>VLOOKUP(A21,'2.09.2021'!A$3:'2.09.2021'!I$202,7,)</f>
        <v>0.14444444444444446</v>
      </c>
      <c r="H21" t="str">
        <f>VLOOKUP(A21,'2.09.2021'!A$3:'2.09.2021'!I$202,8,)</f>
        <v>POP</v>
      </c>
      <c r="I21" t="str">
        <f>VLOOKUP(A21,'2.09.2021'!A$3:'2.09.2021'!I$202,9,)</f>
        <v>SUA</v>
      </c>
      <c r="J21" t="str">
        <f t="shared" si="1"/>
        <v>Da</v>
      </c>
    </row>
    <row r="22" spans="1:10" x14ac:dyDescent="0.2">
      <c r="A22" t="s">
        <v>30</v>
      </c>
      <c r="B22" t="s">
        <v>20</v>
      </c>
      <c r="C22">
        <v>16714273</v>
      </c>
      <c r="D22" s="7">
        <f t="shared" si="0"/>
        <v>83571.365000000005</v>
      </c>
      <c r="E22" s="2">
        <v>44341</v>
      </c>
      <c r="F22" s="2">
        <v>44469</v>
      </c>
      <c r="G22" s="23">
        <v>0.14861111111111111</v>
      </c>
      <c r="H22" t="s">
        <v>423</v>
      </c>
      <c r="I22" t="s">
        <v>420</v>
      </c>
      <c r="J22" t="str">
        <f t="shared" si="1"/>
        <v>Da</v>
      </c>
    </row>
    <row r="23" spans="1:10" x14ac:dyDescent="0.2">
      <c r="A23" t="s">
        <v>438</v>
      </c>
      <c r="B23" t="s">
        <v>25</v>
      </c>
      <c r="C23">
        <v>16305632</v>
      </c>
      <c r="D23" s="7">
        <f t="shared" si="0"/>
        <v>81528.160000000003</v>
      </c>
      <c r="E23" s="2">
        <v>44437</v>
      </c>
      <c r="F23" s="2">
        <v>44469</v>
      </c>
      <c r="G23" s="23">
        <v>0.18124999999999999</v>
      </c>
      <c r="H23" t="s">
        <v>498</v>
      </c>
      <c r="I23" t="s">
        <v>497</v>
      </c>
      <c r="J23" t="str">
        <f t="shared" si="1"/>
        <v>Da</v>
      </c>
    </row>
    <row r="24" spans="1:10" x14ac:dyDescent="0.2">
      <c r="A24" t="s">
        <v>31</v>
      </c>
      <c r="B24" t="s">
        <v>32</v>
      </c>
      <c r="C24">
        <v>16199560</v>
      </c>
      <c r="D24" s="7">
        <f t="shared" si="0"/>
        <v>80997.8</v>
      </c>
      <c r="E24" s="2">
        <f>VLOOKUP(A24,'2.09.2021'!A$3:'2.09.2021'!I$202,5,)</f>
        <v>44351</v>
      </c>
      <c r="F24" s="2">
        <v>44469</v>
      </c>
      <c r="G24" s="23">
        <f>VLOOKUP(A24,'2.09.2021'!A$3:'2.09.2021'!I$202,7,)</f>
        <v>0.14305555555555557</v>
      </c>
      <c r="H24" t="str">
        <f>VLOOKUP(A24,'2.09.2021'!A$3:'2.09.2021'!I$202,8,)</f>
        <v>LATIN URBAN</v>
      </c>
      <c r="I24" t="str">
        <f>VLOOKUP(A24,'2.09.2021'!A$3:'2.09.2021'!I$202,9,)</f>
        <v>Puerto Rico</v>
      </c>
      <c r="J24" t="str">
        <f t="shared" si="1"/>
        <v>Nu</v>
      </c>
    </row>
    <row r="25" spans="1:10" x14ac:dyDescent="0.2">
      <c r="A25" t="s">
        <v>33</v>
      </c>
      <c r="B25" t="s">
        <v>34</v>
      </c>
      <c r="C25">
        <v>15778535</v>
      </c>
      <c r="D25" s="7">
        <f t="shared" si="0"/>
        <v>78892.675000000003</v>
      </c>
      <c r="E25" s="2">
        <f>VLOOKUP(A25,'2.09.2021'!A$3:'2.09.2021'!I$202,5,)</f>
        <v>44338</v>
      </c>
      <c r="F25" s="2">
        <v>44469</v>
      </c>
      <c r="G25" s="23">
        <f>VLOOKUP(A25,'2.09.2021'!A$3:'2.09.2021'!I$202,7,)</f>
        <v>0.13819444444444443</v>
      </c>
      <c r="H25" t="str">
        <f>VLOOKUP(A25,'2.09.2021'!A$3:'2.09.2021'!I$202,8,)</f>
        <v>LATIN URBAN</v>
      </c>
      <c r="I25" t="str">
        <f>VLOOKUP(A25,'2.09.2021'!A$3:'2.09.2021'!I$202,9,)</f>
        <v>Puerto Rico</v>
      </c>
      <c r="J25" t="str">
        <f t="shared" si="1"/>
        <v>Nu</v>
      </c>
    </row>
    <row r="26" spans="1:10" x14ac:dyDescent="0.2">
      <c r="A26" t="s">
        <v>35</v>
      </c>
      <c r="B26" t="s">
        <v>20</v>
      </c>
      <c r="C26">
        <v>15077355</v>
      </c>
      <c r="D26" s="7">
        <f t="shared" si="0"/>
        <v>75386.774999999994</v>
      </c>
      <c r="E26" s="2">
        <v>44313</v>
      </c>
      <c r="F26" s="2">
        <v>44469</v>
      </c>
      <c r="G26" s="23">
        <v>0.16180555555555556</v>
      </c>
      <c r="H26" t="s">
        <v>423</v>
      </c>
      <c r="I26" t="s">
        <v>420</v>
      </c>
      <c r="J26" t="str">
        <f t="shared" si="1"/>
        <v>Da</v>
      </c>
    </row>
    <row r="27" spans="1:10" x14ac:dyDescent="0.2">
      <c r="A27" t="s">
        <v>414</v>
      </c>
      <c r="B27" t="s">
        <v>36</v>
      </c>
      <c r="C27">
        <v>15058863</v>
      </c>
      <c r="D27" s="7">
        <f t="shared" si="0"/>
        <v>75294.315000000002</v>
      </c>
      <c r="E27" s="2">
        <f>VLOOKUP(A27,'2.09.2021'!A$3:'2.09.2021'!I$202,5,)</f>
        <v>44411</v>
      </c>
      <c r="F27" s="2">
        <v>44469</v>
      </c>
      <c r="G27" s="23">
        <v>0.10555555555555556</v>
      </c>
      <c r="H27" t="s">
        <v>422</v>
      </c>
      <c r="I27" t="s">
        <v>487</v>
      </c>
      <c r="J27" t="str">
        <f t="shared" si="1"/>
        <v>Nu</v>
      </c>
    </row>
    <row r="28" spans="1:10" x14ac:dyDescent="0.2">
      <c r="A28" t="s">
        <v>37</v>
      </c>
      <c r="B28" t="s">
        <v>17</v>
      </c>
      <c r="C28">
        <v>14875224</v>
      </c>
      <c r="D28" s="7">
        <f t="shared" si="0"/>
        <v>74376.12</v>
      </c>
      <c r="E28" s="2">
        <f>VLOOKUP(A28,'2.09.2021'!A$3:'2.09.2021'!I$202,5,)</f>
        <v>44337</v>
      </c>
      <c r="F28" s="2">
        <v>44469</v>
      </c>
      <c r="G28" s="23">
        <f>VLOOKUP(A28,'2.09.2021'!A$3:'2.09.2021'!I$202,7,)</f>
        <v>0.15902777777777777</v>
      </c>
      <c r="H28" t="str">
        <f>VLOOKUP(A28,'2.09.2021'!A$3:'2.09.2021'!I$202,8,)</f>
        <v>POP</v>
      </c>
      <c r="I28" t="str">
        <f>VLOOKUP(A28,'2.09.2021'!A$3:'2.09.2021'!I$202,9,)</f>
        <v>SUA</v>
      </c>
      <c r="J28" t="str">
        <f t="shared" si="1"/>
        <v>Nu</v>
      </c>
    </row>
    <row r="29" spans="1:10" x14ac:dyDescent="0.2">
      <c r="A29" t="s">
        <v>439</v>
      </c>
      <c r="B29" t="s">
        <v>38</v>
      </c>
      <c r="C29">
        <v>14800239</v>
      </c>
      <c r="D29" s="7">
        <f t="shared" si="0"/>
        <v>74001.194999999992</v>
      </c>
      <c r="E29" s="2">
        <f>VLOOKUP(A29,'2.09.2021'!A$3:'2.09.2021'!I$202,5,)</f>
        <v>43917</v>
      </c>
      <c r="F29" s="2">
        <v>44469</v>
      </c>
      <c r="G29" s="23">
        <f>VLOOKUP(A29,'2.09.2021'!A$3:'2.09.2021'!I$202,7,)</f>
        <v>0.14097222222222222</v>
      </c>
      <c r="H29" t="str">
        <f>VLOOKUP(A29,'2.09.2021'!A$3:'2.09.2021'!I$202,8,)</f>
        <v>POP</v>
      </c>
      <c r="I29" t="str">
        <f>VLOOKUP(A29,'2.09.2021'!A$3:'2.09.2021'!I$202,9,)</f>
        <v>Marea Britanie</v>
      </c>
      <c r="J29" t="str">
        <f t="shared" si="1"/>
        <v>Da</v>
      </c>
    </row>
    <row r="30" spans="1:10" x14ac:dyDescent="0.2">
      <c r="A30" t="s">
        <v>39</v>
      </c>
      <c r="B30" t="s">
        <v>40</v>
      </c>
      <c r="C30">
        <v>14488602</v>
      </c>
      <c r="D30" s="7">
        <f t="shared" si="0"/>
        <v>72443.010000000009</v>
      </c>
      <c r="E30" s="2">
        <v>44257</v>
      </c>
      <c r="F30" s="2">
        <v>44469</v>
      </c>
      <c r="G30" s="23">
        <v>0.1388888888888889</v>
      </c>
      <c r="H30" t="s">
        <v>423</v>
      </c>
      <c r="I30" t="s">
        <v>499</v>
      </c>
      <c r="J30" t="str">
        <f t="shared" si="1"/>
        <v>Nu</v>
      </c>
    </row>
    <row r="31" spans="1:10" x14ac:dyDescent="0.2">
      <c r="A31" t="s">
        <v>41</v>
      </c>
      <c r="B31" t="s">
        <v>42</v>
      </c>
      <c r="C31">
        <v>14189564</v>
      </c>
      <c r="D31" s="7">
        <f t="shared" si="0"/>
        <v>70947.820000000007</v>
      </c>
      <c r="E31" s="2">
        <f>VLOOKUP(A31,'2.09.2021'!A$3:'2.09.2021'!I$202,5,)</f>
        <v>44379</v>
      </c>
      <c r="F31" s="2">
        <v>44469</v>
      </c>
      <c r="G31" s="23">
        <f>VLOOKUP(A31,'2.09.2021'!A$3:'2.09.2021'!I$202,7,)</f>
        <v>9.0277777777777776E-2</v>
      </c>
      <c r="H31" t="str">
        <f>VLOOKUP(A31,'2.09.2021'!A$3:'2.09.2021'!I$202,8,)</f>
        <v>LATIN URBAN</v>
      </c>
      <c r="I31" t="str">
        <f>VLOOKUP(A31,'2.09.2021'!A$3:'2.09.2021'!I$202,9,)</f>
        <v>Columbia</v>
      </c>
      <c r="J31" t="str">
        <f t="shared" si="1"/>
        <v>Nu</v>
      </c>
    </row>
    <row r="32" spans="1:10" x14ac:dyDescent="0.2">
      <c r="A32" t="s">
        <v>440</v>
      </c>
      <c r="B32" t="s">
        <v>43</v>
      </c>
      <c r="C32">
        <v>13613633</v>
      </c>
      <c r="D32" s="7">
        <f t="shared" si="0"/>
        <v>68068.164999999994</v>
      </c>
      <c r="E32" s="2">
        <f>VLOOKUP(A32,'2.09.2021'!A$3:'2.09.2021'!I$202,5,)</f>
        <v>44274</v>
      </c>
      <c r="F32" s="2">
        <v>44469</v>
      </c>
      <c r="G32" s="23">
        <f>VLOOKUP(A32,'2.09.2021'!A$3:'2.09.2021'!I$202,7,)</f>
        <v>0.13749999999999998</v>
      </c>
      <c r="H32" t="str">
        <f>VLOOKUP(A32,'2.09.2021'!A$3:'2.09.2021'!I$202,8,)</f>
        <v>POP</v>
      </c>
      <c r="I32" t="str">
        <f>VLOOKUP(A32,'2.09.2021'!A$3:'2.09.2021'!I$202,9,)</f>
        <v>Canada</v>
      </c>
      <c r="J32" t="str">
        <f t="shared" si="1"/>
        <v>Da</v>
      </c>
    </row>
    <row r="33" spans="1:10" x14ac:dyDescent="0.2">
      <c r="A33" t="s">
        <v>44</v>
      </c>
      <c r="B33" t="s">
        <v>40</v>
      </c>
      <c r="C33">
        <v>13545135</v>
      </c>
      <c r="D33" s="7">
        <f t="shared" si="0"/>
        <v>67725.675000000003</v>
      </c>
      <c r="E33" s="2">
        <v>44445</v>
      </c>
      <c r="F33" s="2">
        <v>44469</v>
      </c>
      <c r="G33" s="23">
        <v>9.8611111111111108E-2</v>
      </c>
      <c r="H33" t="s">
        <v>422</v>
      </c>
      <c r="I33" t="s">
        <v>420</v>
      </c>
      <c r="J33" t="str">
        <f t="shared" si="1"/>
        <v>Nu</v>
      </c>
    </row>
    <row r="34" spans="1:10" x14ac:dyDescent="0.2">
      <c r="A34" t="s">
        <v>45</v>
      </c>
      <c r="B34" t="s">
        <v>46</v>
      </c>
      <c r="C34">
        <v>13244817</v>
      </c>
      <c r="D34" s="7">
        <f t="shared" si="0"/>
        <v>66224.084999999992</v>
      </c>
      <c r="E34" s="2">
        <f>VLOOKUP(A34,'2.09.2021'!A$3:'2.09.2021'!I$202,5,)</f>
        <v>44414</v>
      </c>
      <c r="F34" s="2">
        <v>44469</v>
      </c>
      <c r="G34" s="23">
        <f>VLOOKUP(A34,'2.09.2021'!A$3:'2.09.2021'!I$202,7,)</f>
        <v>0.15277777777777776</v>
      </c>
      <c r="H34" t="str">
        <f>VLOOKUP(A34,'2.09.2021'!A$3:'2.09.2021'!I$202,8,)</f>
        <v>R&amp;B/SOUL</v>
      </c>
      <c r="I34" t="str">
        <f>VLOOKUP(A34,'2.09.2021'!A$3:'2.09.2021'!I$202,9,)</f>
        <v>Canada</v>
      </c>
      <c r="J34" t="str">
        <f t="shared" si="1"/>
        <v>Nu</v>
      </c>
    </row>
    <row r="35" spans="1:10" x14ac:dyDescent="0.2">
      <c r="A35" t="s">
        <v>47</v>
      </c>
      <c r="B35" t="s">
        <v>48</v>
      </c>
      <c r="C35">
        <v>13161436</v>
      </c>
      <c r="D35" s="7">
        <f t="shared" si="0"/>
        <v>65807.179999999993</v>
      </c>
      <c r="E35" s="2">
        <v>44347</v>
      </c>
      <c r="F35" s="2">
        <v>44469</v>
      </c>
      <c r="G35" s="23">
        <v>0.15625</v>
      </c>
      <c r="H35" t="s">
        <v>422</v>
      </c>
      <c r="I35" t="s">
        <v>468</v>
      </c>
      <c r="J35" t="str">
        <f t="shared" si="1"/>
        <v>Nu</v>
      </c>
    </row>
    <row r="36" spans="1:10" x14ac:dyDescent="0.2">
      <c r="A36" t="s">
        <v>417</v>
      </c>
      <c r="B36" t="s">
        <v>42</v>
      </c>
      <c r="C36">
        <v>12845957</v>
      </c>
      <c r="D36" s="7">
        <f t="shared" si="0"/>
        <v>64229.785000000003</v>
      </c>
      <c r="E36" s="2">
        <f>VLOOKUP(A36,'2.09.2021'!A$3:'2.09.2021'!I$202,5,)</f>
        <v>44344</v>
      </c>
      <c r="F36" s="2">
        <v>44469</v>
      </c>
      <c r="G36" s="23">
        <f>VLOOKUP(A36,'2.09.2021'!A$3:'2.09.2021'!I$202,7,)</f>
        <v>0.15069444444444444</v>
      </c>
      <c r="H36" t="str">
        <f>VLOOKUP(A36,'2.09.2021'!A$3:'2.09.2021'!I$202,8,)</f>
        <v>LATIN URBAN</v>
      </c>
      <c r="I36" t="str">
        <f>VLOOKUP(A36,'2.09.2021'!A$3:'2.09.2021'!I$202,9,)</f>
        <v>Columbia</v>
      </c>
      <c r="J36" t="str">
        <f t="shared" si="1"/>
        <v>Nu</v>
      </c>
    </row>
    <row r="37" spans="1:10" x14ac:dyDescent="0.2">
      <c r="A37" t="s">
        <v>49</v>
      </c>
      <c r="B37" t="s">
        <v>46</v>
      </c>
      <c r="C37">
        <v>12810321</v>
      </c>
      <c r="D37" s="7">
        <f t="shared" si="0"/>
        <v>64051.604999999996</v>
      </c>
      <c r="E37" s="2">
        <f>VLOOKUP(A37,'2.09.2021'!A$3:'2.09.2021'!I$202,5,)</f>
        <v>43798</v>
      </c>
      <c r="F37" s="2">
        <v>44469</v>
      </c>
      <c r="G37" s="23">
        <f>VLOOKUP(A37,'2.09.2021'!A$3:'2.09.2021'!I$202,7,)</f>
        <v>0.13958333333333334</v>
      </c>
      <c r="H37" t="str">
        <f>VLOOKUP(A37,'2.09.2021'!A$3:'2.09.2021'!I$202,8,)</f>
        <v>R&amp;B/SOUL</v>
      </c>
      <c r="I37" t="str">
        <f>VLOOKUP(A37,'2.09.2021'!A$3:'2.09.2021'!I$202,9,)</f>
        <v>Canada</v>
      </c>
      <c r="J37" t="str">
        <f t="shared" si="1"/>
        <v>Nu</v>
      </c>
    </row>
    <row r="38" spans="1:10" x14ac:dyDescent="0.2">
      <c r="A38" t="s">
        <v>50</v>
      </c>
      <c r="B38" t="s">
        <v>20</v>
      </c>
      <c r="C38">
        <v>12790468</v>
      </c>
      <c r="D38" s="7">
        <f t="shared" si="0"/>
        <v>63952.340000000004</v>
      </c>
      <c r="E38" s="2">
        <v>44359</v>
      </c>
      <c r="F38" s="2">
        <v>44469</v>
      </c>
      <c r="G38" s="23">
        <v>0.14861111111111111</v>
      </c>
      <c r="H38" t="s">
        <v>423</v>
      </c>
      <c r="I38" t="s">
        <v>420</v>
      </c>
      <c r="J38" t="str">
        <f t="shared" si="1"/>
        <v>Da</v>
      </c>
    </row>
    <row r="39" spans="1:10" x14ac:dyDescent="0.2">
      <c r="A39" t="s">
        <v>51</v>
      </c>
      <c r="B39" t="s">
        <v>52</v>
      </c>
      <c r="C39">
        <v>12717295</v>
      </c>
      <c r="D39" s="7">
        <f t="shared" si="0"/>
        <v>63586.474999999999</v>
      </c>
      <c r="E39" s="2">
        <f>VLOOKUP(A39,'2.09.2021'!A$3:'2.09.2021'!I$202,5,)</f>
        <v>44416</v>
      </c>
      <c r="F39" s="2">
        <v>44469</v>
      </c>
      <c r="G39" s="23">
        <f>VLOOKUP(A39,'2.09.2021'!A$3:'2.09.2021'!I$202,7,)</f>
        <v>0.16874999999999998</v>
      </c>
      <c r="H39" t="str">
        <f>VLOOKUP(A39,'2.09.2021'!A$3:'2.09.2021'!I$202,8,)</f>
        <v>HIP-HOP/RAP</v>
      </c>
      <c r="I39" t="str">
        <f>VLOOKUP(A39,'2.09.2021'!A$3:'2.09.2021'!I$202,9,)</f>
        <v>SUA</v>
      </c>
      <c r="J39" t="str">
        <f t="shared" si="1"/>
        <v>Nu</v>
      </c>
    </row>
    <row r="40" spans="1:10" x14ac:dyDescent="0.2">
      <c r="A40" t="s">
        <v>53</v>
      </c>
      <c r="B40" t="s">
        <v>415</v>
      </c>
      <c r="C40">
        <v>12345473</v>
      </c>
      <c r="D40" s="7">
        <f t="shared" si="0"/>
        <v>61727.364999999998</v>
      </c>
      <c r="E40" s="2">
        <f>VLOOKUP(A40,'2.09.2021'!A$3:'2.09.2021'!I$202,5,)</f>
        <v>44274</v>
      </c>
      <c r="F40" s="2">
        <v>44469</v>
      </c>
      <c r="G40" s="23">
        <f>VLOOKUP(A40,'2.09.2021'!A$3:'2.09.2021'!I$202,7,)</f>
        <v>0.12013888888888889</v>
      </c>
      <c r="H40" t="str">
        <f>VLOOKUP(A40,'2.09.2021'!A$3:'2.09.2021'!I$202,8,)</f>
        <v>ROCK</v>
      </c>
      <c r="I40" t="str">
        <f>VLOOKUP(A40,'2.09.2021'!A$3:'2.09.2021'!I$202,9,)</f>
        <v>Italia</v>
      </c>
      <c r="J40" t="str">
        <f t="shared" si="1"/>
        <v>Nu</v>
      </c>
    </row>
    <row r="41" spans="1:10" x14ac:dyDescent="0.2">
      <c r="A41" t="s">
        <v>54</v>
      </c>
      <c r="B41" t="s">
        <v>55</v>
      </c>
      <c r="C41">
        <v>12286136</v>
      </c>
      <c r="D41" s="7">
        <f t="shared" si="0"/>
        <v>61430.68</v>
      </c>
      <c r="E41" s="2">
        <f>VLOOKUP(A41,'2.09.2021'!A$3:'2.09.2021'!I$202,5,)</f>
        <v>44337</v>
      </c>
      <c r="F41" s="2">
        <v>44469</v>
      </c>
      <c r="G41" s="23">
        <f>VLOOKUP(A41,'2.09.2021'!A$3:'2.09.2021'!I$202,7,)</f>
        <v>0.11388888888888889</v>
      </c>
      <c r="H41" t="str">
        <f>VLOOKUP(A41,'2.09.2021'!A$3:'2.09.2021'!I$202,8,)</f>
        <v>K-POP</v>
      </c>
      <c r="I41" t="str">
        <f>VLOOKUP(A41,'2.09.2021'!A$3:'2.09.2021'!I$202,9,)</f>
        <v>Korea de Sud</v>
      </c>
      <c r="J41" t="str">
        <f t="shared" si="1"/>
        <v>Nu</v>
      </c>
    </row>
    <row r="42" spans="1:10" x14ac:dyDescent="0.2">
      <c r="A42" t="s">
        <v>56</v>
      </c>
      <c r="B42" t="s">
        <v>46</v>
      </c>
      <c r="C42">
        <v>12206040</v>
      </c>
      <c r="D42" s="7">
        <f t="shared" si="0"/>
        <v>61030.200000000004</v>
      </c>
      <c r="E42" s="2">
        <f>VLOOKUP(A42,'2.09.2021'!A$3:'2.09.2021'!I$202,5,)</f>
        <v>43910</v>
      </c>
      <c r="F42" s="2">
        <v>44469</v>
      </c>
      <c r="G42" s="23">
        <f>VLOOKUP(A42,'2.09.2021'!A$3:'2.09.2021'!I$202,7,)</f>
        <v>0.14930555555555555</v>
      </c>
      <c r="H42" t="str">
        <f>VLOOKUP(A42,'2.09.2021'!A$3:'2.09.2021'!I$202,8,)</f>
        <v>R&amp;B/SOUL</v>
      </c>
      <c r="I42" t="str">
        <f>VLOOKUP(A42,'2.09.2021'!A$3:'2.09.2021'!I$202,9,)</f>
        <v>Canada</v>
      </c>
      <c r="J42" t="str">
        <f t="shared" si="1"/>
        <v>Da</v>
      </c>
    </row>
    <row r="43" spans="1:10" x14ac:dyDescent="0.2">
      <c r="A43" t="s">
        <v>57</v>
      </c>
      <c r="B43" t="s">
        <v>17</v>
      </c>
      <c r="C43">
        <v>11602712</v>
      </c>
      <c r="D43" s="7">
        <f t="shared" si="0"/>
        <v>58013.56</v>
      </c>
      <c r="E43" s="2">
        <f>VLOOKUP(A43,'2.09.2021'!A$3:'2.09.2021'!I$202,5,)</f>
        <v>44204</v>
      </c>
      <c r="F43" s="2">
        <v>44469</v>
      </c>
      <c r="G43" s="23">
        <f>VLOOKUP(A43,'2.09.2021'!A$3:'2.09.2021'!I$202,7,)</f>
        <v>0.16805555555555554</v>
      </c>
      <c r="H43" t="str">
        <f>VLOOKUP(A43,'2.09.2021'!A$3:'2.09.2021'!I$202,8,)</f>
        <v>POP</v>
      </c>
      <c r="I43" t="str">
        <f>VLOOKUP(A43,'2.09.2021'!A$3:'2.09.2021'!I$202,9,)</f>
        <v>SUA</v>
      </c>
      <c r="J43" t="str">
        <f t="shared" si="1"/>
        <v>Nu</v>
      </c>
    </row>
    <row r="44" spans="1:10" x14ac:dyDescent="0.2">
      <c r="A44" t="s">
        <v>58</v>
      </c>
      <c r="B44" t="s">
        <v>59</v>
      </c>
      <c r="C44">
        <v>11587692</v>
      </c>
      <c r="D44" s="7">
        <f t="shared" si="0"/>
        <v>57938.459999999992</v>
      </c>
      <c r="E44" s="2">
        <f>VLOOKUP(A44,'2.09.2021'!A$3:'2.09.2021'!I$202,5,)</f>
        <v>44320</v>
      </c>
      <c r="F44" s="2">
        <v>44469</v>
      </c>
      <c r="G44" s="23">
        <f>VLOOKUP(A44,'2.09.2021'!A$3:'2.09.2021'!I$202,7,)</f>
        <v>0.14097222222222222</v>
      </c>
      <c r="H44" t="str">
        <f>VLOOKUP(A44,'2.09.2021'!A$3:'2.09.2021'!I$202,8,)</f>
        <v>R&amp;B/SOUL</v>
      </c>
      <c r="I44" t="str">
        <f>VLOOKUP(A44,'2.09.2021'!A$3:'2.09.2021'!I$202,9,)</f>
        <v>Olanda</v>
      </c>
      <c r="J44" t="str">
        <f t="shared" si="1"/>
        <v>Nu</v>
      </c>
    </row>
    <row r="45" spans="1:10" x14ac:dyDescent="0.2">
      <c r="A45" s="10">
        <v>2055</v>
      </c>
      <c r="B45" t="s">
        <v>60</v>
      </c>
      <c r="C45">
        <v>11579376</v>
      </c>
      <c r="D45" s="7">
        <f t="shared" si="0"/>
        <v>57896.880000000005</v>
      </c>
      <c r="E45" s="2">
        <f>VLOOKUP(A45,'2.09.2021'!A$3:'2.09.2021'!I$202,5,)</f>
        <v>44300</v>
      </c>
      <c r="F45" s="2">
        <v>44469</v>
      </c>
      <c r="G45" s="23">
        <f>VLOOKUP(A45,'2.09.2021'!A$3:'2.09.2021'!I$202,7,)</f>
        <v>8.5416666666666655E-2</v>
      </c>
      <c r="H45" t="str">
        <f>VLOOKUP(A45,'2.09.2021'!A$3:'2.09.2021'!I$202,8,)</f>
        <v>HIP-HOP/RAP</v>
      </c>
      <c r="I45" t="str">
        <f>VLOOKUP(A45,'2.09.2021'!A$3:'2.09.2021'!I$202,9,)</f>
        <v>Jamaica</v>
      </c>
      <c r="J45" t="str">
        <f t="shared" si="1"/>
        <v>Nu</v>
      </c>
    </row>
    <row r="46" spans="1:10" x14ac:dyDescent="0.2">
      <c r="A46" t="s">
        <v>61</v>
      </c>
      <c r="B46" t="s">
        <v>62</v>
      </c>
      <c r="C46">
        <v>11464000</v>
      </c>
      <c r="D46" s="7">
        <f t="shared" si="0"/>
        <v>57320</v>
      </c>
      <c r="E46" s="2">
        <v>44370</v>
      </c>
      <c r="F46" s="2">
        <v>44469</v>
      </c>
      <c r="G46" s="23">
        <v>0.11527777777777777</v>
      </c>
      <c r="H46" t="s">
        <v>422</v>
      </c>
      <c r="I46" t="s">
        <v>468</v>
      </c>
      <c r="J46" t="str">
        <f t="shared" si="1"/>
        <v>Nu</v>
      </c>
    </row>
    <row r="47" spans="1:10" x14ac:dyDescent="0.2">
      <c r="A47" t="s">
        <v>63</v>
      </c>
      <c r="B47" t="s">
        <v>64</v>
      </c>
      <c r="C47">
        <v>11418146</v>
      </c>
      <c r="D47" s="7">
        <f t="shared" si="0"/>
        <v>57090.73</v>
      </c>
      <c r="E47" s="2">
        <v>44370</v>
      </c>
      <c r="F47" s="2">
        <v>44469</v>
      </c>
      <c r="G47" s="23">
        <v>9.930555555555555E-2</v>
      </c>
      <c r="H47" t="s">
        <v>418</v>
      </c>
      <c r="I47" t="s">
        <v>472</v>
      </c>
      <c r="J47" t="str">
        <f t="shared" si="1"/>
        <v>Nu</v>
      </c>
    </row>
    <row r="48" spans="1:10" x14ac:dyDescent="0.2">
      <c r="A48" t="s">
        <v>427</v>
      </c>
      <c r="B48" t="s">
        <v>34</v>
      </c>
      <c r="C48">
        <v>11345113</v>
      </c>
      <c r="D48" s="7">
        <f t="shared" si="0"/>
        <v>56725.564999999995</v>
      </c>
      <c r="E48" s="2">
        <f>VLOOKUP(A48,'2.09.2021'!A$3:'2.09.2021'!I$202,5,)</f>
        <v>44372</v>
      </c>
      <c r="F48" s="2">
        <v>44469</v>
      </c>
      <c r="G48" s="23">
        <f>VLOOKUP(A48,'2.09.2021'!A$3:'2.09.2021'!I$202,7,)</f>
        <v>0.11388888888888889</v>
      </c>
      <c r="H48" t="str">
        <f>VLOOKUP(A48,'2.09.2021'!A$3:'2.09.2021'!I$202,8,)</f>
        <v>LATIN URBAN</v>
      </c>
      <c r="I48" t="str">
        <f>VLOOKUP(A48,'2.09.2021'!A$3:'2.09.2021'!I$202,9,)</f>
        <v>Puerto Rico</v>
      </c>
      <c r="J48" t="str">
        <f t="shared" si="1"/>
        <v>Nu</v>
      </c>
    </row>
    <row r="49" spans="1:10" x14ac:dyDescent="0.2">
      <c r="A49" t="s">
        <v>65</v>
      </c>
      <c r="B49" t="s">
        <v>12</v>
      </c>
      <c r="C49">
        <v>10881176</v>
      </c>
      <c r="D49" s="7">
        <f t="shared" si="0"/>
        <v>54405.88</v>
      </c>
      <c r="E49" s="2">
        <f>VLOOKUP(A49,'2.09.2021'!A$3:'2.09.2021'!I$202,5,)</f>
        <v>44372</v>
      </c>
      <c r="F49" s="2">
        <v>44469</v>
      </c>
      <c r="G49" s="23">
        <f>VLOOKUP(A49,'2.09.2021'!A$3:'2.09.2021'!I$202,7,)</f>
        <v>9.5833333333333326E-2</v>
      </c>
      <c r="H49" t="str">
        <f>VLOOKUP(A49,'2.09.2021'!A$3:'2.09.2021'!I$202,8,)</f>
        <v>POP</v>
      </c>
      <c r="I49" t="str">
        <f>VLOOKUP(A49,'2.09.2021'!A$3:'2.09.2021'!I$202,9,)</f>
        <v>SUA</v>
      </c>
      <c r="J49" t="str">
        <f t="shared" si="1"/>
        <v>Nu</v>
      </c>
    </row>
    <row r="50" spans="1:10" x14ac:dyDescent="0.2">
      <c r="A50" t="s">
        <v>66</v>
      </c>
      <c r="B50" t="s">
        <v>67</v>
      </c>
      <c r="C50">
        <v>10746236</v>
      </c>
      <c r="D50" s="7">
        <f t="shared" si="0"/>
        <v>53731.180000000008</v>
      </c>
      <c r="E50" s="2">
        <v>44366</v>
      </c>
      <c r="F50" s="2">
        <v>44469</v>
      </c>
      <c r="G50" s="23">
        <v>0.24930555555555556</v>
      </c>
      <c r="H50" t="s">
        <v>422</v>
      </c>
      <c r="I50" t="s">
        <v>500</v>
      </c>
      <c r="J50" t="str">
        <f t="shared" si="1"/>
        <v>Nu</v>
      </c>
    </row>
    <row r="51" spans="1:10" x14ac:dyDescent="0.2">
      <c r="A51" t="s">
        <v>68</v>
      </c>
      <c r="B51" t="s">
        <v>69</v>
      </c>
      <c r="C51">
        <v>10645133</v>
      </c>
      <c r="D51" s="7">
        <f t="shared" si="0"/>
        <v>53225.665000000001</v>
      </c>
      <c r="E51" s="2">
        <f>VLOOKUP(A51,'2.09.2021'!A$3:'2.09.2021'!I$202,5,)</f>
        <v>44385</v>
      </c>
      <c r="F51" s="2">
        <v>44469</v>
      </c>
      <c r="G51" s="23">
        <f>VLOOKUP(A51,'2.09.2021'!A$3:'2.09.2021'!I$202,7,)</f>
        <v>0.13958333333333334</v>
      </c>
      <c r="H51" t="str">
        <f>VLOOKUP(A51,'2.09.2021'!A$3:'2.09.2021'!I$202,8,)</f>
        <v>LATIN URBAN</v>
      </c>
      <c r="I51" t="str">
        <f>VLOOKUP(A51,'2.09.2021'!A$3:'2.09.2021'!I$202,9,)</f>
        <v>Columbia</v>
      </c>
      <c r="J51" t="str">
        <f t="shared" si="1"/>
        <v>Nu</v>
      </c>
    </row>
    <row r="52" spans="1:10" x14ac:dyDescent="0.2">
      <c r="A52" t="s">
        <v>70</v>
      </c>
      <c r="B52" t="s">
        <v>71</v>
      </c>
      <c r="C52">
        <v>10482746</v>
      </c>
      <c r="D52" s="7">
        <f t="shared" si="0"/>
        <v>52413.729999999996</v>
      </c>
      <c r="E52" s="2">
        <f>VLOOKUP(A52,'2.09.2021'!A$3:'2.09.2021'!I$202,5,)</f>
        <v>44371</v>
      </c>
      <c r="F52" s="2">
        <v>44469</v>
      </c>
      <c r="G52" s="23">
        <f>VLOOKUP(A52,'2.09.2021'!A$3:'2.09.2021'!I$202,7,)</f>
        <v>0.18124999999999999</v>
      </c>
      <c r="H52" t="str">
        <f>VLOOKUP(A52,'2.09.2021'!A$3:'2.09.2021'!I$202,8,)</f>
        <v>LATIN URBAN</v>
      </c>
      <c r="I52" t="str">
        <f>VLOOKUP(A52,'2.09.2021'!A$3:'2.09.2021'!I$202,9,)</f>
        <v>Puerto Rico</v>
      </c>
      <c r="J52" t="str">
        <f t="shared" si="1"/>
        <v>Nu</v>
      </c>
    </row>
    <row r="53" spans="1:10" x14ac:dyDescent="0.2">
      <c r="A53" t="s">
        <v>72</v>
      </c>
      <c r="B53" t="s">
        <v>73</v>
      </c>
      <c r="C53">
        <v>10364052</v>
      </c>
      <c r="D53" s="7">
        <f t="shared" si="0"/>
        <v>51820.259999999995</v>
      </c>
      <c r="E53" s="2">
        <f>VLOOKUP(A53,'2.09.2021'!A$3:'2.09.2021'!I$202,5,)</f>
        <v>44385</v>
      </c>
      <c r="F53" s="2">
        <v>44469</v>
      </c>
      <c r="G53" s="23">
        <f>VLOOKUP(A53,'2.09.2021'!A$3:'2.09.2021'!I$202,7,)</f>
        <v>0.18958333333333333</v>
      </c>
      <c r="H53" t="str">
        <f>VLOOKUP(A53,'2.09.2021'!A$3:'2.09.2021'!I$202,8,)</f>
        <v>LATIN</v>
      </c>
      <c r="I53" t="str">
        <f>VLOOKUP(A53,'2.09.2021'!A$3:'2.09.2021'!I$202,9,)</f>
        <v>Puerto Rico</v>
      </c>
      <c r="J53" t="str">
        <f t="shared" si="1"/>
        <v>Nu</v>
      </c>
    </row>
    <row r="54" spans="1:10" x14ac:dyDescent="0.2">
      <c r="A54" t="s">
        <v>74</v>
      </c>
      <c r="B54" t="s">
        <v>17</v>
      </c>
      <c r="C54">
        <v>10335435</v>
      </c>
      <c r="D54" s="7">
        <f t="shared" si="0"/>
        <v>51677.174999999996</v>
      </c>
      <c r="E54" s="2">
        <f>VLOOKUP(A54,'2.09.2021'!A$3:'2.09.2021'!I$202,5,)</f>
        <v>44337</v>
      </c>
      <c r="F54" s="2">
        <v>44469</v>
      </c>
      <c r="G54" s="23">
        <f>VLOOKUP(A54,'2.09.2021'!A$3:'2.09.2021'!I$202,7,)</f>
        <v>0.14930555555555555</v>
      </c>
      <c r="H54" t="str">
        <f>VLOOKUP(A54,'2.09.2021'!A$3:'2.09.2021'!I$202,8,)</f>
        <v>POP</v>
      </c>
      <c r="I54" t="str">
        <f>VLOOKUP(A54,'2.09.2021'!A$3:'2.09.2021'!I$202,9,)</f>
        <v>SUA</v>
      </c>
      <c r="J54" t="str">
        <f t="shared" si="1"/>
        <v>Nu</v>
      </c>
    </row>
    <row r="55" spans="1:10" x14ac:dyDescent="0.2">
      <c r="A55" t="s">
        <v>75</v>
      </c>
      <c r="B55" t="s">
        <v>55</v>
      </c>
      <c r="C55">
        <v>10333834</v>
      </c>
      <c r="D55" s="7">
        <f t="shared" si="0"/>
        <v>51669.170000000006</v>
      </c>
      <c r="E55" s="2">
        <f>VLOOKUP(A55,'2.09.2021'!A$3:'2.09.2021'!I$202,5,)</f>
        <v>44386</v>
      </c>
      <c r="F55" s="2">
        <v>44469</v>
      </c>
      <c r="G55" s="23">
        <f>VLOOKUP(A55,'2.09.2021'!A$3:'2.09.2021'!I$202,7,)</f>
        <v>0.12986111111111112</v>
      </c>
      <c r="H55" t="str">
        <f>VLOOKUP(A55,'2.09.2021'!A$3:'2.09.2021'!I$202,8,)</f>
        <v>K-POP</v>
      </c>
      <c r="I55" t="str">
        <f>VLOOKUP(A55,'2.09.2021'!A$3:'2.09.2021'!I$202,9,)</f>
        <v>Korea de Sud</v>
      </c>
      <c r="J55" t="str">
        <f t="shared" si="1"/>
        <v>Nu</v>
      </c>
    </row>
    <row r="56" spans="1:10" x14ac:dyDescent="0.2">
      <c r="A56" t="s">
        <v>441</v>
      </c>
      <c r="B56" t="s">
        <v>76</v>
      </c>
      <c r="C56">
        <v>10206267</v>
      </c>
      <c r="D56" s="7">
        <f t="shared" si="0"/>
        <v>51031.334999999999</v>
      </c>
      <c r="E56" s="2">
        <f>VLOOKUP(A56,'2.09.2021'!A$3:'2.09.2021'!I$202,5,)</f>
        <v>44370</v>
      </c>
      <c r="F56" s="2">
        <v>44469</v>
      </c>
      <c r="G56" s="23">
        <f>VLOOKUP(A56,'2.09.2021'!A$3:'2.09.2021'!I$202,7,)</f>
        <v>0.18124999999999999</v>
      </c>
      <c r="H56" t="str">
        <f>VLOOKUP(A56,'2.09.2021'!A$3:'2.09.2021'!I$202,8,)</f>
        <v>ROCK</v>
      </c>
      <c r="I56" t="str">
        <f>VLOOKUP(A56,'2.09.2021'!A$3:'2.09.2021'!I$202,9,)</f>
        <v>Marea Britanie</v>
      </c>
      <c r="J56" t="str">
        <f t="shared" si="1"/>
        <v>Da</v>
      </c>
    </row>
    <row r="57" spans="1:10" x14ac:dyDescent="0.2">
      <c r="A57" t="s">
        <v>77</v>
      </c>
      <c r="B57" t="s">
        <v>78</v>
      </c>
      <c r="C57">
        <v>9964005</v>
      </c>
      <c r="D57" s="7">
        <f t="shared" si="0"/>
        <v>49820.024999999994</v>
      </c>
      <c r="E57" s="2">
        <v>44435</v>
      </c>
      <c r="F57" s="2">
        <v>44469</v>
      </c>
      <c r="G57" s="23">
        <v>0.13194444444444445</v>
      </c>
      <c r="H57" t="s">
        <v>422</v>
      </c>
      <c r="I57" t="s">
        <v>476</v>
      </c>
      <c r="J57" t="str">
        <f t="shared" si="1"/>
        <v>Nu</v>
      </c>
    </row>
    <row r="58" spans="1:10" x14ac:dyDescent="0.2">
      <c r="A58" t="s">
        <v>79</v>
      </c>
      <c r="B58" t="s">
        <v>80</v>
      </c>
      <c r="C58">
        <v>9900093</v>
      </c>
      <c r="D58" s="7">
        <f t="shared" si="0"/>
        <v>49500.465000000004</v>
      </c>
      <c r="E58" s="2">
        <f>VLOOKUP(A58,'2.09.2021'!A$3:'2.09.2021'!I$202,5,)</f>
        <v>44435</v>
      </c>
      <c r="F58" s="2">
        <v>44469</v>
      </c>
      <c r="G58" s="23">
        <f>VLOOKUP(A58,'2.09.2021'!A$3:'2.09.2021'!I$202,7,)</f>
        <v>0.17500000000000002</v>
      </c>
      <c r="H58" t="str">
        <f>VLOOKUP(A58,'2.09.2021'!A$3:'2.09.2021'!I$202,8,)</f>
        <v>HIP-HOP/RAP</v>
      </c>
      <c r="I58" t="str">
        <f>VLOOKUP(A58,'2.09.2021'!A$3:'2.09.2021'!I$202,9,)</f>
        <v>SUA</v>
      </c>
      <c r="J58" t="str">
        <f t="shared" si="1"/>
        <v>Da</v>
      </c>
    </row>
    <row r="59" spans="1:10" x14ac:dyDescent="0.2">
      <c r="A59" t="s">
        <v>81</v>
      </c>
      <c r="B59" t="s">
        <v>82</v>
      </c>
      <c r="C59">
        <v>9587759</v>
      </c>
      <c r="D59" s="7">
        <f t="shared" si="0"/>
        <v>47938.794999999998</v>
      </c>
      <c r="E59" s="2">
        <f>VLOOKUP(A59,'2.09.2021'!A$3:'2.09.2021'!I$202,5,)</f>
        <v>44400</v>
      </c>
      <c r="F59" s="2">
        <v>44469</v>
      </c>
      <c r="G59" s="23">
        <f>VLOOKUP(A59,'2.09.2021'!A$3:'2.09.2021'!I$202,7,)</f>
        <v>0.11388888888888889</v>
      </c>
      <c r="H59" t="str">
        <f>VLOOKUP(A59,'2.09.2021'!A$3:'2.09.2021'!I$202,8,)</f>
        <v>POP</v>
      </c>
      <c r="I59" t="str">
        <f>VLOOKUP(A59,'2.09.2021'!A$3:'2.09.2021'!I$202,9,)</f>
        <v>Cuba</v>
      </c>
      <c r="J59" t="str">
        <f t="shared" si="1"/>
        <v>Nu</v>
      </c>
    </row>
    <row r="60" spans="1:10" x14ac:dyDescent="0.2">
      <c r="A60" t="s">
        <v>83</v>
      </c>
      <c r="B60" t="s">
        <v>84</v>
      </c>
      <c r="C60">
        <v>9566164</v>
      </c>
      <c r="D60" s="7">
        <f t="shared" si="0"/>
        <v>47830.820000000007</v>
      </c>
      <c r="E60" s="2">
        <f>VLOOKUP(A60,'2.09.2021'!A$3:'2.09.2021'!I$202,5,)</f>
        <v>43812</v>
      </c>
      <c r="F60" s="2">
        <v>44469</v>
      </c>
      <c r="G60" s="23">
        <f>VLOOKUP(A60,'2.09.2021'!A$3:'2.09.2021'!I$202,7,)</f>
        <v>0.12013888888888889</v>
      </c>
      <c r="H60" t="str">
        <f>VLOOKUP(A60,'2.09.2021'!A$3:'2.09.2021'!I$202,8,)</f>
        <v>POP</v>
      </c>
      <c r="I60" t="str">
        <f>VLOOKUP(A60,'2.09.2021'!A$3:'2.09.2021'!I$202,9,)</f>
        <v>Marea Britanie</v>
      </c>
      <c r="J60" t="str">
        <f t="shared" si="1"/>
        <v>Nu</v>
      </c>
    </row>
    <row r="61" spans="1:10" x14ac:dyDescent="0.2">
      <c r="A61" t="s">
        <v>85</v>
      </c>
      <c r="B61" t="s">
        <v>86</v>
      </c>
      <c r="C61">
        <v>9268765</v>
      </c>
      <c r="D61" s="7">
        <f t="shared" si="0"/>
        <v>46343.824999999997</v>
      </c>
      <c r="E61" s="2">
        <f>VLOOKUP(A61,'2.09.2021'!A$3:'2.09.2021'!I$202,5,)</f>
        <v>44230</v>
      </c>
      <c r="F61" s="2">
        <v>44469</v>
      </c>
      <c r="G61" s="23">
        <f>VLOOKUP(A61,'2.09.2021'!A$3:'2.09.2021'!I$202,7,)</f>
        <v>9.5833333333333326E-2</v>
      </c>
      <c r="H61" t="str">
        <f>VLOOKUP(A61,'2.09.2021'!A$3:'2.09.2021'!I$202,8,)</f>
        <v>R&amp;B/SOUL</v>
      </c>
      <c r="I61" t="str">
        <f>VLOOKUP(A61,'2.09.2021'!A$3:'2.09.2021'!I$202,9,)</f>
        <v>SUA</v>
      </c>
      <c r="J61" t="str">
        <f t="shared" si="1"/>
        <v>Nu</v>
      </c>
    </row>
    <row r="62" spans="1:10" x14ac:dyDescent="0.2">
      <c r="A62" t="s">
        <v>430</v>
      </c>
      <c r="B62" t="s">
        <v>32</v>
      </c>
      <c r="C62">
        <v>9153046</v>
      </c>
      <c r="D62" s="7">
        <f t="shared" si="0"/>
        <v>45765.23</v>
      </c>
      <c r="E62" s="2">
        <f>VLOOKUP(A62,'2.09.2021'!A$3:'2.09.2021'!I$202,5,)</f>
        <v>44134</v>
      </c>
      <c r="F62" s="2">
        <v>44469</v>
      </c>
      <c r="G62" s="23">
        <f>VLOOKUP(A62,'2.09.2021'!A$3:'2.09.2021'!I$202,7,)</f>
        <v>0.1423611111111111</v>
      </c>
      <c r="H62" t="str">
        <f>VLOOKUP(A62,'2.09.2021'!A$3:'2.09.2021'!I$202,8,)</f>
        <v>LATIN</v>
      </c>
      <c r="I62" t="str">
        <f>VLOOKUP(A62,'2.09.2021'!A$3:'2.09.2021'!I$202,9,)</f>
        <v>Puerto Rico</v>
      </c>
      <c r="J62" t="str">
        <f t="shared" si="1"/>
        <v>Nu</v>
      </c>
    </row>
    <row r="63" spans="1:10" x14ac:dyDescent="0.2">
      <c r="A63" t="s">
        <v>87</v>
      </c>
      <c r="B63" t="s">
        <v>88</v>
      </c>
      <c r="C63">
        <v>8999268</v>
      </c>
      <c r="D63" s="7">
        <f t="shared" si="0"/>
        <v>44996.34</v>
      </c>
      <c r="E63" s="2">
        <f>VLOOKUP(A63,'2.09.2021'!A$3:'2.09.2021'!I$202,5,)</f>
        <v>44260</v>
      </c>
      <c r="F63" s="2">
        <v>44469</v>
      </c>
      <c r="G63" s="23">
        <f>VLOOKUP(A63,'2.09.2021'!A$3:'2.09.2021'!I$202,7,)</f>
        <v>0.16805555555555554</v>
      </c>
      <c r="H63" t="str">
        <f>VLOOKUP(A63,'2.09.2021'!A$3:'2.09.2021'!I$202,8,)</f>
        <v>R&amp;B/SOUL</v>
      </c>
      <c r="I63" t="str">
        <f>VLOOKUP(A63,'2.09.2021'!A$3:'2.09.2021'!I$202,9,)</f>
        <v>Puerto Rico</v>
      </c>
      <c r="J63" t="str">
        <f t="shared" si="1"/>
        <v>Nu</v>
      </c>
    </row>
    <row r="64" spans="1:10" x14ac:dyDescent="0.2">
      <c r="A64" t="s">
        <v>89</v>
      </c>
      <c r="B64" t="s">
        <v>90</v>
      </c>
      <c r="C64">
        <v>8890732</v>
      </c>
      <c r="D64" s="7">
        <f t="shared" si="0"/>
        <v>44453.66</v>
      </c>
      <c r="E64" s="2">
        <v>44339</v>
      </c>
      <c r="F64" s="2">
        <v>44469</v>
      </c>
      <c r="G64" s="23">
        <v>0.14097222222222222</v>
      </c>
      <c r="H64" t="s">
        <v>418</v>
      </c>
      <c r="I64" t="s">
        <v>472</v>
      </c>
      <c r="J64" t="str">
        <f t="shared" si="1"/>
        <v>Nu</v>
      </c>
    </row>
    <row r="65" spans="1:10" x14ac:dyDescent="0.2">
      <c r="A65" t="s">
        <v>91</v>
      </c>
      <c r="B65" t="s">
        <v>92</v>
      </c>
      <c r="C65">
        <v>8824618</v>
      </c>
      <c r="D65" s="7">
        <f t="shared" si="0"/>
        <v>44123.090000000004</v>
      </c>
      <c r="E65" s="2">
        <f>VLOOKUP(A65,'2.09.2021'!A$3:'2.09.2021'!I$202,5,)</f>
        <v>44276</v>
      </c>
      <c r="F65" s="2">
        <v>44469</v>
      </c>
      <c r="G65" s="23">
        <f>VLOOKUP(A65,'2.09.2021'!A$3:'2.09.2021'!I$202,7,)</f>
        <v>0.17500000000000002</v>
      </c>
      <c r="H65" t="str">
        <f>VLOOKUP(A65,'2.09.2021'!A$3:'2.09.2021'!I$202,8,)</f>
        <v>POP</v>
      </c>
      <c r="I65" t="str">
        <f>VLOOKUP(A65,'2.09.2021'!A$3:'2.09.2021'!I$202,9,)</f>
        <v>Marea Britanie</v>
      </c>
      <c r="J65" t="str">
        <f t="shared" si="1"/>
        <v>Nu</v>
      </c>
    </row>
    <row r="66" spans="1:10" x14ac:dyDescent="0.2">
      <c r="A66" t="s">
        <v>93</v>
      </c>
      <c r="B66" t="s">
        <v>94</v>
      </c>
      <c r="C66">
        <v>8763558</v>
      </c>
      <c r="D66" s="7">
        <f t="shared" si="0"/>
        <v>43817.790000000008</v>
      </c>
      <c r="E66" s="2">
        <f>VLOOKUP(A66,'2.09.2021'!A$3:'2.09.2021'!I$202,5,)</f>
        <v>44386</v>
      </c>
      <c r="F66" s="2">
        <v>44469</v>
      </c>
      <c r="G66" s="23">
        <f>VLOOKUP(A66,'2.09.2021'!A$3:'2.09.2021'!I$202,7,)</f>
        <v>0.13333333333333333</v>
      </c>
      <c r="H66" t="str">
        <f>VLOOKUP(A66,'2.09.2021'!A$3:'2.09.2021'!I$202,8,)</f>
        <v>RHYTHM &amp; BLUES</v>
      </c>
      <c r="I66" t="str">
        <f>VLOOKUP(A66,'2.09.2021'!A$3:'2.09.2021'!I$202,9,)</f>
        <v>Argentina</v>
      </c>
      <c r="J66" t="str">
        <f t="shared" si="1"/>
        <v>Nu</v>
      </c>
    </row>
    <row r="67" spans="1:10" x14ac:dyDescent="0.2">
      <c r="A67" t="s">
        <v>95</v>
      </c>
      <c r="B67" t="s">
        <v>17</v>
      </c>
      <c r="C67">
        <v>8748754</v>
      </c>
      <c r="D67" s="7">
        <f t="shared" si="0"/>
        <v>43743.770000000004</v>
      </c>
      <c r="E67" s="2">
        <f>VLOOKUP(A67,'2.09.2021'!A$3:'2.09.2021'!I$202,5,)</f>
        <v>44337</v>
      </c>
      <c r="F67" s="2">
        <v>44469</v>
      </c>
      <c r="G67" s="23">
        <f>VLOOKUP(A67,'2.09.2021'!A$3:'2.09.2021'!I$202,7,)</f>
        <v>0.12152777777777778</v>
      </c>
      <c r="H67" t="str">
        <f>VLOOKUP(A67,'2.09.2021'!A$3:'2.09.2021'!I$202,8,)</f>
        <v>POP</v>
      </c>
      <c r="I67" t="str">
        <f>VLOOKUP(A67,'2.09.2021'!A$3:'2.09.2021'!I$202,9,)</f>
        <v>SUA</v>
      </c>
      <c r="J67" t="str">
        <f t="shared" si="1"/>
        <v>Nu</v>
      </c>
    </row>
    <row r="68" spans="1:10" x14ac:dyDescent="0.2">
      <c r="A68" t="s">
        <v>96</v>
      </c>
      <c r="B68" t="s">
        <v>97</v>
      </c>
      <c r="C68">
        <v>8735579</v>
      </c>
      <c r="D68" s="7">
        <f t="shared" ref="D68:D131" si="2">(C68/1000*5)</f>
        <v>43677.894999999997</v>
      </c>
      <c r="E68" s="2">
        <f>VLOOKUP(A68,'2.09.2021'!A$3:'2.09.2021'!I$202,5,)</f>
        <v>43083</v>
      </c>
      <c r="F68" s="2">
        <v>44469</v>
      </c>
      <c r="G68" s="23">
        <f>VLOOKUP(A68,'2.09.2021'!A$3:'2.09.2021'!I$202,7,)</f>
        <v>0.1673611111111111</v>
      </c>
      <c r="H68" t="str">
        <f>VLOOKUP(A68,'2.09.2021'!A$3:'2.09.2021'!I$202,8,)</f>
        <v>ELECTRONIC</v>
      </c>
      <c r="I68" t="str">
        <f>VLOOKUP(A68,'2.09.2021'!A$3:'2.09.2021'!I$202,9,)</f>
        <v>Australia</v>
      </c>
      <c r="J68" t="str">
        <f t="shared" ref="J68:J131" si="3">IF(ISNUMBER(SEARCH("with",A68)),"Da","Nu")</f>
        <v>Nu</v>
      </c>
    </row>
    <row r="69" spans="1:10" x14ac:dyDescent="0.2">
      <c r="A69" t="s">
        <v>442</v>
      </c>
      <c r="B69" t="s">
        <v>98</v>
      </c>
      <c r="C69">
        <v>8723444</v>
      </c>
      <c r="D69" s="7">
        <f t="shared" si="2"/>
        <v>43617.22</v>
      </c>
      <c r="E69" s="2">
        <f>VLOOKUP(A69,'2.09.2021'!A$3:'2.09.2021'!I$202,5,)</f>
        <v>44336</v>
      </c>
      <c r="F69" s="2">
        <v>44469</v>
      </c>
      <c r="G69" s="23">
        <f>VLOOKUP(A69,'2.09.2021'!A$3:'2.09.2021'!I$202,7,)</f>
        <v>9.5138888888888884E-2</v>
      </c>
      <c r="H69" t="str">
        <f>VLOOKUP(A69,'2.09.2021'!A$3:'2.09.2021'!I$202,8,)</f>
        <v>HIP-HOP/RAP</v>
      </c>
      <c r="I69" t="str">
        <f>VLOOKUP(A69,'2.09.2021'!A$3:'2.09.2021'!I$202,9,)</f>
        <v>SUA</v>
      </c>
      <c r="J69" t="str">
        <f t="shared" si="3"/>
        <v>Da</v>
      </c>
    </row>
    <row r="70" spans="1:10" x14ac:dyDescent="0.2">
      <c r="A70" t="s">
        <v>99</v>
      </c>
      <c r="B70" t="s">
        <v>55</v>
      </c>
      <c r="C70">
        <v>8719388</v>
      </c>
      <c r="D70" s="7">
        <f t="shared" si="2"/>
        <v>43596.94</v>
      </c>
      <c r="E70" s="2">
        <f>VLOOKUP(A70,'2.09.2021'!A$3:'2.09.2021'!I$202,5,)</f>
        <v>44459</v>
      </c>
      <c r="F70" s="2">
        <v>44469</v>
      </c>
      <c r="G70" s="23">
        <f>VLOOKUP(A70,'2.09.2021'!A$3:'2.09.2021'!I$202,7,)</f>
        <v>9.7916666666666666E-2</v>
      </c>
      <c r="H70" t="str">
        <f>VLOOKUP(A70,'2.09.2021'!A$3:'2.09.2021'!I$202,8,)</f>
        <v>K-POP</v>
      </c>
      <c r="I70" t="str">
        <f>VLOOKUP(A70,'2.09.2021'!A$3:'2.09.2021'!I$202,9,)</f>
        <v>Korea de Sud</v>
      </c>
      <c r="J70" t="str">
        <f t="shared" si="3"/>
        <v>Nu</v>
      </c>
    </row>
    <row r="71" spans="1:10" x14ac:dyDescent="0.2">
      <c r="A71" t="s">
        <v>100</v>
      </c>
      <c r="B71" t="s">
        <v>42</v>
      </c>
      <c r="C71">
        <v>8680859</v>
      </c>
      <c r="D71" s="7">
        <f t="shared" si="2"/>
        <v>43404.294999999998</v>
      </c>
      <c r="E71" s="2">
        <v>44229</v>
      </c>
      <c r="F71" s="2">
        <v>44469</v>
      </c>
      <c r="G71" s="23">
        <v>0.10555555555555556</v>
      </c>
      <c r="H71" t="s">
        <v>418</v>
      </c>
      <c r="I71" t="s">
        <v>474</v>
      </c>
      <c r="J71" t="str">
        <f t="shared" si="3"/>
        <v>Nu</v>
      </c>
    </row>
    <row r="72" spans="1:10" x14ac:dyDescent="0.2">
      <c r="A72" t="s">
        <v>101</v>
      </c>
      <c r="B72" t="s">
        <v>102</v>
      </c>
      <c r="C72">
        <v>8637286</v>
      </c>
      <c r="D72" s="7">
        <f t="shared" si="2"/>
        <v>43186.43</v>
      </c>
      <c r="E72" s="2">
        <f>VLOOKUP(A72,'2.09.2021'!A$3:'2.09.2021'!I$202,5,)</f>
        <v>44306</v>
      </c>
      <c r="F72" s="2">
        <v>44469</v>
      </c>
      <c r="G72" s="23">
        <f>VLOOKUP(A72,'2.09.2021'!A$3:'2.09.2021'!I$202,7,)</f>
        <v>0.15347222222222223</v>
      </c>
      <c r="H72" t="str">
        <f>VLOOKUP(A72,'2.09.2021'!A$3:'2.09.2021'!I$202,8,)</f>
        <v>DANCE</v>
      </c>
      <c r="I72" t="str">
        <f>VLOOKUP(A72,'2.09.2021'!A$3:'2.09.2021'!I$202,9,)</f>
        <v>SUA</v>
      </c>
      <c r="J72" t="str">
        <f t="shared" si="3"/>
        <v>Nu</v>
      </c>
    </row>
    <row r="73" spans="1:10" x14ac:dyDescent="0.2">
      <c r="A73" t="s">
        <v>103</v>
      </c>
      <c r="B73" t="s">
        <v>104</v>
      </c>
      <c r="C73">
        <v>8229013</v>
      </c>
      <c r="D73" s="7">
        <f t="shared" si="2"/>
        <v>41145.065000000002</v>
      </c>
      <c r="E73" s="2">
        <f>VLOOKUP(A73,'2.09.2021'!A$3:'2.09.2021'!I$202,5,)</f>
        <v>44229</v>
      </c>
      <c r="F73" s="2">
        <v>44469</v>
      </c>
      <c r="G73" s="23">
        <f>VLOOKUP(A73,'2.09.2021'!A$3:'2.09.2021'!I$202,7,)</f>
        <v>0.14097222222222222</v>
      </c>
      <c r="H73" t="str">
        <f>VLOOKUP(A73,'2.09.2021'!A$3:'2.09.2021'!I$202,8,)</f>
        <v>POP</v>
      </c>
      <c r="I73" t="str">
        <f>VLOOKUP(A73,'2.09.2021'!A$3:'2.09.2021'!I$202,9,)</f>
        <v>SUA</v>
      </c>
      <c r="J73" t="str">
        <f t="shared" si="3"/>
        <v>Nu</v>
      </c>
    </row>
    <row r="74" spans="1:10" x14ac:dyDescent="0.2">
      <c r="A74" t="s">
        <v>105</v>
      </c>
      <c r="B74" t="s">
        <v>106</v>
      </c>
      <c r="C74">
        <v>8198902</v>
      </c>
      <c r="D74" s="7">
        <f t="shared" si="2"/>
        <v>40994.51</v>
      </c>
      <c r="E74" s="2">
        <f>VLOOKUP(A74,'2.09.2021'!A$3:'2.09.2021'!I$202,5,)</f>
        <v>44377</v>
      </c>
      <c r="F74" s="2">
        <v>44469</v>
      </c>
      <c r="G74" s="23">
        <f>VLOOKUP(A74,'2.09.2021'!A$3:'2.09.2021'!I$202,7,)</f>
        <v>0.14444444444444446</v>
      </c>
      <c r="H74" t="str">
        <f>VLOOKUP(A74,'2.09.2021'!A$3:'2.09.2021'!I$202,8,)</f>
        <v>HIP-HOP/RAP</v>
      </c>
      <c r="I74" t="str">
        <f>VLOOKUP(A74,'2.09.2021'!A$3:'2.09.2021'!I$202,9,)</f>
        <v>Scoția</v>
      </c>
      <c r="J74" t="str">
        <f t="shared" si="3"/>
        <v>Nu</v>
      </c>
    </row>
    <row r="75" spans="1:10" x14ac:dyDescent="0.2">
      <c r="A75" t="s">
        <v>107</v>
      </c>
      <c r="B75" t="s">
        <v>108</v>
      </c>
      <c r="C75">
        <v>8184031</v>
      </c>
      <c r="D75" s="7">
        <f t="shared" si="2"/>
        <v>40920.154999999999</v>
      </c>
      <c r="E75" s="2">
        <f>VLOOKUP(A75,'2.09.2021'!A$3:'2.09.2021'!I$202,5,)</f>
        <v>44466</v>
      </c>
      <c r="F75" s="2">
        <v>44469</v>
      </c>
      <c r="G75" s="23">
        <f>VLOOKUP(A75,'2.09.2021'!A$3:'2.09.2021'!I$202,7,)</f>
        <v>0.16805555555555554</v>
      </c>
      <c r="H75" t="str">
        <f>VLOOKUP(A75,'2.09.2021'!A$3:'2.09.2021'!I$202,8,)</f>
        <v>ROCK</v>
      </c>
      <c r="I75" t="str">
        <f>VLOOKUP(A75,'2.09.2021'!A$3:'2.09.2021'!I$202,9,)</f>
        <v>SUA</v>
      </c>
      <c r="J75" t="str">
        <f t="shared" si="3"/>
        <v>Da</v>
      </c>
    </row>
    <row r="76" spans="1:10" x14ac:dyDescent="0.2">
      <c r="A76" t="s">
        <v>109</v>
      </c>
      <c r="B76" t="s">
        <v>38</v>
      </c>
      <c r="C76">
        <v>8140242</v>
      </c>
      <c r="D76" s="7">
        <f t="shared" si="2"/>
        <v>40701.21</v>
      </c>
      <c r="E76" s="2">
        <f>VLOOKUP(A76,'2.09.2021'!A$3:'2.09.2021'!I$202,5,)</f>
        <v>44248</v>
      </c>
      <c r="F76" s="2">
        <v>44469</v>
      </c>
      <c r="G76" s="23">
        <f>VLOOKUP(A76,'2.09.2021'!A$3:'2.09.2021'!I$202,7,)</f>
        <v>0.1173611111111111</v>
      </c>
      <c r="H76" t="str">
        <f>VLOOKUP(A76,'2.09.2021'!A$3:'2.09.2021'!I$202,8,)</f>
        <v>K-POP</v>
      </c>
      <c r="I76" t="str">
        <f>VLOOKUP(A76,'2.09.2021'!A$3:'2.09.2021'!I$202,9,)</f>
        <v>Marea Britanie</v>
      </c>
      <c r="J76" t="str">
        <f t="shared" si="3"/>
        <v>Nu</v>
      </c>
    </row>
    <row r="77" spans="1:10" x14ac:dyDescent="0.2">
      <c r="A77" t="s">
        <v>110</v>
      </c>
      <c r="B77" t="s">
        <v>23</v>
      </c>
      <c r="C77">
        <v>8136788</v>
      </c>
      <c r="D77" s="7">
        <f t="shared" si="2"/>
        <v>40683.939999999995</v>
      </c>
      <c r="E77" s="2">
        <v>44258</v>
      </c>
      <c r="F77" s="2">
        <v>44469</v>
      </c>
      <c r="G77" s="23">
        <v>0.15902777777777777</v>
      </c>
      <c r="H77" t="s">
        <v>434</v>
      </c>
      <c r="I77" t="s">
        <v>468</v>
      </c>
      <c r="J77" t="str">
        <f t="shared" si="3"/>
        <v>Nu</v>
      </c>
    </row>
    <row r="78" spans="1:10" x14ac:dyDescent="0.2">
      <c r="A78" t="s">
        <v>431</v>
      </c>
      <c r="B78" t="s">
        <v>111</v>
      </c>
      <c r="C78">
        <v>7982451</v>
      </c>
      <c r="D78" s="7">
        <f t="shared" si="2"/>
        <v>39912.254999999997</v>
      </c>
      <c r="E78" s="2">
        <f>VLOOKUP(A78,'2.09.2021'!A$3:'2.09.2021'!I$202,5,)</f>
        <v>44317</v>
      </c>
      <c r="F78" s="2">
        <v>44469</v>
      </c>
      <c r="G78" s="23">
        <f>VLOOKUP(A78,'2.09.2021'!A$3:'2.09.2021'!I$202,7,)</f>
        <v>0.11458333333333333</v>
      </c>
      <c r="H78" t="str">
        <f>VLOOKUP(A78,'2.09.2021'!A$3:'2.09.2021'!I$202,8,)</f>
        <v>LATIN URBAN</v>
      </c>
      <c r="I78" t="str">
        <f>VLOOKUP(A78,'2.09.2021'!A$3:'2.09.2021'!I$202,9,)</f>
        <v>Argentina</v>
      </c>
      <c r="J78" t="str">
        <f t="shared" si="3"/>
        <v>Nu</v>
      </c>
    </row>
    <row r="79" spans="1:10" x14ac:dyDescent="0.2">
      <c r="A79" t="s">
        <v>112</v>
      </c>
      <c r="B79" t="s">
        <v>113</v>
      </c>
      <c r="C79">
        <v>7964933</v>
      </c>
      <c r="D79" s="7">
        <f t="shared" si="2"/>
        <v>39824.665000000001</v>
      </c>
      <c r="E79" s="2">
        <f>VLOOKUP(A79,'2.09.2021'!A$3:'2.09.2021'!I$202,5,)</f>
        <v>44238</v>
      </c>
      <c r="F79" s="2">
        <v>44469</v>
      </c>
      <c r="G79" s="23">
        <f>VLOOKUP(A79,'2.09.2021'!A$3:'2.09.2021'!I$202,7,)</f>
        <v>0.20625000000000002</v>
      </c>
      <c r="H79" t="str">
        <f>VLOOKUP(A79,'2.09.2021'!A$3:'2.09.2021'!I$202,8,)</f>
        <v>LATIN URBAN</v>
      </c>
      <c r="I79" t="str">
        <f>VLOOKUP(A79,'2.09.2021'!A$3:'2.09.2021'!I$202,9,)</f>
        <v>Columbia</v>
      </c>
      <c r="J79" t="str">
        <f t="shared" si="3"/>
        <v>Nu</v>
      </c>
    </row>
    <row r="80" spans="1:10" x14ac:dyDescent="0.2">
      <c r="A80" t="s">
        <v>114</v>
      </c>
      <c r="B80" t="s">
        <v>115</v>
      </c>
      <c r="C80">
        <v>7895736</v>
      </c>
      <c r="D80" s="7">
        <f t="shared" si="2"/>
        <v>39478.68</v>
      </c>
      <c r="E80" s="2">
        <f>VLOOKUP(A80,'2.09.2021'!A$3:'2.09.2021'!I$202,5,)</f>
        <v>44352</v>
      </c>
      <c r="F80" s="2">
        <v>44469</v>
      </c>
      <c r="G80" s="23">
        <f>VLOOKUP(A80,'2.09.2021'!A$3:'2.09.2021'!I$202,7,)</f>
        <v>0.11388888888888889</v>
      </c>
      <c r="H80" t="str">
        <f>VLOOKUP(A80,'2.09.2021'!A$3:'2.09.2021'!I$202,8,)</f>
        <v>HIP-HOP/RAP</v>
      </c>
      <c r="I80" t="str">
        <f>VLOOKUP(A80,'2.09.2021'!A$3:'2.09.2021'!I$202,9,)</f>
        <v>Norvegia</v>
      </c>
      <c r="J80" t="str">
        <f t="shared" si="3"/>
        <v>Nu</v>
      </c>
    </row>
    <row r="81" spans="1:10" x14ac:dyDescent="0.2">
      <c r="A81" t="s">
        <v>443</v>
      </c>
      <c r="B81" t="s">
        <v>116</v>
      </c>
      <c r="C81">
        <v>7823821</v>
      </c>
      <c r="D81" s="7">
        <f t="shared" si="2"/>
        <v>39119.104999999996</v>
      </c>
      <c r="E81" s="2">
        <f>VLOOKUP(A81,'2.09.2021'!A$3:'2.09.2021'!I$202,5,)</f>
        <v>44211</v>
      </c>
      <c r="F81" s="2">
        <v>44469</v>
      </c>
      <c r="G81" s="23">
        <f>VLOOKUP(A81,'2.09.2021'!A$3:'2.09.2021'!I$202,7,)</f>
        <v>0.1173611111111111</v>
      </c>
      <c r="H81" t="str">
        <f>VLOOKUP(A81,'2.09.2021'!A$3:'2.09.2021'!I$202,8,)</f>
        <v>DANCE</v>
      </c>
      <c r="I81" t="str">
        <f>VLOOKUP(A81,'2.09.2021'!A$3:'2.09.2021'!I$202,9,)</f>
        <v>Marea Britanie</v>
      </c>
      <c r="J81" t="str">
        <f t="shared" si="3"/>
        <v>Da</v>
      </c>
    </row>
    <row r="82" spans="1:10" x14ac:dyDescent="0.2">
      <c r="A82" t="s">
        <v>117</v>
      </c>
      <c r="B82" t="s">
        <v>118</v>
      </c>
      <c r="C82">
        <v>7691845</v>
      </c>
      <c r="D82" s="7">
        <f t="shared" si="2"/>
        <v>38459.224999999999</v>
      </c>
      <c r="E82" s="2">
        <f>VLOOKUP(A82,'2.09.2021'!A$3:'2.09.2021'!I$202,5,)</f>
        <v>44287</v>
      </c>
      <c r="F82" s="2">
        <v>44469</v>
      </c>
      <c r="G82" s="23">
        <f>VLOOKUP(A82,'2.09.2021'!A$3:'2.09.2021'!I$202,7,)</f>
        <v>0.22291666666666665</v>
      </c>
      <c r="H82" t="str">
        <f>VLOOKUP(A82,'2.09.2021'!A$3:'2.09.2021'!I$202,8,)</f>
        <v>LATIN URBAN</v>
      </c>
      <c r="I82" t="str">
        <f>VLOOKUP(A82,'2.09.2021'!A$3:'2.09.2021'!I$202,9,)</f>
        <v>Puerto Rico</v>
      </c>
      <c r="J82" t="str">
        <f t="shared" si="3"/>
        <v>Nu</v>
      </c>
    </row>
    <row r="83" spans="1:10" x14ac:dyDescent="0.2">
      <c r="A83" t="s">
        <v>119</v>
      </c>
      <c r="B83" t="s">
        <v>120</v>
      </c>
      <c r="C83">
        <v>7683857</v>
      </c>
      <c r="D83" s="7">
        <f t="shared" si="2"/>
        <v>38419.285000000003</v>
      </c>
      <c r="E83" s="2">
        <f>VLOOKUP(A83,'2.09.2021'!A$3:'2.09.2021'!I$202,5,)</f>
        <v>44438</v>
      </c>
      <c r="F83" s="2">
        <v>44469</v>
      </c>
      <c r="G83" s="23">
        <f>VLOOKUP(A83,'2.09.2021'!A$3:'2.09.2021'!I$202,7,)</f>
        <v>0.16874999999999998</v>
      </c>
      <c r="H83" t="str">
        <f>VLOOKUP(A83,'2.09.2021'!A$3:'2.09.2021'!I$202,8,)</f>
        <v>POP</v>
      </c>
      <c r="I83" t="str">
        <f>VLOOKUP(A83,'2.09.2021'!A$3:'2.09.2021'!I$202,9,)</f>
        <v>Australia</v>
      </c>
      <c r="J83" t="str">
        <f t="shared" si="3"/>
        <v>Nu</v>
      </c>
    </row>
    <row r="84" spans="1:10" x14ac:dyDescent="0.2">
      <c r="A84" t="s">
        <v>444</v>
      </c>
      <c r="B84" t="s">
        <v>121</v>
      </c>
      <c r="C84">
        <v>7651389</v>
      </c>
      <c r="D84" s="7">
        <f t="shared" si="2"/>
        <v>38256.945</v>
      </c>
      <c r="E84" s="2">
        <f>VLOOKUP(A84,'2.09.2021'!A$3:'2.09.2021'!I$202,5,)</f>
        <v>43945</v>
      </c>
      <c r="F84" s="2">
        <v>44469</v>
      </c>
      <c r="G84" s="23">
        <f>VLOOKUP(A84,'2.09.2021'!A$3:'2.09.2021'!I$202,7,)</f>
        <v>9.0277777777777776E-2</v>
      </c>
      <c r="H84" t="str">
        <f>VLOOKUP(A84,'2.09.2021'!A$3:'2.09.2021'!I$202,8,)</f>
        <v>R&amp;B/SOUL</v>
      </c>
      <c r="I84" t="str">
        <f>VLOOKUP(A84,'2.09.2021'!A$3:'2.09.2021'!I$202,9,)</f>
        <v>Canada</v>
      </c>
      <c r="J84" t="str">
        <f t="shared" si="3"/>
        <v>Da</v>
      </c>
    </row>
    <row r="85" spans="1:10" x14ac:dyDescent="0.2">
      <c r="A85" t="s">
        <v>122</v>
      </c>
      <c r="B85" t="s">
        <v>59</v>
      </c>
      <c r="C85">
        <v>7608736</v>
      </c>
      <c r="D85" s="7">
        <f t="shared" si="2"/>
        <v>38043.68</v>
      </c>
      <c r="E85" s="2">
        <f>VLOOKUP(A85,'2.09.2021'!A$3:'2.09.2021'!I$202,5,)</f>
        <v>44336</v>
      </c>
      <c r="F85" s="2">
        <v>44469</v>
      </c>
      <c r="G85" s="23">
        <f>VLOOKUP(A85,'2.09.2021'!A$3:'2.09.2021'!I$202,7,)</f>
        <v>0.12152777777777778</v>
      </c>
      <c r="H85" t="str">
        <f>VLOOKUP(A85,'2.09.2021'!A$3:'2.09.2021'!I$202,8,)</f>
        <v>DANCE</v>
      </c>
      <c r="I85" t="str">
        <f>VLOOKUP(A85,'2.09.2021'!A$3:'2.09.2021'!I$202,9,)</f>
        <v>Olanda</v>
      </c>
      <c r="J85" t="str">
        <f t="shared" si="3"/>
        <v>Nu</v>
      </c>
    </row>
    <row r="86" spans="1:10" x14ac:dyDescent="0.2">
      <c r="A86" t="s">
        <v>123</v>
      </c>
      <c r="B86" t="s">
        <v>124</v>
      </c>
      <c r="C86">
        <v>7564368</v>
      </c>
      <c r="D86" s="7">
        <f t="shared" si="2"/>
        <v>37821.840000000004</v>
      </c>
      <c r="E86" s="2">
        <v>44308</v>
      </c>
      <c r="F86" s="2">
        <v>44469</v>
      </c>
      <c r="G86" s="23">
        <v>0.14097222222222222</v>
      </c>
      <c r="H86" t="s">
        <v>422</v>
      </c>
      <c r="I86" t="s">
        <v>468</v>
      </c>
      <c r="J86" t="str">
        <f t="shared" si="3"/>
        <v>Nu</v>
      </c>
    </row>
    <row r="87" spans="1:10" x14ac:dyDescent="0.2">
      <c r="A87" t="s">
        <v>125</v>
      </c>
      <c r="B87" t="s">
        <v>17</v>
      </c>
      <c r="C87">
        <v>7417730</v>
      </c>
      <c r="D87" s="7">
        <f t="shared" si="2"/>
        <v>37088.649999999994</v>
      </c>
      <c r="E87" s="2">
        <f>VLOOKUP(A87,'2.09.2021'!A$3:'2.09.2021'!I$202,5,)</f>
        <v>44337</v>
      </c>
      <c r="F87" s="2">
        <v>44469</v>
      </c>
      <c r="G87" s="23">
        <f>VLOOKUP(A87,'2.09.2021'!A$3:'2.09.2021'!I$202,7,)</f>
        <v>0.12013888888888889</v>
      </c>
      <c r="H87" t="str">
        <f>VLOOKUP(A87,'2.09.2021'!A$3:'2.09.2021'!I$202,8,)</f>
        <v>POP</v>
      </c>
      <c r="I87" t="str">
        <f>VLOOKUP(A87,'2.09.2021'!A$3:'2.09.2021'!I$202,9,)</f>
        <v>SUA</v>
      </c>
      <c r="J87" t="str">
        <f t="shared" si="3"/>
        <v>Nu</v>
      </c>
    </row>
    <row r="88" spans="1:10" x14ac:dyDescent="0.2">
      <c r="A88" t="s">
        <v>126</v>
      </c>
      <c r="B88" t="s">
        <v>38</v>
      </c>
      <c r="C88">
        <v>7406089</v>
      </c>
      <c r="D88" s="7">
        <f t="shared" si="2"/>
        <v>37030.445</v>
      </c>
      <c r="E88" s="2">
        <f>VLOOKUP(A88,'2.09.2021'!A$3:'2.09.2021'!I$202,5,)</f>
        <v>44259</v>
      </c>
      <c r="F88" s="2">
        <v>44469</v>
      </c>
      <c r="G88" s="23">
        <f>VLOOKUP(A88,'2.09.2021'!A$3:'2.09.2021'!I$202,7,)</f>
        <v>0.14027777777777778</v>
      </c>
      <c r="H88" t="str">
        <f>VLOOKUP(A88,'2.09.2021'!A$3:'2.09.2021'!I$202,8,)</f>
        <v>ELECTRONIC</v>
      </c>
      <c r="I88" t="str">
        <f>VLOOKUP(A88,'2.09.2021'!A$3:'2.09.2021'!I$202,9,)</f>
        <v>Marea Britanie</v>
      </c>
      <c r="J88" t="str">
        <f t="shared" si="3"/>
        <v>Nu</v>
      </c>
    </row>
    <row r="89" spans="1:10" x14ac:dyDescent="0.2">
      <c r="A89" t="s">
        <v>127</v>
      </c>
      <c r="B89" t="s">
        <v>12</v>
      </c>
      <c r="C89">
        <v>7396316</v>
      </c>
      <c r="D89" s="7">
        <f t="shared" si="2"/>
        <v>36981.58</v>
      </c>
      <c r="E89" s="2">
        <f>VLOOKUP(A89,'2.09.2021'!A$3:'2.09.2021'!I$202,5,)</f>
        <v>44372</v>
      </c>
      <c r="F89" s="2">
        <v>44469</v>
      </c>
      <c r="G89" s="23">
        <f>VLOOKUP(A89,'2.09.2021'!A$3:'2.09.2021'!I$202,7,)</f>
        <v>0.12083333333333333</v>
      </c>
      <c r="H89" t="str">
        <f>VLOOKUP(A89,'2.09.2021'!A$3:'2.09.2021'!I$202,8,)</f>
        <v>POP</v>
      </c>
      <c r="I89" t="str">
        <f>VLOOKUP(A89,'2.09.2021'!A$3:'2.09.2021'!I$202,9,)</f>
        <v>SUA</v>
      </c>
      <c r="J89" t="str">
        <f t="shared" si="3"/>
        <v>Nu</v>
      </c>
    </row>
    <row r="90" spans="1:10" x14ac:dyDescent="0.2">
      <c r="A90" t="s">
        <v>128</v>
      </c>
      <c r="B90" t="s">
        <v>129</v>
      </c>
      <c r="C90">
        <v>7362969</v>
      </c>
      <c r="D90" s="7">
        <f t="shared" si="2"/>
        <v>36814.845000000001</v>
      </c>
      <c r="E90" s="2">
        <v>44339</v>
      </c>
      <c r="F90" s="2">
        <v>44469</v>
      </c>
      <c r="G90" s="23">
        <v>0.11458333333333333</v>
      </c>
      <c r="H90" t="s">
        <v>422</v>
      </c>
      <c r="I90" t="s">
        <v>468</v>
      </c>
      <c r="J90" t="str">
        <f t="shared" si="3"/>
        <v>Nu</v>
      </c>
    </row>
    <row r="91" spans="1:10" x14ac:dyDescent="0.2">
      <c r="A91" t="s">
        <v>130</v>
      </c>
      <c r="B91" t="s">
        <v>23</v>
      </c>
      <c r="C91">
        <v>7341942</v>
      </c>
      <c r="D91" s="7">
        <f t="shared" si="2"/>
        <v>36709.71</v>
      </c>
      <c r="E91" s="2">
        <f>VLOOKUP(A91,'2.09.2021'!A$3:'2.09.2021'!I$202,5,)</f>
        <v>44385</v>
      </c>
      <c r="F91" s="2">
        <v>44469</v>
      </c>
      <c r="G91" s="23">
        <f>VLOOKUP(A91,'2.09.2021'!A$3:'2.09.2021'!I$202,7,)</f>
        <v>0.16805555555555554</v>
      </c>
      <c r="H91" t="str">
        <f>VLOOKUP(A91,'2.09.2021'!A$3:'2.09.2021'!I$202,8,)</f>
        <v>LATIN URBAN</v>
      </c>
      <c r="I91" t="str">
        <f>VLOOKUP(A91,'2.09.2021'!A$3:'2.09.2021'!I$202,9,)</f>
        <v>SUA</v>
      </c>
      <c r="J91" t="str">
        <f t="shared" si="3"/>
        <v>Da</v>
      </c>
    </row>
    <row r="92" spans="1:10" x14ac:dyDescent="0.2">
      <c r="A92" t="s">
        <v>131</v>
      </c>
      <c r="B92" t="s">
        <v>132</v>
      </c>
      <c r="C92">
        <v>7311219</v>
      </c>
      <c r="D92" s="7">
        <f t="shared" si="2"/>
        <v>36556.095000000001</v>
      </c>
      <c r="E92" s="2">
        <v>44331</v>
      </c>
      <c r="F92" s="2">
        <v>44469</v>
      </c>
      <c r="G92" s="23">
        <v>0.22430555555555556</v>
      </c>
      <c r="H92" t="s">
        <v>418</v>
      </c>
      <c r="I92" t="s">
        <v>474</v>
      </c>
      <c r="J92" t="str">
        <f t="shared" si="3"/>
        <v>Nu</v>
      </c>
    </row>
    <row r="93" spans="1:10" x14ac:dyDescent="0.2">
      <c r="A93" t="s">
        <v>133</v>
      </c>
      <c r="B93" t="s">
        <v>17</v>
      </c>
      <c r="C93">
        <v>7279399</v>
      </c>
      <c r="D93" s="7">
        <f t="shared" si="2"/>
        <v>36396.995000000003</v>
      </c>
      <c r="E93" s="2">
        <f>VLOOKUP(A93,'2.09.2021'!A$3:'2.09.2021'!I$202,5,)</f>
        <v>44346</v>
      </c>
      <c r="F93" s="2">
        <v>44469</v>
      </c>
      <c r="G93" s="23">
        <f>VLOOKUP(A93,'2.09.2021'!A$3:'2.09.2021'!I$202,7,)</f>
        <v>0.14930555555555555</v>
      </c>
      <c r="H93" t="str">
        <f>VLOOKUP(A93,'2.09.2021'!A$3:'2.09.2021'!I$202,8,)</f>
        <v>ALTERNATIVE</v>
      </c>
      <c r="I93" t="str">
        <f>VLOOKUP(A93,'2.09.2021'!A$3:'2.09.2021'!I$202,9,)</f>
        <v>SUA</v>
      </c>
      <c r="J93" t="str">
        <f t="shared" si="3"/>
        <v>Nu</v>
      </c>
    </row>
    <row r="94" spans="1:10" x14ac:dyDescent="0.2">
      <c r="A94" t="s">
        <v>134</v>
      </c>
      <c r="B94" t="s">
        <v>135</v>
      </c>
      <c r="C94">
        <v>7276832</v>
      </c>
      <c r="D94" s="7">
        <f t="shared" si="2"/>
        <v>36384.160000000003</v>
      </c>
      <c r="E94" s="2">
        <f>VLOOKUP(A94,'2.09.2021'!A$3:'2.09.2021'!I$202,5,)</f>
        <v>44386</v>
      </c>
      <c r="F94" s="2">
        <v>44469</v>
      </c>
      <c r="G94" s="23">
        <f>VLOOKUP(A94,'2.09.2021'!A$3:'2.09.2021'!I$202,7,)</f>
        <v>0.14444444444444446</v>
      </c>
      <c r="H94" t="str">
        <f>VLOOKUP(A94,'2.09.2021'!A$3:'2.09.2021'!I$202,8,)</f>
        <v>LATIN URBAN</v>
      </c>
      <c r="I94" t="str">
        <f>VLOOKUP(A94,'2.09.2021'!A$3:'2.09.2021'!I$202,9,)</f>
        <v>Panama</v>
      </c>
      <c r="J94" t="str">
        <f t="shared" si="3"/>
        <v>Nu</v>
      </c>
    </row>
    <row r="95" spans="1:10" x14ac:dyDescent="0.2">
      <c r="A95" t="s">
        <v>136</v>
      </c>
      <c r="B95" t="s">
        <v>10</v>
      </c>
      <c r="C95">
        <v>7254400</v>
      </c>
      <c r="D95" s="7">
        <f t="shared" si="2"/>
        <v>36272</v>
      </c>
      <c r="E95" s="2">
        <f>VLOOKUP(A95,'2.09.2021'!A$3:'2.09.2021'!I$202,5,)</f>
        <v>44240</v>
      </c>
      <c r="F95" s="2">
        <v>44469</v>
      </c>
      <c r="G95" s="23">
        <f>VLOOKUP(A95,'2.09.2021'!A$3:'2.09.2021'!I$202,7,)</f>
        <v>0.13958333333333334</v>
      </c>
      <c r="H95" t="str">
        <f>VLOOKUP(A95,'2.09.2021'!A$3:'2.09.2021'!I$202,8,)</f>
        <v>POP</v>
      </c>
      <c r="I95" t="str">
        <f>VLOOKUP(A95,'2.09.2021'!A$3:'2.09.2021'!I$202,9,)</f>
        <v>Marea Britanie</v>
      </c>
      <c r="J95" t="str">
        <f t="shared" si="3"/>
        <v>Nu</v>
      </c>
    </row>
    <row r="96" spans="1:10" x14ac:dyDescent="0.2">
      <c r="A96" t="s">
        <v>137</v>
      </c>
      <c r="B96" t="s">
        <v>138</v>
      </c>
      <c r="C96">
        <v>7193229</v>
      </c>
      <c r="D96" s="7">
        <f t="shared" si="2"/>
        <v>35966.145000000004</v>
      </c>
      <c r="E96" s="2">
        <f>VLOOKUP(A96,'2.09.2021'!A$3:'2.09.2021'!I$202,5,)</f>
        <v>44428</v>
      </c>
      <c r="F96" s="2">
        <v>44469</v>
      </c>
      <c r="G96" s="23">
        <f>VLOOKUP(A96,'2.09.2021'!A$3:'2.09.2021'!I$202,7,)</f>
        <v>0.1277777777777778</v>
      </c>
      <c r="H96" t="str">
        <f>VLOOKUP(A96,'2.09.2021'!A$3:'2.09.2021'!I$202,8,)</f>
        <v>POP</v>
      </c>
      <c r="I96" t="str">
        <f>VLOOKUP(A96,'2.09.2021'!A$3:'2.09.2021'!I$202,9,)</f>
        <v>Canada</v>
      </c>
      <c r="J96" t="str">
        <f t="shared" si="3"/>
        <v>Nu</v>
      </c>
    </row>
    <row r="97" spans="1:10" x14ac:dyDescent="0.2">
      <c r="A97" t="s">
        <v>139</v>
      </c>
      <c r="B97" t="s">
        <v>46</v>
      </c>
      <c r="C97">
        <v>7160013</v>
      </c>
      <c r="D97" s="7">
        <f t="shared" si="2"/>
        <v>35800.065000000002</v>
      </c>
      <c r="E97" s="2">
        <f>VLOOKUP(A97,'2.09.2021'!A$3:'2.09.2021'!I$202,5,)</f>
        <v>44209</v>
      </c>
      <c r="F97" s="2">
        <v>44469</v>
      </c>
      <c r="G97" s="23">
        <f>VLOOKUP(A97,'2.09.2021'!A$3:'2.09.2021'!I$202,7,)</f>
        <v>0.16874999999999998</v>
      </c>
      <c r="H97" t="str">
        <f>VLOOKUP(A97,'2.09.2021'!A$3:'2.09.2021'!I$202,8,)</f>
        <v>ELECTRONIC</v>
      </c>
      <c r="I97" t="str">
        <f>VLOOKUP(A97,'2.09.2021'!A$3:'2.09.2021'!I$202,9,)</f>
        <v>Canada</v>
      </c>
      <c r="J97" t="str">
        <f t="shared" si="3"/>
        <v>Nu</v>
      </c>
    </row>
    <row r="98" spans="1:10" x14ac:dyDescent="0.2">
      <c r="A98" t="s">
        <v>445</v>
      </c>
      <c r="B98" t="s">
        <v>140</v>
      </c>
      <c r="C98">
        <v>7146580</v>
      </c>
      <c r="D98" s="7">
        <f t="shared" si="2"/>
        <v>35732.9</v>
      </c>
      <c r="E98" s="2">
        <f>VLOOKUP(A98,'2.09.2021'!A$3:'2.09.2021'!I$202,5,)</f>
        <v>44389</v>
      </c>
      <c r="F98" s="2">
        <v>44469</v>
      </c>
      <c r="G98" s="23">
        <f>VLOOKUP(A98,'2.09.2021'!A$3:'2.09.2021'!I$202,7,)</f>
        <v>0.20694444444444446</v>
      </c>
      <c r="H98" t="str">
        <f>VLOOKUP(A98,'2.09.2021'!A$3:'2.09.2021'!I$202,8,)</f>
        <v>ALTERNATIVE</v>
      </c>
      <c r="I98" t="str">
        <f>VLOOKUP(A98,'2.09.2021'!A$3:'2.09.2021'!I$202,9,)</f>
        <v>SUA</v>
      </c>
      <c r="J98" t="str">
        <f t="shared" si="3"/>
        <v>Da</v>
      </c>
    </row>
    <row r="99" spans="1:10" x14ac:dyDescent="0.2">
      <c r="A99" t="s">
        <v>141</v>
      </c>
      <c r="B99" t="s">
        <v>142</v>
      </c>
      <c r="C99">
        <v>7089600</v>
      </c>
      <c r="D99" s="7">
        <f t="shared" si="2"/>
        <v>35448</v>
      </c>
      <c r="E99" s="2">
        <f>VLOOKUP(A99,'2.09.2021'!A$3:'2.09.2021'!I$202,5,)</f>
        <v>44309</v>
      </c>
      <c r="F99" s="2">
        <v>44469</v>
      </c>
      <c r="G99" s="23">
        <f>VLOOKUP(A99,'2.09.2021'!A$3:'2.09.2021'!I$202,7,)</f>
        <v>0.19930555555555554</v>
      </c>
      <c r="H99" t="str">
        <f>VLOOKUP(A99,'2.09.2021'!A$3:'2.09.2021'!I$202,8,)</f>
        <v>K-POP</v>
      </c>
      <c r="I99" t="str">
        <f>VLOOKUP(A99,'2.09.2021'!A$3:'2.09.2021'!I$202,9,)</f>
        <v>SUA</v>
      </c>
      <c r="J99" t="str">
        <f t="shared" si="3"/>
        <v>Nu</v>
      </c>
    </row>
    <row r="100" spans="1:10" x14ac:dyDescent="0.2">
      <c r="A100" t="s">
        <v>143</v>
      </c>
      <c r="B100" t="s">
        <v>20</v>
      </c>
      <c r="C100">
        <v>7082667</v>
      </c>
      <c r="D100" s="7">
        <f t="shared" si="2"/>
        <v>35413.334999999999</v>
      </c>
      <c r="E100" s="2">
        <v>44476</v>
      </c>
      <c r="F100" s="2">
        <v>44469</v>
      </c>
      <c r="G100" s="23">
        <v>0.35625000000000001</v>
      </c>
      <c r="H100" t="s">
        <v>423</v>
      </c>
      <c r="I100" t="s">
        <v>420</v>
      </c>
      <c r="J100" t="str">
        <f t="shared" si="3"/>
        <v>Nu</v>
      </c>
    </row>
    <row r="101" spans="1:10" x14ac:dyDescent="0.2">
      <c r="A101" t="s">
        <v>144</v>
      </c>
      <c r="B101" t="s">
        <v>23</v>
      </c>
      <c r="C101">
        <v>7059035</v>
      </c>
      <c r="D101" s="7">
        <f t="shared" si="2"/>
        <v>35295.175000000003</v>
      </c>
      <c r="E101" s="2">
        <v>44332</v>
      </c>
      <c r="F101" s="2">
        <v>44469</v>
      </c>
      <c r="G101" s="23">
        <v>0.14791666666666667</v>
      </c>
      <c r="H101" t="s">
        <v>434</v>
      </c>
      <c r="I101" t="s">
        <v>501</v>
      </c>
      <c r="J101" t="str">
        <f t="shared" si="3"/>
        <v>Nu</v>
      </c>
    </row>
    <row r="102" spans="1:10" x14ac:dyDescent="0.2">
      <c r="A102" t="s">
        <v>145</v>
      </c>
      <c r="B102" t="s">
        <v>52</v>
      </c>
      <c r="C102">
        <v>6961937</v>
      </c>
      <c r="D102" s="7">
        <f t="shared" si="2"/>
        <v>34809.684999999998</v>
      </c>
      <c r="E102" s="2">
        <f>VLOOKUP(A102,'2.09.2021'!A$3:'2.09.2021'!I$202,5,)</f>
        <v>44437</v>
      </c>
      <c r="F102" s="2">
        <v>44469</v>
      </c>
      <c r="G102" s="23">
        <f>VLOOKUP(A102,'2.09.2021'!A$3:'2.09.2021'!I$202,7,)</f>
        <v>0.10833333333333334</v>
      </c>
      <c r="H102" t="str">
        <f>VLOOKUP(A102,'2.09.2021'!A$3:'2.09.2021'!I$202,8,)</f>
        <v>HIP-HOP/RAP</v>
      </c>
      <c r="I102" t="str">
        <f>VLOOKUP(A102,'2.09.2021'!A$3:'2.09.2021'!I$202,9,)</f>
        <v>SUA</v>
      </c>
      <c r="J102" t="str">
        <f t="shared" si="3"/>
        <v>Nu</v>
      </c>
    </row>
    <row r="103" spans="1:10" x14ac:dyDescent="0.2">
      <c r="A103" t="s">
        <v>146</v>
      </c>
      <c r="B103" t="s">
        <v>147</v>
      </c>
      <c r="C103">
        <v>6916676</v>
      </c>
      <c r="D103" s="7">
        <f t="shared" si="2"/>
        <v>34583.380000000005</v>
      </c>
      <c r="E103" s="2">
        <f>VLOOKUP(A103,'2.09.2021'!A$3:'2.09.2021'!I$202,5,)</f>
        <v>44370</v>
      </c>
      <c r="F103" s="2">
        <v>44469</v>
      </c>
      <c r="G103" s="23">
        <f>VLOOKUP(A103,'2.09.2021'!A$3:'2.09.2021'!I$202,7,)</f>
        <v>0.15972222222222224</v>
      </c>
      <c r="H103" t="str">
        <f>VLOOKUP(A103,'2.09.2021'!A$3:'2.09.2021'!I$202,8,)</f>
        <v>HIP-HOP/RAP</v>
      </c>
      <c r="I103" t="str">
        <f>VLOOKUP(A103,'2.09.2021'!A$3:'2.09.2021'!I$202,9,)</f>
        <v>SUA</v>
      </c>
      <c r="J103" t="str">
        <f t="shared" si="3"/>
        <v>Nu</v>
      </c>
    </row>
    <row r="104" spans="1:10" x14ac:dyDescent="0.2">
      <c r="A104" t="s">
        <v>148</v>
      </c>
      <c r="B104" t="s">
        <v>149</v>
      </c>
      <c r="C104">
        <v>6907180</v>
      </c>
      <c r="D104" s="7">
        <f t="shared" si="2"/>
        <v>34535.9</v>
      </c>
      <c r="E104" s="2">
        <f>VLOOKUP(A104,'2.09.2021'!A$3:'2.09.2021'!I$202,5,)</f>
        <v>44309</v>
      </c>
      <c r="F104" s="2">
        <v>44469</v>
      </c>
      <c r="G104" s="23">
        <f>VLOOKUP(A104,'2.09.2021'!A$3:'2.09.2021'!I$202,7,)</f>
        <v>0.19930555555555554</v>
      </c>
      <c r="H104" t="str">
        <f>VLOOKUP(A104,'2.09.2021'!A$3:'2.09.2021'!I$202,8,)</f>
        <v>K-POP</v>
      </c>
      <c r="I104" t="str">
        <f>VLOOKUP(A104,'2.09.2021'!A$3:'2.09.2021'!I$202,9,)</f>
        <v>SUA</v>
      </c>
      <c r="J104" t="str">
        <f t="shared" si="3"/>
        <v>Nu</v>
      </c>
    </row>
    <row r="105" spans="1:10" x14ac:dyDescent="0.2">
      <c r="A105" t="s">
        <v>150</v>
      </c>
      <c r="B105" t="s">
        <v>151</v>
      </c>
      <c r="C105">
        <v>6835228</v>
      </c>
      <c r="D105" s="7">
        <f t="shared" si="2"/>
        <v>34176.14</v>
      </c>
      <c r="E105" s="2">
        <f>VLOOKUP(A105,'2.09.2021'!A$3:'2.09.2021'!I$202,5,)</f>
        <v>44244</v>
      </c>
      <c r="F105" s="2">
        <v>44469</v>
      </c>
      <c r="G105" s="23">
        <f>VLOOKUP(A105,'2.09.2021'!A$3:'2.09.2021'!I$202,7,)</f>
        <v>0.1173611111111111</v>
      </c>
      <c r="H105" t="str">
        <f>VLOOKUP(A105,'2.09.2021'!A$3:'2.09.2021'!I$202,8,)</f>
        <v>LATIN URBAN</v>
      </c>
      <c r="I105" t="str">
        <f>VLOOKUP(A105,'2.09.2021'!A$3:'2.09.2021'!I$202,9,)</f>
        <v>Brazilia</v>
      </c>
      <c r="J105" t="str">
        <f t="shared" si="3"/>
        <v>Nu</v>
      </c>
    </row>
    <row r="106" spans="1:10" x14ac:dyDescent="0.2">
      <c r="A106" t="s">
        <v>152</v>
      </c>
      <c r="B106" t="s">
        <v>106</v>
      </c>
      <c r="C106">
        <v>6811196</v>
      </c>
      <c r="D106" s="7">
        <f t="shared" si="2"/>
        <v>34055.979999999996</v>
      </c>
      <c r="E106" s="2">
        <f>VLOOKUP(A106,'2.09.2021'!A$3:'2.09.2021'!I$202,5,)</f>
        <v>44226</v>
      </c>
      <c r="F106" s="2">
        <v>44469</v>
      </c>
      <c r="G106" s="23">
        <f>VLOOKUP(A106,'2.09.2021'!A$3:'2.09.2021'!I$202,7,)</f>
        <v>0.13541666666666666</v>
      </c>
      <c r="H106" t="str">
        <f>VLOOKUP(A106,'2.09.2021'!A$3:'2.09.2021'!I$202,8,)</f>
        <v>HIP-HOP/RAP</v>
      </c>
      <c r="I106" t="str">
        <f>VLOOKUP(A106,'2.09.2021'!A$3:'2.09.2021'!I$202,9,)</f>
        <v>Scoția</v>
      </c>
      <c r="J106" t="str">
        <f t="shared" si="3"/>
        <v>Nu</v>
      </c>
    </row>
    <row r="107" spans="1:10" x14ac:dyDescent="0.2">
      <c r="A107" t="s">
        <v>153</v>
      </c>
      <c r="B107" t="s">
        <v>154</v>
      </c>
      <c r="C107">
        <v>6790804</v>
      </c>
      <c r="D107" s="7">
        <f t="shared" si="2"/>
        <v>33954.020000000004</v>
      </c>
      <c r="E107" s="2">
        <f>VLOOKUP(A107,'2.09.2021'!A$3:'2.09.2021'!I$202,5,)</f>
        <v>44307</v>
      </c>
      <c r="F107" s="2">
        <v>44469</v>
      </c>
      <c r="G107" s="23">
        <f>VLOOKUP(A107,'2.09.2021'!A$3:'2.09.2021'!I$202,7,)</f>
        <v>0.15069444444444444</v>
      </c>
      <c r="H107" t="str">
        <f>VLOOKUP(A107,'2.09.2021'!A$3:'2.09.2021'!I$202,8,)</f>
        <v>POP</v>
      </c>
      <c r="I107" t="str">
        <f>VLOOKUP(A107,'2.09.2021'!A$3:'2.09.2021'!I$202,9,)</f>
        <v>SUA</v>
      </c>
      <c r="J107" t="str">
        <f t="shared" si="3"/>
        <v>Nu</v>
      </c>
    </row>
    <row r="108" spans="1:10" x14ac:dyDescent="0.2">
      <c r="A108" t="s">
        <v>155</v>
      </c>
      <c r="B108" t="s">
        <v>156</v>
      </c>
      <c r="C108">
        <v>6781446</v>
      </c>
      <c r="D108" s="7">
        <f t="shared" si="2"/>
        <v>33907.229999999996</v>
      </c>
      <c r="E108" s="2">
        <f>VLOOKUP(A108,'2.09.2021'!A$3:'2.09.2021'!I$202,5,)</f>
        <v>44245</v>
      </c>
      <c r="F108" s="2">
        <v>44469</v>
      </c>
      <c r="G108" s="23">
        <f>VLOOKUP(A108,'2.09.2021'!A$3:'2.09.2021'!I$202,7,)</f>
        <v>0.10069444444444443</v>
      </c>
      <c r="H108" t="str">
        <f>VLOOKUP(A108,'2.09.2021'!A$3:'2.09.2021'!I$202,8,)</f>
        <v>RHYTHM &amp; BLUES</v>
      </c>
      <c r="I108" t="str">
        <f>VLOOKUP(A108,'2.09.2021'!A$3:'2.09.2021'!I$202,9,)</f>
        <v>SUA</v>
      </c>
      <c r="J108" t="str">
        <f t="shared" si="3"/>
        <v>Nu</v>
      </c>
    </row>
    <row r="109" spans="1:10" x14ac:dyDescent="0.2">
      <c r="A109" t="s">
        <v>157</v>
      </c>
      <c r="B109" t="s">
        <v>158</v>
      </c>
      <c r="C109">
        <v>6767623</v>
      </c>
      <c r="D109" s="7">
        <f t="shared" si="2"/>
        <v>33838.114999999998</v>
      </c>
      <c r="E109" s="2">
        <f>VLOOKUP(A109,'2.09.2021'!A$3:'2.09.2021'!I$202,5,)</f>
        <v>44245</v>
      </c>
      <c r="F109" s="2">
        <v>44469</v>
      </c>
      <c r="G109" s="23">
        <f>VLOOKUP(A109,'2.09.2021'!A$3:'2.09.2021'!I$202,7,)</f>
        <v>0.14305555555555557</v>
      </c>
      <c r="H109" t="str">
        <f>VLOOKUP(A109,'2.09.2021'!A$3:'2.09.2021'!I$202,8,)</f>
        <v>POP</v>
      </c>
      <c r="I109" t="str">
        <f>VLOOKUP(A109,'2.09.2021'!A$3:'2.09.2021'!I$202,9,)</f>
        <v>SUA</v>
      </c>
      <c r="J109" t="str">
        <f t="shared" si="3"/>
        <v>Nu</v>
      </c>
    </row>
    <row r="110" spans="1:10" x14ac:dyDescent="0.2">
      <c r="A110" t="s">
        <v>446</v>
      </c>
      <c r="B110" t="s">
        <v>25</v>
      </c>
      <c r="C110">
        <v>6728495</v>
      </c>
      <c r="D110" s="7">
        <f t="shared" si="2"/>
        <v>33642.474999999999</v>
      </c>
      <c r="E110" s="2">
        <v>44245</v>
      </c>
      <c r="F110" s="2">
        <v>44469</v>
      </c>
      <c r="G110" s="23">
        <v>0.18263888888888891</v>
      </c>
      <c r="H110" t="s">
        <v>428</v>
      </c>
      <c r="I110" t="s">
        <v>497</v>
      </c>
      <c r="J110" t="str">
        <f t="shared" si="3"/>
        <v>Da</v>
      </c>
    </row>
    <row r="111" spans="1:10" x14ac:dyDescent="0.2">
      <c r="A111" t="s">
        <v>159</v>
      </c>
      <c r="B111" t="s">
        <v>160</v>
      </c>
      <c r="C111">
        <v>6708966</v>
      </c>
      <c r="D111" s="7">
        <f t="shared" si="2"/>
        <v>33544.83</v>
      </c>
      <c r="E111" s="2">
        <f>VLOOKUP(A111,'2.09.2021'!A$3:'2.09.2021'!I$202,5,)</f>
        <v>44329</v>
      </c>
      <c r="F111" s="2">
        <v>44469</v>
      </c>
      <c r="G111" s="23">
        <f>VLOOKUP(A111,'2.09.2021'!A$3:'2.09.2021'!I$202,7,)</f>
        <v>0.14930555555555555</v>
      </c>
      <c r="H111" t="str">
        <f>VLOOKUP(A111,'2.09.2021'!A$3:'2.09.2021'!I$202,8,)</f>
        <v>RHYTHM &amp; BLUES</v>
      </c>
      <c r="I111" t="str">
        <f>VLOOKUP(A111,'2.09.2021'!A$3:'2.09.2021'!I$202,9,)</f>
        <v>SUA</v>
      </c>
      <c r="J111" t="str">
        <f t="shared" si="3"/>
        <v>Nu</v>
      </c>
    </row>
    <row r="112" spans="1:10" x14ac:dyDescent="0.2">
      <c r="A112" t="s">
        <v>161</v>
      </c>
      <c r="B112" t="s">
        <v>162</v>
      </c>
      <c r="C112">
        <v>6675021</v>
      </c>
      <c r="D112" s="7">
        <f t="shared" si="2"/>
        <v>33375.104999999996</v>
      </c>
      <c r="E112" s="2">
        <f>VLOOKUP(A112,'2.09.2021'!A$3:'2.09.2021'!I$202,5,)</f>
        <v>44408</v>
      </c>
      <c r="F112" s="2">
        <v>44469</v>
      </c>
      <c r="G112" s="23">
        <f>VLOOKUP(A112,'2.09.2021'!A$3:'2.09.2021'!I$202,7,)</f>
        <v>0.15277777777777776</v>
      </c>
      <c r="H112" t="str">
        <f>VLOOKUP(A112,'2.09.2021'!A$3:'2.09.2021'!I$202,8,)</f>
        <v>HIP-HOP/RAP</v>
      </c>
      <c r="I112" t="str">
        <f>VLOOKUP(A112,'2.09.2021'!A$3:'2.09.2021'!I$202,9,)</f>
        <v>Australia</v>
      </c>
      <c r="J112" t="str">
        <f t="shared" si="3"/>
        <v>Nu</v>
      </c>
    </row>
    <row r="113" spans="1:10" x14ac:dyDescent="0.2">
      <c r="A113" t="s">
        <v>163</v>
      </c>
      <c r="B113" t="s">
        <v>164</v>
      </c>
      <c r="C113">
        <v>6646235</v>
      </c>
      <c r="D113" s="7">
        <f t="shared" si="2"/>
        <v>33231.174999999996</v>
      </c>
      <c r="E113" s="2">
        <f>VLOOKUP(A113,'2.09.2021'!A$3:'2.09.2021'!I$202,5,)</f>
        <v>44412</v>
      </c>
      <c r="F113" s="2">
        <v>44469</v>
      </c>
      <c r="G113" s="23">
        <f>VLOOKUP(A113,'2.09.2021'!A$3:'2.09.2021'!I$202,7,)</f>
        <v>0.10069444444444443</v>
      </c>
      <c r="H113" t="str">
        <f>VLOOKUP(A113,'2.09.2021'!A$3:'2.09.2021'!I$202,8,)</f>
        <v>HIP-HOP/RAP</v>
      </c>
      <c r="I113" t="str">
        <f>VLOOKUP(A113,'2.09.2021'!A$3:'2.09.2021'!I$202,9,)</f>
        <v>SUA</v>
      </c>
      <c r="J113" t="str">
        <f t="shared" si="3"/>
        <v>Nu</v>
      </c>
    </row>
    <row r="114" spans="1:10" x14ac:dyDescent="0.2">
      <c r="A114" t="s">
        <v>447</v>
      </c>
      <c r="B114" t="s">
        <v>2</v>
      </c>
      <c r="C114">
        <v>6612963</v>
      </c>
      <c r="D114" s="7">
        <f t="shared" si="2"/>
        <v>33064.815000000002</v>
      </c>
      <c r="E114" s="2">
        <v>44476</v>
      </c>
      <c r="F114" s="2">
        <v>44469</v>
      </c>
      <c r="G114" s="23">
        <v>0.22430555555555556</v>
      </c>
      <c r="H114" t="s">
        <v>423</v>
      </c>
      <c r="I114" t="s">
        <v>468</v>
      </c>
      <c r="J114" t="str">
        <f t="shared" si="3"/>
        <v>Da</v>
      </c>
    </row>
    <row r="115" spans="1:10" x14ac:dyDescent="0.2">
      <c r="A115" t="s">
        <v>165</v>
      </c>
      <c r="B115" t="s">
        <v>166</v>
      </c>
      <c r="C115">
        <v>6593965</v>
      </c>
      <c r="D115" s="7">
        <f t="shared" si="2"/>
        <v>32969.824999999997</v>
      </c>
      <c r="E115" s="2">
        <f>VLOOKUP(A115,'2.09.2021'!A$3:'2.09.2021'!I$202,5,)</f>
        <v>44406</v>
      </c>
      <c r="F115" s="2">
        <v>44469</v>
      </c>
      <c r="G115" s="23">
        <f>VLOOKUP(A115,'2.09.2021'!A$3:'2.09.2021'!I$202,7,)</f>
        <v>0.14652777777777778</v>
      </c>
      <c r="H115" t="str">
        <f>VLOOKUP(A115,'2.09.2021'!A$3:'2.09.2021'!I$202,8,)</f>
        <v>LATIN</v>
      </c>
      <c r="I115" t="str">
        <f>VLOOKUP(A115,'2.09.2021'!A$3:'2.09.2021'!I$202,9,)</f>
        <v>India</v>
      </c>
      <c r="J115" t="str">
        <f t="shared" si="3"/>
        <v>Nu</v>
      </c>
    </row>
    <row r="116" spans="1:10" x14ac:dyDescent="0.2">
      <c r="A116" t="s">
        <v>167</v>
      </c>
      <c r="B116" t="s">
        <v>4</v>
      </c>
      <c r="C116">
        <v>6501986</v>
      </c>
      <c r="D116" s="7">
        <f t="shared" si="2"/>
        <v>32509.93</v>
      </c>
      <c r="E116" s="2">
        <f>VLOOKUP(A116,'2.09.2021'!A$3:'2.09.2021'!I$202,5,)</f>
        <v>44437</v>
      </c>
      <c r="F116" s="2">
        <v>44469</v>
      </c>
      <c r="G116" s="23">
        <f>VLOOKUP(A116,'2.09.2021'!A$3:'2.09.2021'!I$202,7,)</f>
        <v>0.20625000000000002</v>
      </c>
      <c r="H116" t="str">
        <f>VLOOKUP(A116,'2.09.2021'!A$3:'2.09.2021'!I$202,8,)</f>
        <v>RHYTHM &amp; BLUES</v>
      </c>
      <c r="I116" t="str">
        <f>VLOOKUP(A116,'2.09.2021'!A$3:'2.09.2021'!I$202,9,)</f>
        <v>Marea Britanie</v>
      </c>
      <c r="J116" t="str">
        <f t="shared" si="3"/>
        <v>Nu</v>
      </c>
    </row>
    <row r="117" spans="1:10" x14ac:dyDescent="0.2">
      <c r="A117" t="s">
        <v>168</v>
      </c>
      <c r="B117" t="s">
        <v>158</v>
      </c>
      <c r="C117">
        <v>6474991</v>
      </c>
      <c r="D117" s="7">
        <f t="shared" si="2"/>
        <v>32374.955000000002</v>
      </c>
      <c r="E117" s="2">
        <f>VLOOKUP(A117,'2.09.2021'!A$3:'2.09.2021'!I$202,5,)</f>
        <v>44464</v>
      </c>
      <c r="F117" s="2">
        <v>44469</v>
      </c>
      <c r="G117" s="23">
        <f>VLOOKUP(A117,'2.09.2021'!A$3:'2.09.2021'!I$202,7,)</f>
        <v>0.12361111111111112</v>
      </c>
      <c r="H117" t="str">
        <f>VLOOKUP(A117,'2.09.2021'!A$3:'2.09.2021'!I$202,8,)</f>
        <v>LATIN URBAN</v>
      </c>
      <c r="I117" t="str">
        <f>VLOOKUP(A117,'2.09.2021'!A$3:'2.09.2021'!I$202,9,)</f>
        <v>SUA</v>
      </c>
      <c r="J117" t="str">
        <f t="shared" si="3"/>
        <v>Nu</v>
      </c>
    </row>
    <row r="118" spans="1:10" x14ac:dyDescent="0.2">
      <c r="A118" t="s">
        <v>169</v>
      </c>
      <c r="B118" t="s">
        <v>10</v>
      </c>
      <c r="C118">
        <v>6452401</v>
      </c>
      <c r="D118" s="7">
        <f t="shared" si="2"/>
        <v>32262.004999999997</v>
      </c>
      <c r="E118" s="2">
        <f>VLOOKUP(A118,'2.09.2021'!A$3:'2.09.2021'!I$202,5,)</f>
        <v>44309</v>
      </c>
      <c r="F118" s="2">
        <v>44469</v>
      </c>
      <c r="G118" s="23">
        <f>VLOOKUP(A118,'2.09.2021'!A$3:'2.09.2021'!I$202,7,)</f>
        <v>0.1076388888888889</v>
      </c>
      <c r="H118" t="str">
        <f>VLOOKUP(A118,'2.09.2021'!A$3:'2.09.2021'!I$202,8,)</f>
        <v>LATIN URBAN</v>
      </c>
      <c r="I118" t="str">
        <f>VLOOKUP(A118,'2.09.2021'!A$3:'2.09.2021'!I$202,9,)</f>
        <v>Marea Britanie</v>
      </c>
      <c r="J118" t="str">
        <f t="shared" si="3"/>
        <v>Nu</v>
      </c>
    </row>
    <row r="119" spans="1:10" x14ac:dyDescent="0.2">
      <c r="A119" t="s">
        <v>170</v>
      </c>
      <c r="B119" t="s">
        <v>171</v>
      </c>
      <c r="C119">
        <v>6435773</v>
      </c>
      <c r="D119" s="7">
        <f t="shared" si="2"/>
        <v>32178.865000000002</v>
      </c>
      <c r="E119" s="2">
        <f>VLOOKUP(A119,'2.09.2021'!A$3:'2.09.2021'!I$202,5,)</f>
        <v>44446</v>
      </c>
      <c r="F119" s="2">
        <v>44469</v>
      </c>
      <c r="G119" s="23">
        <f>VLOOKUP(A119,'2.09.2021'!A$3:'2.09.2021'!I$202,7,)</f>
        <v>9.5138888888888884E-2</v>
      </c>
      <c r="H119" t="str">
        <f>VLOOKUP(A119,'2.09.2021'!A$3:'2.09.2021'!I$202,8,)</f>
        <v>ALTERNATIVE</v>
      </c>
      <c r="I119" t="str">
        <f>VLOOKUP(A119,'2.09.2021'!A$3:'2.09.2021'!I$202,9,)</f>
        <v>SUA</v>
      </c>
      <c r="J119" t="str">
        <f t="shared" si="3"/>
        <v>Nu</v>
      </c>
    </row>
    <row r="120" spans="1:10" x14ac:dyDescent="0.2">
      <c r="A120" t="s">
        <v>172</v>
      </c>
      <c r="B120" t="s">
        <v>173</v>
      </c>
      <c r="C120">
        <v>6435163</v>
      </c>
      <c r="D120" s="7">
        <f t="shared" si="2"/>
        <v>32175.814999999999</v>
      </c>
      <c r="E120" s="2">
        <f>VLOOKUP(A120,'2.09.2021'!A$3:'2.09.2021'!I$202,5,)</f>
        <v>44227</v>
      </c>
      <c r="F120" s="2">
        <v>44469</v>
      </c>
      <c r="G120" s="23">
        <f>VLOOKUP(A120,'2.09.2021'!A$3:'2.09.2021'!I$202,7,)</f>
        <v>0.23124999999999998</v>
      </c>
      <c r="H120" t="str">
        <f>VLOOKUP(A120,'2.09.2021'!A$3:'2.09.2021'!I$202,8,)</f>
        <v>HIP-HOP/RAP</v>
      </c>
      <c r="I120" t="str">
        <f>VLOOKUP(A120,'2.09.2021'!A$3:'2.09.2021'!I$202,9,)</f>
        <v>SUA</v>
      </c>
      <c r="J120" t="str">
        <f t="shared" si="3"/>
        <v>Nu</v>
      </c>
    </row>
    <row r="121" spans="1:10" x14ac:dyDescent="0.2">
      <c r="A121" t="s">
        <v>174</v>
      </c>
      <c r="B121" t="s">
        <v>175</v>
      </c>
      <c r="C121">
        <v>6429703</v>
      </c>
      <c r="D121" s="7">
        <f t="shared" si="2"/>
        <v>32148.515000000003</v>
      </c>
      <c r="E121" s="2">
        <v>44440</v>
      </c>
      <c r="F121" s="2">
        <v>44469</v>
      </c>
      <c r="G121" s="23">
        <v>0.14097222222222222</v>
      </c>
      <c r="H121" t="s">
        <v>423</v>
      </c>
      <c r="I121" t="s">
        <v>468</v>
      </c>
      <c r="J121" t="str">
        <f t="shared" si="3"/>
        <v>Nu</v>
      </c>
    </row>
    <row r="122" spans="1:10" x14ac:dyDescent="0.2">
      <c r="A122" t="s">
        <v>176</v>
      </c>
      <c r="B122" t="s">
        <v>177</v>
      </c>
      <c r="C122">
        <v>6392025</v>
      </c>
      <c r="D122" s="7">
        <f t="shared" si="2"/>
        <v>31960.125</v>
      </c>
      <c r="E122" s="2">
        <v>44391</v>
      </c>
      <c r="F122" s="2">
        <v>44469</v>
      </c>
      <c r="G122" s="23">
        <v>0.14097222222222222</v>
      </c>
      <c r="H122" t="s">
        <v>426</v>
      </c>
      <c r="I122" t="s">
        <v>474</v>
      </c>
      <c r="J122" t="str">
        <f t="shared" si="3"/>
        <v>Nu</v>
      </c>
    </row>
    <row r="123" spans="1:10" x14ac:dyDescent="0.2">
      <c r="A123" t="s">
        <v>178</v>
      </c>
      <c r="B123" t="s">
        <v>52</v>
      </c>
      <c r="C123">
        <v>6389969</v>
      </c>
      <c r="D123" s="7">
        <f t="shared" si="2"/>
        <v>31949.845000000001</v>
      </c>
      <c r="E123" s="2">
        <f>VLOOKUP(A123,'2.09.2021'!A$3:'2.09.2021'!I$202,5,)</f>
        <v>44437</v>
      </c>
      <c r="F123" s="2">
        <v>44469</v>
      </c>
      <c r="G123" s="23">
        <f>VLOOKUP(A123,'2.09.2021'!A$3:'2.09.2021'!I$202,7,)</f>
        <v>0.23541666666666669</v>
      </c>
      <c r="H123" t="str">
        <f>VLOOKUP(A123,'2.09.2021'!A$3:'2.09.2021'!I$202,8,)</f>
        <v>HIP-HOP/RAP</v>
      </c>
      <c r="I123" t="str">
        <f>VLOOKUP(A123,'2.09.2021'!A$3:'2.09.2021'!I$202,9,)</f>
        <v>SUA</v>
      </c>
      <c r="J123" t="str">
        <f t="shared" si="3"/>
        <v>Nu</v>
      </c>
    </row>
    <row r="124" spans="1:10" x14ac:dyDescent="0.2">
      <c r="A124" t="s">
        <v>179</v>
      </c>
      <c r="B124" t="s">
        <v>180</v>
      </c>
      <c r="C124">
        <v>6312555</v>
      </c>
      <c r="D124" s="7">
        <f t="shared" si="2"/>
        <v>31562.775000000001</v>
      </c>
      <c r="E124" s="2">
        <f>VLOOKUP(A124,'2.09.2021'!A$3:'2.09.2021'!I$202,5,)</f>
        <v>44303</v>
      </c>
      <c r="F124" s="2">
        <v>44469</v>
      </c>
      <c r="G124" s="23">
        <f>VLOOKUP(A124,'2.09.2021'!A$3:'2.09.2021'!I$202,7,)</f>
        <v>0.15902777777777777</v>
      </c>
      <c r="H124" t="str">
        <f>VLOOKUP(A124,'2.09.2021'!A$3:'2.09.2021'!I$202,8,)</f>
        <v>HIP-HOP/RAP</v>
      </c>
      <c r="I124" t="str">
        <f>VLOOKUP(A124,'2.09.2021'!A$3:'2.09.2021'!I$202,9,)</f>
        <v>Olanda</v>
      </c>
      <c r="J124" t="str">
        <f t="shared" si="3"/>
        <v>Nu</v>
      </c>
    </row>
    <row r="125" spans="1:10" x14ac:dyDescent="0.2">
      <c r="A125" t="s">
        <v>181</v>
      </c>
      <c r="B125" t="s">
        <v>42</v>
      </c>
      <c r="C125">
        <v>6225584</v>
      </c>
      <c r="D125" s="7">
        <f t="shared" si="2"/>
        <v>31127.919999999998</v>
      </c>
      <c r="E125" s="2">
        <f>VLOOKUP(A125,'2.09.2021'!A$3:'2.09.2021'!I$202,5,)</f>
        <v>44316</v>
      </c>
      <c r="F125" s="2">
        <v>44469</v>
      </c>
      <c r="G125" s="23">
        <f>VLOOKUP(A125,'2.09.2021'!A$3:'2.09.2021'!I$202,7,)</f>
        <v>0.12013888888888889</v>
      </c>
      <c r="H125" t="str">
        <f>VLOOKUP(A125,'2.09.2021'!A$3:'2.09.2021'!I$202,8,)</f>
        <v>ELECTRONIC</v>
      </c>
      <c r="I125" t="str">
        <f>VLOOKUP(A125,'2.09.2021'!A$3:'2.09.2021'!I$202,9,)</f>
        <v>Columbia</v>
      </c>
      <c r="J125" t="str">
        <f t="shared" si="3"/>
        <v>Nu</v>
      </c>
    </row>
    <row r="126" spans="1:10" x14ac:dyDescent="0.2">
      <c r="A126" t="s">
        <v>182</v>
      </c>
      <c r="B126" t="s">
        <v>183</v>
      </c>
      <c r="C126">
        <v>6182823</v>
      </c>
      <c r="D126" s="7">
        <f t="shared" si="2"/>
        <v>30914.115000000002</v>
      </c>
      <c r="E126" s="2">
        <v>44346</v>
      </c>
      <c r="F126" s="2">
        <v>44469</v>
      </c>
      <c r="G126" s="23">
        <v>0.125</v>
      </c>
      <c r="H126" t="s">
        <v>423</v>
      </c>
      <c r="I126" t="s">
        <v>468</v>
      </c>
      <c r="J126" t="str">
        <f t="shared" si="3"/>
        <v>Nu</v>
      </c>
    </row>
    <row r="127" spans="1:10" x14ac:dyDescent="0.2">
      <c r="A127" t="s">
        <v>184</v>
      </c>
      <c r="B127" t="s">
        <v>185</v>
      </c>
      <c r="C127">
        <v>6179175</v>
      </c>
      <c r="D127" s="7">
        <f t="shared" si="2"/>
        <v>30895.875</v>
      </c>
      <c r="E127" s="2">
        <f>VLOOKUP(A127,'2.09.2021'!A$3:'2.09.2021'!I$202,5,)</f>
        <v>44321</v>
      </c>
      <c r="F127" s="2">
        <v>44469</v>
      </c>
      <c r="G127" s="23">
        <f>VLOOKUP(A127,'2.09.2021'!A$3:'2.09.2021'!I$202,7,)</f>
        <v>0.16805555555555554</v>
      </c>
      <c r="H127" t="str">
        <f>VLOOKUP(A127,'2.09.2021'!A$3:'2.09.2021'!I$202,8,)</f>
        <v>HIP-HOP/RAP</v>
      </c>
      <c r="I127" t="str">
        <f>VLOOKUP(A127,'2.09.2021'!A$3:'2.09.2021'!I$202,9,)</f>
        <v>SUA</v>
      </c>
      <c r="J127" t="str">
        <f t="shared" si="3"/>
        <v>Nu</v>
      </c>
    </row>
    <row r="128" spans="1:10" x14ac:dyDescent="0.2">
      <c r="A128" t="s">
        <v>186</v>
      </c>
      <c r="B128" t="s">
        <v>38</v>
      </c>
      <c r="C128">
        <v>6099427</v>
      </c>
      <c r="D128" s="7">
        <f t="shared" si="2"/>
        <v>30497.134999999998</v>
      </c>
      <c r="E128" s="2">
        <f>VLOOKUP(A128,'2.09.2021'!A$3:'2.09.2021'!I$202,5,)</f>
        <v>44315</v>
      </c>
      <c r="F128" s="2">
        <v>44469</v>
      </c>
      <c r="G128" s="23">
        <f>VLOOKUP(A128,'2.09.2021'!A$3:'2.09.2021'!I$202,7,)</f>
        <v>0.14097222222222222</v>
      </c>
      <c r="H128" t="str">
        <f>VLOOKUP(A128,'2.09.2021'!A$3:'2.09.2021'!I$202,8,)</f>
        <v>LATIN URBAN</v>
      </c>
      <c r="I128" t="str">
        <f>VLOOKUP(A128,'2.09.2021'!A$3:'2.09.2021'!I$202,9,)</f>
        <v>Marea Britanie</v>
      </c>
      <c r="J128" t="str">
        <f t="shared" si="3"/>
        <v>Nu</v>
      </c>
    </row>
    <row r="129" spans="1:10" x14ac:dyDescent="0.2">
      <c r="A129" t="s">
        <v>187</v>
      </c>
      <c r="B129" t="s">
        <v>188</v>
      </c>
      <c r="C129">
        <v>6065795</v>
      </c>
      <c r="D129" s="7">
        <f t="shared" si="2"/>
        <v>30328.974999999999</v>
      </c>
      <c r="E129" s="2">
        <f>VLOOKUP(A129,'2.09.2021'!A$3:'2.09.2021'!I$202,5,)</f>
        <v>44362</v>
      </c>
      <c r="F129" s="2">
        <v>44469</v>
      </c>
      <c r="G129" s="23">
        <f>VLOOKUP(A129,'2.09.2021'!A$3:'2.09.2021'!I$202,7,)</f>
        <v>0.14027777777777778</v>
      </c>
      <c r="H129" t="str">
        <f>VLOOKUP(A129,'2.09.2021'!A$3:'2.09.2021'!I$202,8,)</f>
        <v>HIP-HOP/RAP</v>
      </c>
      <c r="I129" t="str">
        <f>VLOOKUP(A129,'2.09.2021'!A$3:'2.09.2021'!I$202,9,)</f>
        <v>Marea Britanie</v>
      </c>
      <c r="J129" t="str">
        <f t="shared" si="3"/>
        <v>Nu</v>
      </c>
    </row>
    <row r="130" spans="1:10" x14ac:dyDescent="0.2">
      <c r="A130" t="s">
        <v>189</v>
      </c>
      <c r="B130" t="s">
        <v>190</v>
      </c>
      <c r="C130">
        <v>6040636</v>
      </c>
      <c r="D130" s="7">
        <f t="shared" si="2"/>
        <v>30203.18</v>
      </c>
      <c r="E130" s="2">
        <v>44246</v>
      </c>
      <c r="F130" s="2">
        <v>44469</v>
      </c>
      <c r="G130" s="23">
        <v>9.8611111111111108E-2</v>
      </c>
      <c r="H130" t="s">
        <v>426</v>
      </c>
      <c r="I130" t="s">
        <v>474</v>
      </c>
      <c r="J130" t="str">
        <f t="shared" si="3"/>
        <v>Nu</v>
      </c>
    </row>
    <row r="131" spans="1:10" x14ac:dyDescent="0.2">
      <c r="A131" t="s">
        <v>191</v>
      </c>
      <c r="B131" t="s">
        <v>192</v>
      </c>
      <c r="C131">
        <v>6034788</v>
      </c>
      <c r="D131" s="7">
        <f t="shared" si="2"/>
        <v>30173.94</v>
      </c>
      <c r="E131" s="2">
        <f>VLOOKUP(A131,'2.09.2021'!A$3:'2.09.2021'!I$202,5,)</f>
        <v>44413</v>
      </c>
      <c r="F131" s="2">
        <v>44469</v>
      </c>
      <c r="G131" s="23">
        <f>VLOOKUP(A131,'2.09.2021'!A$3:'2.09.2021'!I$202,7,)</f>
        <v>0.12013888888888889</v>
      </c>
      <c r="H131" t="str">
        <f>VLOOKUP(A131,'2.09.2021'!A$3:'2.09.2021'!I$202,8,)</f>
        <v>LATIN</v>
      </c>
      <c r="I131" t="str">
        <f>VLOOKUP(A131,'2.09.2021'!A$3:'2.09.2021'!I$202,9,)</f>
        <v>Canada</v>
      </c>
      <c r="J131" t="str">
        <f t="shared" si="3"/>
        <v>Nu</v>
      </c>
    </row>
    <row r="132" spans="1:10" x14ac:dyDescent="0.2">
      <c r="A132" t="s">
        <v>193</v>
      </c>
      <c r="B132" t="s">
        <v>86</v>
      </c>
      <c r="C132">
        <v>6022842</v>
      </c>
      <c r="D132" s="7">
        <f t="shared" ref="D132:D195" si="4">(C132/1000*5)</f>
        <v>30114.21</v>
      </c>
      <c r="E132" s="2">
        <f>VLOOKUP(A132,'2.09.2021'!A$3:'2.09.2021'!I$202,5,)</f>
        <v>44230</v>
      </c>
      <c r="F132" s="2">
        <v>44469</v>
      </c>
      <c r="G132" s="23">
        <f>VLOOKUP(A132,'2.09.2021'!A$3:'2.09.2021'!I$202,7,)</f>
        <v>0.12083333333333333</v>
      </c>
      <c r="H132" t="str">
        <f>VLOOKUP(A132,'2.09.2021'!A$3:'2.09.2021'!I$202,8,)</f>
        <v>HIP-HOP/RAP</v>
      </c>
      <c r="I132" t="str">
        <f>VLOOKUP(A132,'2.09.2021'!A$3:'2.09.2021'!I$202,9,)</f>
        <v>SUA</v>
      </c>
      <c r="J132" t="str">
        <f t="shared" ref="J132:J195" si="5">IF(ISNUMBER(SEARCH("with",A132)),"Da","Nu")</f>
        <v>Nu</v>
      </c>
    </row>
    <row r="133" spans="1:10" x14ac:dyDescent="0.2">
      <c r="A133" t="s">
        <v>194</v>
      </c>
      <c r="B133" t="s">
        <v>12</v>
      </c>
      <c r="C133">
        <v>5931113</v>
      </c>
      <c r="D133" s="7">
        <f t="shared" si="4"/>
        <v>29655.565000000002</v>
      </c>
      <c r="E133" s="2">
        <f>VLOOKUP(A133,'2.09.2021'!A$3:'2.09.2021'!I$202,5,)</f>
        <v>44262</v>
      </c>
      <c r="F133" s="2">
        <v>44469</v>
      </c>
      <c r="G133" s="23">
        <f>VLOOKUP(A133,'2.09.2021'!A$3:'2.09.2021'!I$202,7,)</f>
        <v>0.10833333333333334</v>
      </c>
      <c r="H133" t="str">
        <f>VLOOKUP(A133,'2.09.2021'!A$3:'2.09.2021'!I$202,8,)</f>
        <v>LATIN URBAN</v>
      </c>
      <c r="I133" t="str">
        <f>VLOOKUP(A133,'2.09.2021'!A$3:'2.09.2021'!I$202,9,)</f>
        <v>SUA</v>
      </c>
      <c r="J133" t="str">
        <f t="shared" si="5"/>
        <v>Nu</v>
      </c>
    </row>
    <row r="134" spans="1:10" x14ac:dyDescent="0.2">
      <c r="A134" t="s">
        <v>195</v>
      </c>
      <c r="B134" t="s">
        <v>196</v>
      </c>
      <c r="C134">
        <v>5902957</v>
      </c>
      <c r="D134" s="7">
        <f t="shared" si="4"/>
        <v>29514.785000000003</v>
      </c>
      <c r="E134" s="2">
        <v>44298</v>
      </c>
      <c r="F134" s="2">
        <v>44469</v>
      </c>
      <c r="G134" s="23">
        <v>5.7638888888888885E-2</v>
      </c>
      <c r="H134" t="s">
        <v>418</v>
      </c>
      <c r="I134" t="s">
        <v>472</v>
      </c>
      <c r="J134" t="str">
        <f t="shared" si="5"/>
        <v>Nu</v>
      </c>
    </row>
    <row r="135" spans="1:10" x14ac:dyDescent="0.2">
      <c r="A135" t="s">
        <v>197</v>
      </c>
      <c r="B135" t="s">
        <v>1</v>
      </c>
      <c r="C135">
        <v>5879073</v>
      </c>
      <c r="D135" s="7">
        <f t="shared" si="4"/>
        <v>29395.365000000002</v>
      </c>
      <c r="E135" s="2">
        <f>VLOOKUP(A135,'2.09.2021'!A$3:'2.09.2021'!I$202,5,)</f>
        <v>44243</v>
      </c>
      <c r="F135" s="2">
        <v>44469</v>
      </c>
      <c r="G135" s="23">
        <f>VLOOKUP(A135,'2.09.2021'!A$3:'2.09.2021'!I$202,7,)</f>
        <v>0.11388888888888889</v>
      </c>
      <c r="H135" t="str">
        <f>VLOOKUP(A135,'2.09.2021'!A$3:'2.09.2021'!I$202,8,)</f>
        <v>LATIN URBAN</v>
      </c>
      <c r="I135" t="str">
        <f>VLOOKUP(A135,'2.09.2021'!A$3:'2.09.2021'!I$202,9,)</f>
        <v>Australia</v>
      </c>
      <c r="J135" t="str">
        <f t="shared" si="5"/>
        <v>Da</v>
      </c>
    </row>
    <row r="136" spans="1:10" x14ac:dyDescent="0.2">
      <c r="A136" t="s">
        <v>198</v>
      </c>
      <c r="B136" t="s">
        <v>138</v>
      </c>
      <c r="C136">
        <v>5872202</v>
      </c>
      <c r="D136" s="7">
        <f t="shared" si="4"/>
        <v>29361.010000000002</v>
      </c>
      <c r="E136" s="2">
        <f>VLOOKUP(A136,'2.09.2021'!A$3:'2.09.2021'!I$202,5,)</f>
        <v>44295</v>
      </c>
      <c r="F136" s="2">
        <v>44469</v>
      </c>
      <c r="G136" s="23">
        <f>VLOOKUP(A136,'2.09.2021'!A$3:'2.09.2021'!I$202,7,)</f>
        <v>0.37361111111111112</v>
      </c>
      <c r="H136" t="str">
        <f>VLOOKUP(A136,'2.09.2021'!A$3:'2.09.2021'!I$202,8,)</f>
        <v>K-POP</v>
      </c>
      <c r="I136" t="str">
        <f>VLOOKUP(A136,'2.09.2021'!A$3:'2.09.2021'!I$202,9,)</f>
        <v>Canada</v>
      </c>
      <c r="J136" t="str">
        <f t="shared" si="5"/>
        <v>Nu</v>
      </c>
    </row>
    <row r="137" spans="1:10" x14ac:dyDescent="0.2">
      <c r="A137" t="s">
        <v>199</v>
      </c>
      <c r="B137" t="s">
        <v>200</v>
      </c>
      <c r="C137">
        <v>5844486</v>
      </c>
      <c r="D137" s="7">
        <f t="shared" si="4"/>
        <v>29222.43</v>
      </c>
      <c r="E137" s="2">
        <v>36603</v>
      </c>
      <c r="F137" s="2">
        <v>44469</v>
      </c>
      <c r="G137" s="23">
        <v>0.19722222222222222</v>
      </c>
      <c r="H137" t="s">
        <v>423</v>
      </c>
      <c r="I137" t="s">
        <v>468</v>
      </c>
      <c r="J137" t="str">
        <f t="shared" si="5"/>
        <v>Nu</v>
      </c>
    </row>
    <row r="138" spans="1:10" x14ac:dyDescent="0.2">
      <c r="A138" t="s">
        <v>201</v>
      </c>
      <c r="B138" t="s">
        <v>202</v>
      </c>
      <c r="C138">
        <v>5818772</v>
      </c>
      <c r="D138" s="7">
        <f t="shared" si="4"/>
        <v>29093.86</v>
      </c>
      <c r="E138" s="2">
        <v>44366</v>
      </c>
      <c r="F138" s="2">
        <v>44469</v>
      </c>
      <c r="G138" s="23">
        <v>0.11805555555555557</v>
      </c>
      <c r="H138" t="s">
        <v>422</v>
      </c>
      <c r="I138" t="s">
        <v>468</v>
      </c>
      <c r="J138" t="str">
        <f t="shared" si="5"/>
        <v>Nu</v>
      </c>
    </row>
    <row r="139" spans="1:10" x14ac:dyDescent="0.2">
      <c r="A139" t="s">
        <v>203</v>
      </c>
      <c r="B139" t="s">
        <v>204</v>
      </c>
      <c r="C139">
        <v>5814634</v>
      </c>
      <c r="D139" s="7">
        <f t="shared" si="4"/>
        <v>29073.17</v>
      </c>
      <c r="E139" s="2">
        <f>VLOOKUP(A139,'2.09.2021'!A$3:'2.09.2021'!I$202,5,)</f>
        <v>44254</v>
      </c>
      <c r="F139" s="2">
        <v>44469</v>
      </c>
      <c r="G139" s="23">
        <f>VLOOKUP(A139,'2.09.2021'!A$3:'2.09.2021'!I$202,7,)</f>
        <v>0.15277777777777776</v>
      </c>
      <c r="H139" t="str">
        <f>VLOOKUP(A139,'2.09.2021'!A$3:'2.09.2021'!I$202,8,)</f>
        <v>K-POP</v>
      </c>
      <c r="I139" t="str">
        <f>VLOOKUP(A139,'2.09.2021'!A$3:'2.09.2021'!I$202,9,)</f>
        <v>SUA</v>
      </c>
      <c r="J139" t="str">
        <f t="shared" si="5"/>
        <v>Nu</v>
      </c>
    </row>
    <row r="140" spans="1:10" x14ac:dyDescent="0.2">
      <c r="A140" t="s">
        <v>205</v>
      </c>
      <c r="B140" t="s">
        <v>206</v>
      </c>
      <c r="C140">
        <v>5813591</v>
      </c>
      <c r="D140" s="7">
        <f t="shared" si="4"/>
        <v>29067.955000000002</v>
      </c>
      <c r="E140" s="2">
        <f>VLOOKUP(A140,'2.09.2021'!A$3:'2.09.2021'!I$202,5,)</f>
        <v>44308</v>
      </c>
      <c r="F140" s="2">
        <v>44469</v>
      </c>
      <c r="G140" s="23">
        <f>VLOOKUP(A140,'2.09.2021'!A$3:'2.09.2021'!I$202,7,)</f>
        <v>0.14722222222222223</v>
      </c>
      <c r="H140" t="str">
        <f>VLOOKUP(A140,'2.09.2021'!A$3:'2.09.2021'!I$202,8,)</f>
        <v>HIP-HOP/RAP</v>
      </c>
      <c r="I140" t="str">
        <f>VLOOKUP(A140,'2.09.2021'!A$3:'2.09.2021'!I$202,9,)</f>
        <v>India</v>
      </c>
      <c r="J140" t="str">
        <f t="shared" si="5"/>
        <v>Nu</v>
      </c>
    </row>
    <row r="141" spans="1:10" x14ac:dyDescent="0.2">
      <c r="A141" t="s">
        <v>448</v>
      </c>
      <c r="B141" t="s">
        <v>207</v>
      </c>
      <c r="C141">
        <v>5787674</v>
      </c>
      <c r="D141" s="7">
        <f t="shared" si="4"/>
        <v>28938.37</v>
      </c>
      <c r="E141" s="2">
        <f>VLOOKUP(A141,'2.09.2021'!A$3:'2.09.2021'!I$202,5,)</f>
        <v>44309</v>
      </c>
      <c r="F141" s="2">
        <v>44469</v>
      </c>
      <c r="G141" s="23">
        <f>VLOOKUP(A141,'2.09.2021'!A$3:'2.09.2021'!I$202,7,)</f>
        <v>0.13333333333333333</v>
      </c>
      <c r="H141" t="str">
        <f>VLOOKUP(A141,'2.09.2021'!A$3:'2.09.2021'!I$202,8,)</f>
        <v>LATIN</v>
      </c>
      <c r="I141" t="str">
        <f>VLOOKUP(A141,'2.09.2021'!A$3:'2.09.2021'!I$202,9,)</f>
        <v>SUA</v>
      </c>
      <c r="J141" t="str">
        <f t="shared" si="5"/>
        <v>Da</v>
      </c>
    </row>
    <row r="142" spans="1:10" x14ac:dyDescent="0.2">
      <c r="A142" t="s">
        <v>449</v>
      </c>
      <c r="B142" t="s">
        <v>76</v>
      </c>
      <c r="C142">
        <v>5781914</v>
      </c>
      <c r="D142" s="7">
        <f t="shared" si="4"/>
        <v>28909.57</v>
      </c>
      <c r="E142" s="2">
        <f>VLOOKUP(A142,'2.09.2021'!A$3:'2.09.2021'!I$202,5,)</f>
        <v>44391</v>
      </c>
      <c r="F142" s="2">
        <v>44469</v>
      </c>
      <c r="G142" s="23">
        <f>VLOOKUP(A142,'2.09.2021'!A$3:'2.09.2021'!I$202,7,)</f>
        <v>0.10208333333333335</v>
      </c>
      <c r="H142" t="str">
        <f>VLOOKUP(A142,'2.09.2021'!A$3:'2.09.2021'!I$202,8,)</f>
        <v>LATIN URBAN</v>
      </c>
      <c r="I142" t="str">
        <f>VLOOKUP(A142,'2.09.2021'!A$3:'2.09.2021'!I$202,9,)</f>
        <v>Marea Britanie</v>
      </c>
      <c r="J142" t="str">
        <f t="shared" si="5"/>
        <v>Da</v>
      </c>
    </row>
    <row r="143" spans="1:10" x14ac:dyDescent="0.2">
      <c r="A143" t="s">
        <v>208</v>
      </c>
      <c r="B143" t="s">
        <v>209</v>
      </c>
      <c r="C143">
        <v>5781468</v>
      </c>
      <c r="D143" s="7">
        <f t="shared" si="4"/>
        <v>28907.34</v>
      </c>
      <c r="E143" s="2">
        <f>VLOOKUP(A143,'2.09.2021'!A$3:'2.09.2021'!I$202,5,)</f>
        <v>44452</v>
      </c>
      <c r="F143" s="2">
        <v>44469</v>
      </c>
      <c r="G143" s="23">
        <f>VLOOKUP(A143,'2.09.2021'!A$3:'2.09.2021'!I$202,7,)</f>
        <v>0.13819444444444443</v>
      </c>
      <c r="H143" t="str">
        <f>VLOOKUP(A143,'2.09.2021'!A$3:'2.09.2021'!I$202,8,)</f>
        <v>HIP-HOP/RAP</v>
      </c>
      <c r="I143" t="str">
        <f>VLOOKUP(A143,'2.09.2021'!A$3:'2.09.2021'!I$202,9,)</f>
        <v>Brazilia</v>
      </c>
      <c r="J143" t="str">
        <f t="shared" si="5"/>
        <v>Nu</v>
      </c>
    </row>
    <row r="144" spans="1:10" x14ac:dyDescent="0.2">
      <c r="A144" t="s">
        <v>210</v>
      </c>
      <c r="B144" t="s">
        <v>211</v>
      </c>
      <c r="C144">
        <v>5780875</v>
      </c>
      <c r="D144" s="7">
        <f t="shared" si="4"/>
        <v>28904.375</v>
      </c>
      <c r="E144" s="2">
        <f>VLOOKUP(A144,'2.09.2021'!A$3:'2.09.2021'!I$202,5,)</f>
        <v>44456</v>
      </c>
      <c r="F144" s="2">
        <v>44469</v>
      </c>
      <c r="G144" s="23">
        <f>VLOOKUP(A144,'2.09.2021'!A$3:'2.09.2021'!I$202,7,)</f>
        <v>0.12361111111111112</v>
      </c>
      <c r="H144" t="str">
        <f>VLOOKUP(A144,'2.09.2021'!A$3:'2.09.2021'!I$202,8,)</f>
        <v>ROCK</v>
      </c>
      <c r="I144" t="str">
        <f>VLOOKUP(A144,'2.09.2021'!A$3:'2.09.2021'!I$202,9,)</f>
        <v>SUA</v>
      </c>
      <c r="J144" t="str">
        <f t="shared" si="5"/>
        <v>Nu</v>
      </c>
    </row>
    <row r="145" spans="1:10" x14ac:dyDescent="0.2">
      <c r="A145" t="s">
        <v>212</v>
      </c>
      <c r="B145" t="s">
        <v>213</v>
      </c>
      <c r="C145">
        <v>5764262</v>
      </c>
      <c r="D145" s="7">
        <f t="shared" si="4"/>
        <v>28821.309999999998</v>
      </c>
      <c r="E145" s="2">
        <f>VLOOKUP(A145,'2.09.2021'!A$3:'2.09.2021'!I$202,5,)</f>
        <v>44337</v>
      </c>
      <c r="F145" s="2">
        <v>44469</v>
      </c>
      <c r="G145" s="23">
        <f>VLOOKUP(A145,'2.09.2021'!A$3:'2.09.2021'!I$202,7,)</f>
        <v>0.22291666666666665</v>
      </c>
      <c r="H145" t="str">
        <f>VLOOKUP(A145,'2.09.2021'!A$3:'2.09.2021'!I$202,8,)</f>
        <v>LATIN URBAN</v>
      </c>
      <c r="I145" t="str">
        <f>VLOOKUP(A145,'2.09.2021'!A$3:'2.09.2021'!I$202,9,)</f>
        <v>Suedia</v>
      </c>
      <c r="J145" t="str">
        <f t="shared" si="5"/>
        <v>Nu</v>
      </c>
    </row>
    <row r="146" spans="1:10" x14ac:dyDescent="0.2">
      <c r="A146" t="s">
        <v>214</v>
      </c>
      <c r="B146" t="s">
        <v>215</v>
      </c>
      <c r="C146">
        <v>5759898</v>
      </c>
      <c r="D146" s="7">
        <f t="shared" si="4"/>
        <v>28799.49</v>
      </c>
      <c r="E146" s="2">
        <v>44297</v>
      </c>
      <c r="F146" s="2">
        <v>44469</v>
      </c>
      <c r="G146" s="23">
        <v>0.10555555555555556</v>
      </c>
      <c r="H146" t="s">
        <v>418</v>
      </c>
      <c r="I146" t="s">
        <v>479</v>
      </c>
      <c r="J146" t="str">
        <f t="shared" si="5"/>
        <v>Nu</v>
      </c>
    </row>
    <row r="147" spans="1:10" x14ac:dyDescent="0.2">
      <c r="A147" t="s">
        <v>216</v>
      </c>
      <c r="B147" t="s">
        <v>217</v>
      </c>
      <c r="C147">
        <v>5734900</v>
      </c>
      <c r="D147" s="7">
        <f t="shared" si="4"/>
        <v>28674.5</v>
      </c>
      <c r="E147" s="2">
        <f>VLOOKUP(A147,'2.09.2021'!A$3:'2.09.2021'!I$202,5,)</f>
        <v>44316</v>
      </c>
      <c r="F147" s="2">
        <v>44469</v>
      </c>
      <c r="G147" s="23">
        <f>VLOOKUP(A147,'2.09.2021'!A$3:'2.09.2021'!I$202,7,)</f>
        <v>0.14305555555555557</v>
      </c>
      <c r="H147" t="str">
        <f>VLOOKUP(A147,'2.09.2021'!A$3:'2.09.2021'!I$202,8,)</f>
        <v>LATIN</v>
      </c>
      <c r="I147" t="str">
        <f>VLOOKUP(A147,'2.09.2021'!A$3:'2.09.2021'!I$202,9,)</f>
        <v>Canada</v>
      </c>
      <c r="J147" t="str">
        <f t="shared" si="5"/>
        <v>Nu</v>
      </c>
    </row>
    <row r="148" spans="1:10" x14ac:dyDescent="0.2">
      <c r="A148" t="s">
        <v>218</v>
      </c>
      <c r="B148" t="s">
        <v>219</v>
      </c>
      <c r="C148">
        <v>5719256</v>
      </c>
      <c r="D148" s="7">
        <f t="shared" si="4"/>
        <v>28596.280000000002</v>
      </c>
      <c r="E148" s="2">
        <f>VLOOKUP(A148,'2.09.2021'!A$3:'2.09.2021'!I$202,5,)</f>
        <v>44320</v>
      </c>
      <c r="F148" s="2">
        <v>44469</v>
      </c>
      <c r="G148" s="23">
        <f>VLOOKUP(A148,'2.09.2021'!A$3:'2.09.2021'!I$202,7,)</f>
        <v>0.18958333333333333</v>
      </c>
      <c r="H148" t="str">
        <f>VLOOKUP(A148,'2.09.2021'!A$3:'2.09.2021'!I$202,8,)</f>
        <v>POP</v>
      </c>
      <c r="I148" t="str">
        <f>VLOOKUP(A148,'2.09.2021'!A$3:'2.09.2021'!I$202,9,)</f>
        <v>Puerto Rico</v>
      </c>
      <c r="J148" t="str">
        <f t="shared" si="5"/>
        <v>Nu</v>
      </c>
    </row>
    <row r="149" spans="1:10" x14ac:dyDescent="0.2">
      <c r="A149" t="s">
        <v>220</v>
      </c>
      <c r="B149" t="s">
        <v>215</v>
      </c>
      <c r="C149">
        <v>5719042</v>
      </c>
      <c r="D149" s="7">
        <f t="shared" si="4"/>
        <v>28595.210000000003</v>
      </c>
      <c r="E149" s="2">
        <f>VLOOKUP(A149,'2.09.2021'!A$3:'2.09.2021'!I$202,5,)</f>
        <v>44412</v>
      </c>
      <c r="F149" s="2">
        <v>44469</v>
      </c>
      <c r="G149" s="23">
        <f>VLOOKUP(A149,'2.09.2021'!A$3:'2.09.2021'!I$202,7,)</f>
        <v>0.1673611111111111</v>
      </c>
      <c r="H149" t="str">
        <f>VLOOKUP(A149,'2.09.2021'!A$3:'2.09.2021'!I$202,8,)</f>
        <v>POP</v>
      </c>
      <c r="I149" t="str">
        <f>VLOOKUP(A149,'2.09.2021'!A$3:'2.09.2021'!I$202,9,)</f>
        <v>Puerto Rico</v>
      </c>
      <c r="J149" t="str">
        <f t="shared" si="5"/>
        <v>Nu</v>
      </c>
    </row>
    <row r="150" spans="1:10" x14ac:dyDescent="0.2">
      <c r="A150" t="s">
        <v>221</v>
      </c>
      <c r="B150" t="s">
        <v>222</v>
      </c>
      <c r="C150">
        <v>5714332</v>
      </c>
      <c r="D150" s="7">
        <f t="shared" si="4"/>
        <v>28571.660000000003</v>
      </c>
      <c r="E150" s="2">
        <f>VLOOKUP(A150,'2.09.2021'!A$3:'2.09.2021'!I$202,5,)</f>
        <v>44286</v>
      </c>
      <c r="F150" s="2">
        <v>44469</v>
      </c>
      <c r="G150" s="23">
        <f>VLOOKUP(A150,'2.09.2021'!A$3:'2.09.2021'!I$202,7,)</f>
        <v>8.8888888888888892E-2</v>
      </c>
      <c r="H150" t="str">
        <f>VLOOKUP(A150,'2.09.2021'!A$3:'2.09.2021'!I$202,8,)</f>
        <v>HIP-HOP/RAP</v>
      </c>
      <c r="I150" t="str">
        <f>VLOOKUP(A150,'2.09.2021'!A$3:'2.09.2021'!I$202,9,)</f>
        <v>Brazilia</v>
      </c>
      <c r="J150" t="str">
        <f t="shared" si="5"/>
        <v>Nu</v>
      </c>
    </row>
    <row r="151" spans="1:10" x14ac:dyDescent="0.2">
      <c r="A151" t="s">
        <v>223</v>
      </c>
      <c r="B151" t="s">
        <v>88</v>
      </c>
      <c r="C151">
        <v>5710496</v>
      </c>
      <c r="D151" s="7">
        <f t="shared" si="4"/>
        <v>28552.48</v>
      </c>
      <c r="E151" s="2">
        <f>VLOOKUP(A151,'2.09.2021'!A$3:'2.09.2021'!I$202,5,)</f>
        <v>44351</v>
      </c>
      <c r="F151" s="2">
        <v>44469</v>
      </c>
      <c r="G151" s="23">
        <f>VLOOKUP(A151,'2.09.2021'!A$3:'2.09.2021'!I$202,7,)</f>
        <v>0.15347222222222223</v>
      </c>
      <c r="H151" t="str">
        <f>VLOOKUP(A151,'2.09.2021'!A$3:'2.09.2021'!I$202,8,)</f>
        <v>POP</v>
      </c>
      <c r="I151" t="str">
        <f>VLOOKUP(A151,'2.09.2021'!A$3:'2.09.2021'!I$202,9,)</f>
        <v>SUA</v>
      </c>
      <c r="J151" t="str">
        <f t="shared" si="5"/>
        <v>Nu</v>
      </c>
    </row>
    <row r="152" spans="1:10" x14ac:dyDescent="0.2">
      <c r="A152" t="s">
        <v>450</v>
      </c>
      <c r="B152" t="s">
        <v>55</v>
      </c>
      <c r="C152">
        <v>5703140</v>
      </c>
      <c r="D152" s="7">
        <f t="shared" si="4"/>
        <v>28515.7</v>
      </c>
      <c r="E152" s="2">
        <f>VLOOKUP(A152,'2.09.2021'!A$3:'2.09.2021'!I$202,5,)</f>
        <v>44435</v>
      </c>
      <c r="F152" s="2">
        <v>44469</v>
      </c>
      <c r="G152" s="23">
        <f>VLOOKUP(A152,'2.09.2021'!A$3:'2.09.2021'!I$202,7,)</f>
        <v>0.11388888888888889</v>
      </c>
      <c r="H152" t="str">
        <f>VLOOKUP(A152,'2.09.2021'!A$3:'2.09.2021'!I$202,8,)</f>
        <v>K-POP</v>
      </c>
      <c r="I152" t="str">
        <f>VLOOKUP(A152,'2.09.2021'!A$3:'2.09.2021'!I$202,9,)</f>
        <v>Korea de Sud</v>
      </c>
      <c r="J152" t="str">
        <f t="shared" si="5"/>
        <v>Da</v>
      </c>
    </row>
    <row r="153" spans="1:10" x14ac:dyDescent="0.2">
      <c r="A153" t="s">
        <v>224</v>
      </c>
      <c r="B153" t="s">
        <v>225</v>
      </c>
      <c r="C153">
        <v>5699299</v>
      </c>
      <c r="D153" s="7">
        <f t="shared" si="4"/>
        <v>28496.494999999999</v>
      </c>
      <c r="E153" s="2">
        <f>VLOOKUP(A153,'2.09.2021'!A$3:'2.09.2021'!I$202,5,)</f>
        <v>44460</v>
      </c>
      <c r="F153" s="2">
        <v>44469</v>
      </c>
      <c r="G153" s="23">
        <f>VLOOKUP(A153,'2.09.2021'!A$3:'2.09.2021'!I$202,7,)</f>
        <v>0.15694444444444444</v>
      </c>
      <c r="H153" t="str">
        <f>VLOOKUP(A153,'2.09.2021'!A$3:'2.09.2021'!I$202,8,)</f>
        <v>HIP-HOP/RAP</v>
      </c>
      <c r="I153" t="str">
        <f>VLOOKUP(A153,'2.09.2021'!A$3:'2.09.2021'!I$202,9,)</f>
        <v>Marea Britanie</v>
      </c>
      <c r="J153" t="str">
        <f t="shared" si="5"/>
        <v>Nu</v>
      </c>
    </row>
    <row r="154" spans="1:10" x14ac:dyDescent="0.2">
      <c r="A154" t="s">
        <v>226</v>
      </c>
      <c r="B154" t="s">
        <v>227</v>
      </c>
      <c r="C154">
        <v>5678972</v>
      </c>
      <c r="D154" s="7">
        <f t="shared" si="4"/>
        <v>28394.86</v>
      </c>
      <c r="E154" s="2">
        <f>VLOOKUP(A154,'2.09.2021'!A$3:'2.09.2021'!I$202,5,)</f>
        <v>44437</v>
      </c>
      <c r="F154" s="2">
        <v>44469</v>
      </c>
      <c r="G154" s="23">
        <f>VLOOKUP(A154,'2.09.2021'!A$3:'2.09.2021'!I$202,7,)</f>
        <v>0.19930555555555554</v>
      </c>
      <c r="H154" t="str">
        <f>VLOOKUP(A154,'2.09.2021'!A$3:'2.09.2021'!I$202,8,)</f>
        <v>LATIN URBAN</v>
      </c>
      <c r="I154" t="str">
        <f>VLOOKUP(A154,'2.09.2021'!A$3:'2.09.2021'!I$202,9,)</f>
        <v>SUA</v>
      </c>
      <c r="J154" t="str">
        <f t="shared" si="5"/>
        <v>Nu</v>
      </c>
    </row>
    <row r="155" spans="1:10" x14ac:dyDescent="0.2">
      <c r="A155" t="s">
        <v>228</v>
      </c>
      <c r="B155" t="s">
        <v>229</v>
      </c>
      <c r="C155">
        <v>5676064</v>
      </c>
      <c r="D155" s="7">
        <f t="shared" si="4"/>
        <v>28380.32</v>
      </c>
      <c r="E155" s="2">
        <f>VLOOKUP(A155,'2.09.2021'!A$3:'2.09.2021'!I$202,5,)</f>
        <v>44336</v>
      </c>
      <c r="F155" s="2">
        <v>44469</v>
      </c>
      <c r="G155" s="23">
        <f>VLOOKUP(A155,'2.09.2021'!A$3:'2.09.2021'!I$202,7,)</f>
        <v>9.7916666666666666E-2</v>
      </c>
      <c r="H155" t="str">
        <f>VLOOKUP(A155,'2.09.2021'!A$3:'2.09.2021'!I$202,8,)</f>
        <v>DANCE</v>
      </c>
      <c r="I155" t="str">
        <f>VLOOKUP(A155,'2.09.2021'!A$3:'2.09.2021'!I$202,9,)</f>
        <v>SUA</v>
      </c>
      <c r="J155" t="str">
        <f t="shared" si="5"/>
        <v>Nu</v>
      </c>
    </row>
    <row r="156" spans="1:10" x14ac:dyDescent="0.2">
      <c r="A156" t="s">
        <v>230</v>
      </c>
      <c r="B156" t="s">
        <v>231</v>
      </c>
      <c r="C156">
        <v>5673821</v>
      </c>
      <c r="D156" s="7">
        <f t="shared" si="4"/>
        <v>28369.105</v>
      </c>
      <c r="E156" s="2">
        <f>VLOOKUP(A156,'2.09.2021'!A$3:'2.09.2021'!I$202,5,)</f>
        <v>44339</v>
      </c>
      <c r="F156" s="2">
        <v>44469</v>
      </c>
      <c r="G156" s="23">
        <f>VLOOKUP(A156,'2.09.2021'!A$3:'2.09.2021'!I$202,7,)</f>
        <v>0.16805555555555554</v>
      </c>
      <c r="H156" t="str">
        <f>VLOOKUP(A156,'2.09.2021'!A$3:'2.09.2021'!I$202,8,)</f>
        <v>HIP-HOP/RAP</v>
      </c>
      <c r="I156" t="str">
        <f>VLOOKUP(A156,'2.09.2021'!A$3:'2.09.2021'!I$202,9,)</f>
        <v>Mexic</v>
      </c>
      <c r="J156" t="str">
        <f t="shared" si="5"/>
        <v>Nu</v>
      </c>
    </row>
    <row r="157" spans="1:10" x14ac:dyDescent="0.2">
      <c r="A157" t="s">
        <v>232</v>
      </c>
      <c r="B157" t="s">
        <v>233</v>
      </c>
      <c r="C157">
        <v>5668382</v>
      </c>
      <c r="D157" s="7">
        <f t="shared" si="4"/>
        <v>28341.909999999996</v>
      </c>
      <c r="E157" s="2">
        <f>VLOOKUP(A157,'2.09.2021'!A$3:'2.09.2021'!I$202,5,)</f>
        <v>44389</v>
      </c>
      <c r="F157" s="2">
        <v>44469</v>
      </c>
      <c r="G157" s="23">
        <f>VLOOKUP(A157,'2.09.2021'!A$3:'2.09.2021'!I$202,7,)</f>
        <v>0.14097222222222222</v>
      </c>
      <c r="H157" t="str">
        <f>VLOOKUP(A157,'2.09.2021'!A$3:'2.09.2021'!I$202,8,)</f>
        <v>POP</v>
      </c>
      <c r="I157" t="str">
        <f>VLOOKUP(A157,'2.09.2021'!A$3:'2.09.2021'!I$202,9,)</f>
        <v>SUA</v>
      </c>
      <c r="J157" t="str">
        <f t="shared" si="5"/>
        <v>Nu</v>
      </c>
    </row>
    <row r="158" spans="1:10" x14ac:dyDescent="0.2">
      <c r="A158" t="s">
        <v>234</v>
      </c>
      <c r="B158" t="s">
        <v>235</v>
      </c>
      <c r="C158">
        <v>5660310</v>
      </c>
      <c r="D158" s="7">
        <f t="shared" si="4"/>
        <v>28301.550000000003</v>
      </c>
      <c r="E158" s="2">
        <f>VLOOKUP(A158,'2.09.2021'!A$3:'2.09.2021'!I$202,5,)</f>
        <v>44285</v>
      </c>
      <c r="F158" s="2">
        <v>44469</v>
      </c>
      <c r="G158" s="23">
        <f>VLOOKUP(A158,'2.09.2021'!A$3:'2.09.2021'!I$202,7,)</f>
        <v>0.12708333333333333</v>
      </c>
      <c r="H158" t="str">
        <f>VLOOKUP(A158,'2.09.2021'!A$3:'2.09.2021'!I$202,8,)</f>
        <v>HIP-HOP/RAP</v>
      </c>
      <c r="I158" t="str">
        <f>VLOOKUP(A158,'2.09.2021'!A$3:'2.09.2021'!I$202,9,)</f>
        <v>Marea Britanie</v>
      </c>
      <c r="J158" t="str">
        <f t="shared" si="5"/>
        <v>Nu</v>
      </c>
    </row>
    <row r="159" spans="1:10" x14ac:dyDescent="0.2">
      <c r="A159" t="s">
        <v>236</v>
      </c>
      <c r="B159" t="s">
        <v>17</v>
      </c>
      <c r="C159">
        <v>5656596</v>
      </c>
      <c r="D159" s="7">
        <f t="shared" si="4"/>
        <v>28282.979999999996</v>
      </c>
      <c r="E159" s="2">
        <f>VLOOKUP(A159,'2.09.2021'!A$3:'2.09.2021'!I$202,5,)</f>
        <v>44347</v>
      </c>
      <c r="F159" s="2">
        <v>44469</v>
      </c>
      <c r="G159" s="23">
        <f>VLOOKUP(A159,'2.09.2021'!A$3:'2.09.2021'!I$202,7,)</f>
        <v>0.12013888888888889</v>
      </c>
      <c r="H159" t="str">
        <f>VLOOKUP(A159,'2.09.2021'!A$3:'2.09.2021'!I$202,8,)</f>
        <v>HIP-HOP/RAP</v>
      </c>
      <c r="I159" t="str">
        <f>VLOOKUP(A159,'2.09.2021'!A$3:'2.09.2021'!I$202,9,)</f>
        <v>SUA</v>
      </c>
      <c r="J159" t="str">
        <f t="shared" si="5"/>
        <v>Nu</v>
      </c>
    </row>
    <row r="160" spans="1:10" x14ac:dyDescent="0.2">
      <c r="A160" t="s">
        <v>237</v>
      </c>
      <c r="B160" t="s">
        <v>238</v>
      </c>
      <c r="C160">
        <v>5626831</v>
      </c>
      <c r="D160" s="7">
        <f t="shared" si="4"/>
        <v>28134.154999999999</v>
      </c>
      <c r="E160" s="2">
        <v>44230</v>
      </c>
      <c r="F160" s="2">
        <v>44469</v>
      </c>
      <c r="G160" s="23">
        <v>9.7916666666666666E-2</v>
      </c>
      <c r="H160" t="s">
        <v>418</v>
      </c>
      <c r="I160" t="s">
        <v>479</v>
      </c>
      <c r="J160" t="str">
        <f t="shared" si="5"/>
        <v>Nu</v>
      </c>
    </row>
    <row r="161" spans="1:10" x14ac:dyDescent="0.2">
      <c r="A161" t="s">
        <v>239</v>
      </c>
      <c r="B161" t="s">
        <v>240</v>
      </c>
      <c r="C161">
        <v>5622520</v>
      </c>
      <c r="D161" s="7">
        <f t="shared" si="4"/>
        <v>28112.600000000002</v>
      </c>
      <c r="E161" s="2">
        <f>VLOOKUP(A161,'2.09.2021'!A$3:'2.09.2021'!I$202,5,)</f>
        <v>44407</v>
      </c>
      <c r="F161" s="2">
        <v>44469</v>
      </c>
      <c r="G161" s="23">
        <f>VLOOKUP(A161,'2.09.2021'!A$3:'2.09.2021'!I$202,7,)</f>
        <v>0.16874999999999998</v>
      </c>
      <c r="H161" t="str">
        <f>VLOOKUP(A161,'2.09.2021'!A$3:'2.09.2021'!I$202,8,)</f>
        <v>POP</v>
      </c>
      <c r="I161" t="str">
        <f>VLOOKUP(A161,'2.09.2021'!A$3:'2.09.2021'!I$202,9,)</f>
        <v>Irlanda</v>
      </c>
      <c r="J161" t="str">
        <f t="shared" si="5"/>
        <v>Nu</v>
      </c>
    </row>
    <row r="162" spans="1:10" x14ac:dyDescent="0.2">
      <c r="A162" t="s">
        <v>241</v>
      </c>
      <c r="B162" t="s">
        <v>242</v>
      </c>
      <c r="C162">
        <v>5615991</v>
      </c>
      <c r="D162" s="7">
        <f t="shared" si="4"/>
        <v>28079.955000000002</v>
      </c>
      <c r="E162" s="2">
        <f>VLOOKUP(A162,'2.09.2021'!A$3:'2.09.2021'!I$202,5,)</f>
        <v>44377</v>
      </c>
      <c r="F162" s="2">
        <v>44469</v>
      </c>
      <c r="G162" s="23">
        <f>VLOOKUP(A162,'2.09.2021'!A$3:'2.09.2021'!I$202,7,)</f>
        <v>0.16527777777777777</v>
      </c>
      <c r="H162" t="str">
        <f>VLOOKUP(A162,'2.09.2021'!A$3:'2.09.2021'!I$202,8,)</f>
        <v>HIP-HOP/RAP</v>
      </c>
      <c r="I162" t="str">
        <f>VLOOKUP(A162,'2.09.2021'!A$3:'2.09.2021'!I$202,9,)</f>
        <v>Marea Britanie</v>
      </c>
      <c r="J162" t="str">
        <f t="shared" si="5"/>
        <v>Nu</v>
      </c>
    </row>
    <row r="163" spans="1:10" x14ac:dyDescent="0.2">
      <c r="A163" t="s">
        <v>243</v>
      </c>
      <c r="B163" t="s">
        <v>244</v>
      </c>
      <c r="C163">
        <v>5613675</v>
      </c>
      <c r="D163" s="7">
        <f t="shared" si="4"/>
        <v>28068.375</v>
      </c>
      <c r="E163" s="2">
        <v>44199</v>
      </c>
      <c r="F163" s="2">
        <v>44469</v>
      </c>
      <c r="G163" s="23">
        <v>9.930555555555555E-2</v>
      </c>
      <c r="H163" t="s">
        <v>423</v>
      </c>
      <c r="I163" t="s">
        <v>468</v>
      </c>
      <c r="J163" t="str">
        <f t="shared" si="5"/>
        <v>Nu</v>
      </c>
    </row>
    <row r="164" spans="1:10" x14ac:dyDescent="0.2">
      <c r="A164" t="s">
        <v>245</v>
      </c>
      <c r="B164" t="s">
        <v>246</v>
      </c>
      <c r="C164">
        <v>5573296</v>
      </c>
      <c r="D164" s="7">
        <f t="shared" si="4"/>
        <v>27866.480000000003</v>
      </c>
      <c r="E164" s="2">
        <f>VLOOKUP(A164,'2.09.2021'!A$3:'2.09.2021'!I$202,5,)</f>
        <v>44244</v>
      </c>
      <c r="F164" s="2">
        <v>44469</v>
      </c>
      <c r="G164" s="23">
        <f>VLOOKUP(A164,'2.09.2021'!A$3:'2.09.2021'!I$202,7,)</f>
        <v>0.12013888888888889</v>
      </c>
      <c r="H164" t="str">
        <f>VLOOKUP(A164,'2.09.2021'!A$3:'2.09.2021'!I$202,8,)</f>
        <v>LATIN URBAN</v>
      </c>
      <c r="I164" t="str">
        <f>VLOOKUP(A164,'2.09.2021'!A$3:'2.09.2021'!I$202,9,)</f>
        <v>Australia</v>
      </c>
      <c r="J164" t="str">
        <f t="shared" si="5"/>
        <v>Nu</v>
      </c>
    </row>
    <row r="165" spans="1:10" x14ac:dyDescent="0.2">
      <c r="A165" t="s">
        <v>247</v>
      </c>
      <c r="B165" t="s">
        <v>20</v>
      </c>
      <c r="C165">
        <v>5565289</v>
      </c>
      <c r="D165" s="7">
        <f t="shared" si="4"/>
        <v>27826.445</v>
      </c>
      <c r="E165" s="2">
        <v>44246</v>
      </c>
      <c r="F165" s="2">
        <v>44469</v>
      </c>
      <c r="G165" s="23">
        <v>0.13333333333333333</v>
      </c>
      <c r="H165" t="s">
        <v>423</v>
      </c>
      <c r="I165" t="s">
        <v>420</v>
      </c>
      <c r="J165" t="str">
        <f t="shared" si="5"/>
        <v>Nu</v>
      </c>
    </row>
    <row r="166" spans="1:10" x14ac:dyDescent="0.2">
      <c r="A166" t="s">
        <v>248</v>
      </c>
      <c r="B166" t="s">
        <v>211</v>
      </c>
      <c r="C166">
        <v>5562045</v>
      </c>
      <c r="D166" s="7">
        <f t="shared" si="4"/>
        <v>27810.224999999999</v>
      </c>
      <c r="E166" s="2">
        <f>VLOOKUP(A166,'2.09.2021'!A$3:'2.09.2021'!I$202,5,)</f>
        <v>44282</v>
      </c>
      <c r="F166" s="2">
        <v>44469</v>
      </c>
      <c r="G166" s="23">
        <f>VLOOKUP(A166,'2.09.2021'!A$3:'2.09.2021'!I$202,7,)</f>
        <v>9.7916666666666666E-2</v>
      </c>
      <c r="H166" t="str">
        <f>VLOOKUP(A166,'2.09.2021'!A$3:'2.09.2021'!I$202,8,)</f>
        <v>R&amp;B/SOUL</v>
      </c>
      <c r="I166" t="str">
        <f>VLOOKUP(A166,'2.09.2021'!A$3:'2.09.2021'!I$202,9,)</f>
        <v>SUA</v>
      </c>
      <c r="J166" t="str">
        <f t="shared" si="5"/>
        <v>Nu</v>
      </c>
    </row>
    <row r="167" spans="1:10" x14ac:dyDescent="0.2">
      <c r="A167" t="s">
        <v>451</v>
      </c>
      <c r="B167" t="s">
        <v>244</v>
      </c>
      <c r="C167">
        <v>5547220</v>
      </c>
      <c r="D167" s="7">
        <f t="shared" si="4"/>
        <v>27736.100000000002</v>
      </c>
      <c r="E167" s="2">
        <v>44199</v>
      </c>
      <c r="F167" s="2">
        <v>44469</v>
      </c>
      <c r="G167" s="23">
        <v>0.12430555555555556</v>
      </c>
      <c r="H167" t="s">
        <v>423</v>
      </c>
      <c r="I167" t="s">
        <v>468</v>
      </c>
      <c r="J167" t="str">
        <f t="shared" si="5"/>
        <v>Da</v>
      </c>
    </row>
    <row r="168" spans="1:10" x14ac:dyDescent="0.2">
      <c r="A168" t="s">
        <v>249</v>
      </c>
      <c r="B168" t="s">
        <v>250</v>
      </c>
      <c r="C168">
        <v>5503955</v>
      </c>
      <c r="D168" s="7">
        <f t="shared" si="4"/>
        <v>27519.775000000001</v>
      </c>
      <c r="E168" s="2">
        <f>VLOOKUP(A168,'2.09.2021'!A$3:'2.09.2021'!I$202,5,)</f>
        <v>44340</v>
      </c>
      <c r="F168" s="2">
        <v>44469</v>
      </c>
      <c r="G168" s="23">
        <f>VLOOKUP(A168,'2.09.2021'!A$3:'2.09.2021'!I$202,7,)</f>
        <v>0.23541666666666669</v>
      </c>
      <c r="H168" t="str">
        <f>VLOOKUP(A168,'2.09.2021'!A$3:'2.09.2021'!I$202,8,)</f>
        <v>LATIN URBAN</v>
      </c>
      <c r="I168" t="str">
        <f>VLOOKUP(A168,'2.09.2021'!A$3:'2.09.2021'!I$202,9,)</f>
        <v>Suedia</v>
      </c>
      <c r="J168" t="str">
        <f t="shared" si="5"/>
        <v>Da</v>
      </c>
    </row>
    <row r="169" spans="1:10" x14ac:dyDescent="0.2">
      <c r="A169" t="s">
        <v>452</v>
      </c>
      <c r="B169" t="s">
        <v>233</v>
      </c>
      <c r="C169">
        <v>5488247</v>
      </c>
      <c r="D169" s="7">
        <f t="shared" si="4"/>
        <v>27441.235000000001</v>
      </c>
      <c r="E169" s="2">
        <f>VLOOKUP(A169,'2.09.2021'!A$3:'2.09.2021'!I$202,5,)</f>
        <v>44341</v>
      </c>
      <c r="F169" s="2">
        <v>44469</v>
      </c>
      <c r="G169" s="23">
        <f>VLOOKUP(A169,'2.09.2021'!A$3:'2.09.2021'!I$202,7,)</f>
        <v>0.14097222222222222</v>
      </c>
      <c r="H169" t="str">
        <f>VLOOKUP(A169,'2.09.2021'!A$3:'2.09.2021'!I$202,8,)</f>
        <v>HIP-HOP/RAP</v>
      </c>
      <c r="I169" t="str">
        <f>VLOOKUP(A169,'2.09.2021'!A$3:'2.09.2021'!I$202,9,)</f>
        <v>SUA</v>
      </c>
      <c r="J169" t="str">
        <f t="shared" si="5"/>
        <v>Da</v>
      </c>
    </row>
    <row r="170" spans="1:10" x14ac:dyDescent="0.2">
      <c r="A170" t="s">
        <v>251</v>
      </c>
      <c r="B170" t="s">
        <v>229</v>
      </c>
      <c r="C170">
        <v>5443480</v>
      </c>
      <c r="D170" s="7">
        <f t="shared" si="4"/>
        <v>27217.399999999998</v>
      </c>
      <c r="E170" s="2">
        <f>VLOOKUP(A170,'2.09.2021'!A$3:'2.09.2021'!I$202,5,)</f>
        <v>44413</v>
      </c>
      <c r="F170" s="2">
        <v>44469</v>
      </c>
      <c r="G170" s="23">
        <f>VLOOKUP(A170,'2.09.2021'!A$3:'2.09.2021'!I$202,7,)</f>
        <v>0.12152777777777778</v>
      </c>
      <c r="H170" t="str">
        <f>VLOOKUP(A170,'2.09.2021'!A$3:'2.09.2021'!I$202,8,)</f>
        <v>HIP-HOP/RAP</v>
      </c>
      <c r="I170" t="str">
        <f>VLOOKUP(A170,'2.09.2021'!A$3:'2.09.2021'!I$202,9,)</f>
        <v>SUA</v>
      </c>
      <c r="J170" t="str">
        <f t="shared" si="5"/>
        <v>Nu</v>
      </c>
    </row>
    <row r="171" spans="1:10" x14ac:dyDescent="0.2">
      <c r="A171" t="s">
        <v>252</v>
      </c>
      <c r="B171" t="s">
        <v>154</v>
      </c>
      <c r="C171">
        <v>5426741</v>
      </c>
      <c r="D171" s="7">
        <f t="shared" si="4"/>
        <v>27133.705000000002</v>
      </c>
      <c r="E171" s="2">
        <f>VLOOKUP(A171,'2.09.2021'!A$3:'2.09.2021'!I$202,5,)</f>
        <v>44338</v>
      </c>
      <c r="F171" s="2">
        <v>44469</v>
      </c>
      <c r="G171" s="23">
        <f>VLOOKUP(A171,'2.09.2021'!A$3:'2.09.2021'!I$202,7,)</f>
        <v>0.10069444444444443</v>
      </c>
      <c r="H171" t="str">
        <f>VLOOKUP(A171,'2.09.2021'!A$3:'2.09.2021'!I$202,8,)</f>
        <v>R&amp;B/SOUL</v>
      </c>
      <c r="I171" t="str">
        <f>VLOOKUP(A171,'2.09.2021'!A$3:'2.09.2021'!I$202,9,)</f>
        <v>SUA</v>
      </c>
      <c r="J171" t="str">
        <f t="shared" si="5"/>
        <v>Nu</v>
      </c>
    </row>
    <row r="172" spans="1:10" x14ac:dyDescent="0.2">
      <c r="A172" t="s">
        <v>253</v>
      </c>
      <c r="B172" t="s">
        <v>34</v>
      </c>
      <c r="C172">
        <v>5404280</v>
      </c>
      <c r="D172" s="7">
        <f t="shared" si="4"/>
        <v>27021.399999999998</v>
      </c>
      <c r="E172" s="2">
        <f>VLOOKUP(A172,'2.09.2021'!A$3:'2.09.2021'!I$202,5,)</f>
        <v>44454</v>
      </c>
      <c r="F172" s="2">
        <v>44469</v>
      </c>
      <c r="G172" s="23">
        <f>VLOOKUP(A172,'2.09.2021'!A$3:'2.09.2021'!I$202,7,)</f>
        <v>0.17500000000000002</v>
      </c>
      <c r="H172" t="str">
        <f>VLOOKUP(A172,'2.09.2021'!A$3:'2.09.2021'!I$202,8,)</f>
        <v>DANCE</v>
      </c>
      <c r="I172" t="str">
        <f>VLOOKUP(A172,'2.09.2021'!A$3:'2.09.2021'!I$202,9,)</f>
        <v>Puerto Rico</v>
      </c>
      <c r="J172" t="str">
        <f t="shared" si="5"/>
        <v>Nu</v>
      </c>
    </row>
    <row r="173" spans="1:10" x14ac:dyDescent="0.2">
      <c r="A173" t="s">
        <v>254</v>
      </c>
      <c r="B173" t="s">
        <v>255</v>
      </c>
      <c r="C173">
        <v>5389083</v>
      </c>
      <c r="D173" s="7">
        <f t="shared" si="4"/>
        <v>26945.414999999997</v>
      </c>
      <c r="E173" s="2">
        <f>VLOOKUP(A173,'2.09.2021'!A$3:'2.09.2021'!I$202,5,)</f>
        <v>44339</v>
      </c>
      <c r="F173" s="2">
        <v>44469</v>
      </c>
      <c r="G173" s="23">
        <f>VLOOKUP(A173,'2.09.2021'!A$3:'2.09.2021'!I$202,7,)</f>
        <v>0.24861111111111112</v>
      </c>
      <c r="H173" t="str">
        <f>VLOOKUP(A173,'2.09.2021'!A$3:'2.09.2021'!I$202,8,)</f>
        <v>ROCK</v>
      </c>
      <c r="I173" t="str">
        <f>VLOOKUP(A173,'2.09.2021'!A$3:'2.09.2021'!I$202,9,)</f>
        <v>Țara Galilor</v>
      </c>
      <c r="J173" t="str">
        <f t="shared" si="5"/>
        <v>Nu</v>
      </c>
    </row>
    <row r="174" spans="1:10" x14ac:dyDescent="0.2">
      <c r="A174" t="s">
        <v>256</v>
      </c>
      <c r="B174" t="s">
        <v>257</v>
      </c>
      <c r="C174">
        <v>5388837</v>
      </c>
      <c r="D174" s="7">
        <f t="shared" si="4"/>
        <v>26944.185000000001</v>
      </c>
      <c r="E174" s="2">
        <f>VLOOKUP(A174,'2.09.2021'!A$3:'2.09.2021'!I$202,5,)</f>
        <v>44307</v>
      </c>
      <c r="F174" s="2">
        <v>44469</v>
      </c>
      <c r="G174" s="23">
        <f>VLOOKUP(A174,'2.09.2021'!A$3:'2.09.2021'!I$202,7,)</f>
        <v>0.14583333333333334</v>
      </c>
      <c r="H174" t="str">
        <f>VLOOKUP(A174,'2.09.2021'!A$3:'2.09.2021'!I$202,8,)</f>
        <v>R&amp;B/SOUL</v>
      </c>
      <c r="I174" t="str">
        <f>VLOOKUP(A174,'2.09.2021'!A$3:'2.09.2021'!I$202,9,)</f>
        <v>Brazilia</v>
      </c>
      <c r="J174" t="str">
        <f t="shared" si="5"/>
        <v>Nu</v>
      </c>
    </row>
    <row r="175" spans="1:10" x14ac:dyDescent="0.2">
      <c r="A175" t="s">
        <v>258</v>
      </c>
      <c r="B175" t="s">
        <v>23</v>
      </c>
      <c r="C175">
        <v>5383428</v>
      </c>
      <c r="D175" s="7">
        <f t="shared" si="4"/>
        <v>26917.14</v>
      </c>
      <c r="E175" s="2">
        <f>VLOOKUP(A175,'2.09.2021'!A$3:'2.09.2021'!I$202,5,)</f>
        <v>44245</v>
      </c>
      <c r="F175" s="2">
        <v>44469</v>
      </c>
      <c r="G175" s="23">
        <f>VLOOKUP(A175,'2.09.2021'!A$3:'2.09.2021'!I$202,7,)</f>
        <v>0.11388888888888889</v>
      </c>
      <c r="H175" t="str">
        <f>VLOOKUP(A175,'2.09.2021'!A$3:'2.09.2021'!I$202,8,)</f>
        <v>LATIN URBAN</v>
      </c>
      <c r="I175" t="str">
        <f>VLOOKUP(A175,'2.09.2021'!A$3:'2.09.2021'!I$202,9,)</f>
        <v>SUA</v>
      </c>
      <c r="J175" t="str">
        <f t="shared" si="5"/>
        <v>Nu</v>
      </c>
    </row>
    <row r="176" spans="1:10" x14ac:dyDescent="0.2">
      <c r="A176" t="s">
        <v>259</v>
      </c>
      <c r="B176" t="s">
        <v>260</v>
      </c>
      <c r="C176">
        <v>5381038</v>
      </c>
      <c r="D176" s="7">
        <f t="shared" si="4"/>
        <v>26905.19</v>
      </c>
      <c r="E176" s="2">
        <v>44397</v>
      </c>
      <c r="F176" s="2">
        <v>44469</v>
      </c>
      <c r="G176" s="23">
        <v>0.20555555555555557</v>
      </c>
      <c r="H176" t="s">
        <v>422</v>
      </c>
      <c r="I176" t="s">
        <v>468</v>
      </c>
      <c r="J176" t="str">
        <f t="shared" si="5"/>
        <v>Da</v>
      </c>
    </row>
    <row r="177" spans="1:10" x14ac:dyDescent="0.2">
      <c r="A177" t="s">
        <v>261</v>
      </c>
      <c r="B177" t="s">
        <v>262</v>
      </c>
      <c r="C177">
        <v>5380811</v>
      </c>
      <c r="D177" s="7">
        <f t="shared" si="4"/>
        <v>26904.055</v>
      </c>
      <c r="E177" s="2">
        <f>VLOOKUP(A177,'2.09.2021'!A$3:'2.09.2021'!I$202,5,)</f>
        <v>44259</v>
      </c>
      <c r="F177" s="2">
        <v>44469</v>
      </c>
      <c r="G177" s="23">
        <f>VLOOKUP(A177,'2.09.2021'!A$3:'2.09.2021'!I$202,7,)</f>
        <v>0.10833333333333334</v>
      </c>
      <c r="H177" t="str">
        <f>VLOOKUP(A177,'2.09.2021'!A$3:'2.09.2021'!I$202,8,)</f>
        <v>HIP-HOP/RAP</v>
      </c>
      <c r="I177" t="str">
        <f>VLOOKUP(A177,'2.09.2021'!A$3:'2.09.2021'!I$202,9,)</f>
        <v>Marea Britanie</v>
      </c>
      <c r="J177" t="str">
        <f t="shared" si="5"/>
        <v>Nu</v>
      </c>
    </row>
    <row r="178" spans="1:10" x14ac:dyDescent="0.2">
      <c r="A178" t="s">
        <v>263</v>
      </c>
      <c r="B178" t="s">
        <v>213</v>
      </c>
      <c r="C178">
        <v>5377017</v>
      </c>
      <c r="D178" s="7">
        <f t="shared" si="4"/>
        <v>26885.084999999999</v>
      </c>
      <c r="E178" s="2">
        <f>VLOOKUP(A178,'2.09.2021'!A$3:'2.09.2021'!I$202,5,)</f>
        <v>44256</v>
      </c>
      <c r="F178" s="2">
        <v>44469</v>
      </c>
      <c r="G178" s="23">
        <f>VLOOKUP(A178,'2.09.2021'!A$3:'2.09.2021'!I$202,7,)</f>
        <v>0.13749999999999998</v>
      </c>
      <c r="H178" t="str">
        <f>VLOOKUP(A178,'2.09.2021'!A$3:'2.09.2021'!I$202,8,)</f>
        <v>HIP-HOP/RAP</v>
      </c>
      <c r="I178" t="str">
        <f>VLOOKUP(A178,'2.09.2021'!A$3:'2.09.2021'!I$202,9,)</f>
        <v>Suedia</v>
      </c>
      <c r="J178" t="str">
        <f t="shared" si="5"/>
        <v>Nu</v>
      </c>
    </row>
    <row r="179" spans="1:10" x14ac:dyDescent="0.2">
      <c r="A179" t="s">
        <v>264</v>
      </c>
      <c r="B179" t="s">
        <v>265</v>
      </c>
      <c r="C179">
        <v>5355014</v>
      </c>
      <c r="D179" s="7">
        <f t="shared" si="4"/>
        <v>26775.07</v>
      </c>
      <c r="E179" s="2">
        <f>VLOOKUP(A179,'2.09.2021'!A$3:'2.09.2021'!I$202,5,)</f>
        <v>44414</v>
      </c>
      <c r="F179" s="2">
        <v>44469</v>
      </c>
      <c r="G179" s="23">
        <f>VLOOKUP(A179,'2.09.2021'!A$3:'2.09.2021'!I$202,7,)</f>
        <v>0.12013888888888889</v>
      </c>
      <c r="H179" t="str">
        <f>VLOOKUP(A179,'2.09.2021'!A$3:'2.09.2021'!I$202,8,)</f>
        <v>LATIN URBAN</v>
      </c>
      <c r="I179" t="str">
        <f>VLOOKUP(A179,'2.09.2021'!A$3:'2.09.2021'!I$202,9,)</f>
        <v>Australia</v>
      </c>
      <c r="J179" t="str">
        <f t="shared" si="5"/>
        <v>Nu</v>
      </c>
    </row>
    <row r="180" spans="1:10" x14ac:dyDescent="0.2">
      <c r="A180" t="s">
        <v>266</v>
      </c>
      <c r="B180" t="s">
        <v>267</v>
      </c>
      <c r="C180">
        <v>5336586</v>
      </c>
      <c r="D180" s="7">
        <f t="shared" si="4"/>
        <v>26682.93</v>
      </c>
      <c r="E180" s="2">
        <v>43498</v>
      </c>
      <c r="F180" s="2">
        <v>44469</v>
      </c>
      <c r="G180" s="23">
        <v>0.14097222222222222</v>
      </c>
      <c r="H180" t="s">
        <v>422</v>
      </c>
      <c r="I180" t="s">
        <v>469</v>
      </c>
      <c r="J180" t="str">
        <f t="shared" si="5"/>
        <v>Nu</v>
      </c>
    </row>
    <row r="181" spans="1:10" x14ac:dyDescent="0.2">
      <c r="A181" t="s">
        <v>268</v>
      </c>
      <c r="B181" t="s">
        <v>269</v>
      </c>
      <c r="C181">
        <v>5328742</v>
      </c>
      <c r="D181" s="7">
        <f t="shared" si="4"/>
        <v>26643.71</v>
      </c>
      <c r="E181" s="2">
        <f>VLOOKUP(A181,'2.09.2021'!A$3:'2.09.2021'!I$202,5,)</f>
        <v>44350</v>
      </c>
      <c r="F181" s="2">
        <v>44469</v>
      </c>
      <c r="G181" s="23">
        <f>VLOOKUP(A181,'2.09.2021'!A$3:'2.09.2021'!I$202,7,)</f>
        <v>0.14444444444444446</v>
      </c>
      <c r="H181" t="str">
        <f>VLOOKUP(A181,'2.09.2021'!A$3:'2.09.2021'!I$202,8,)</f>
        <v>HIP-HOP/RAP</v>
      </c>
      <c r="I181" t="str">
        <f>VLOOKUP(A181,'2.09.2021'!A$3:'2.09.2021'!I$202,9,)</f>
        <v>SUA</v>
      </c>
      <c r="J181" t="str">
        <f t="shared" si="5"/>
        <v>Nu</v>
      </c>
    </row>
    <row r="182" spans="1:10" x14ac:dyDescent="0.2">
      <c r="A182" t="s">
        <v>270</v>
      </c>
      <c r="B182" t="s">
        <v>271</v>
      </c>
      <c r="C182">
        <v>5292411</v>
      </c>
      <c r="D182" s="7">
        <f t="shared" si="4"/>
        <v>26462.055</v>
      </c>
      <c r="E182" s="2">
        <f>VLOOKUP(A182,'2.09.2021'!A$3:'2.09.2021'!I$202,5,)</f>
        <v>44309</v>
      </c>
      <c r="F182" s="2">
        <v>44469</v>
      </c>
      <c r="G182" s="23">
        <f>VLOOKUP(A182,'2.09.2021'!A$3:'2.09.2021'!I$202,7,)</f>
        <v>0.16805555555555554</v>
      </c>
      <c r="H182" t="str">
        <f>VLOOKUP(A182,'2.09.2021'!A$3:'2.09.2021'!I$202,8,)</f>
        <v>HIP-HOP/RAP</v>
      </c>
      <c r="I182" t="str">
        <f>VLOOKUP(A182,'2.09.2021'!A$3:'2.09.2021'!I$202,9,)</f>
        <v>SUA</v>
      </c>
      <c r="J182" t="str">
        <f t="shared" si="5"/>
        <v>Nu</v>
      </c>
    </row>
    <row r="183" spans="1:10" x14ac:dyDescent="0.2">
      <c r="A183" t="s">
        <v>272</v>
      </c>
      <c r="B183" t="s">
        <v>273</v>
      </c>
      <c r="C183">
        <v>5281989</v>
      </c>
      <c r="D183" s="7">
        <f t="shared" si="4"/>
        <v>26409.945</v>
      </c>
      <c r="E183" s="2">
        <f>VLOOKUP(A183,'2.09.2021'!A$3:'2.09.2021'!I$202,5,)</f>
        <v>44360</v>
      </c>
      <c r="F183" s="2">
        <v>44469</v>
      </c>
      <c r="G183" s="23">
        <f>VLOOKUP(A183,'2.09.2021'!A$3:'2.09.2021'!I$202,7,)</f>
        <v>0.15694444444444444</v>
      </c>
      <c r="H183" t="str">
        <f>VLOOKUP(A183,'2.09.2021'!A$3:'2.09.2021'!I$202,8,)</f>
        <v>POP</v>
      </c>
      <c r="I183" t="str">
        <f>VLOOKUP(A183,'2.09.2021'!A$3:'2.09.2021'!I$202,9,)</f>
        <v>India</v>
      </c>
      <c r="J183" t="str">
        <f t="shared" si="5"/>
        <v>Nu</v>
      </c>
    </row>
    <row r="184" spans="1:10" x14ac:dyDescent="0.2">
      <c r="A184" t="s">
        <v>453</v>
      </c>
      <c r="B184" t="s">
        <v>20</v>
      </c>
      <c r="C184">
        <v>5263075</v>
      </c>
      <c r="D184" s="7">
        <f t="shared" si="4"/>
        <v>26315.375</v>
      </c>
      <c r="E184" s="2">
        <f>VLOOKUP(A184,'2.09.2021'!A$3:'2.09.2021'!I$202,5,)</f>
        <v>44381</v>
      </c>
      <c r="F184" s="2">
        <v>44469</v>
      </c>
      <c r="G184" s="23">
        <f>VLOOKUP(A184,'2.09.2021'!A$3:'2.09.2021'!I$202,7,)</f>
        <v>0.14444444444444446</v>
      </c>
      <c r="H184" t="str">
        <f>VLOOKUP(A184,'2.09.2021'!A$3:'2.09.2021'!I$202,8,)</f>
        <v>HIP-HOP/RAP</v>
      </c>
      <c r="I184" t="str">
        <f>VLOOKUP(A184,'2.09.2021'!A$3:'2.09.2021'!I$202,9,)</f>
        <v>Canada</v>
      </c>
      <c r="J184" t="str">
        <f t="shared" si="5"/>
        <v>Da</v>
      </c>
    </row>
    <row r="185" spans="1:10" x14ac:dyDescent="0.2">
      <c r="A185" t="s">
        <v>274</v>
      </c>
      <c r="B185" t="s">
        <v>84</v>
      </c>
      <c r="C185">
        <v>5260914</v>
      </c>
      <c r="D185" s="7">
        <f t="shared" si="4"/>
        <v>26304.57</v>
      </c>
      <c r="E185" s="2">
        <v>44231</v>
      </c>
      <c r="F185" s="2">
        <v>44469</v>
      </c>
      <c r="G185" s="23">
        <v>0.12361111111111112</v>
      </c>
      <c r="H185" t="s">
        <v>422</v>
      </c>
      <c r="I185" t="s">
        <v>469</v>
      </c>
      <c r="J185" t="str">
        <f t="shared" si="5"/>
        <v>Nu</v>
      </c>
    </row>
    <row r="186" spans="1:10" x14ac:dyDescent="0.2">
      <c r="A186" t="s">
        <v>275</v>
      </c>
      <c r="B186" t="s">
        <v>276</v>
      </c>
      <c r="C186">
        <v>5252128</v>
      </c>
      <c r="D186" s="7">
        <f t="shared" si="4"/>
        <v>26260.639999999999</v>
      </c>
      <c r="E186" s="2">
        <f>VLOOKUP(A186,'2.09.2021'!A$3:'2.09.2021'!I$202,5,)</f>
        <v>44209</v>
      </c>
      <c r="F186" s="2">
        <v>44469</v>
      </c>
      <c r="G186" s="23">
        <f>VLOOKUP(A186,'2.09.2021'!A$3:'2.09.2021'!I$202,7,)</f>
        <v>0.15902777777777777</v>
      </c>
      <c r="H186" t="str">
        <f>VLOOKUP(A186,'2.09.2021'!A$3:'2.09.2021'!I$202,8,)</f>
        <v>LATIN</v>
      </c>
      <c r="I186" t="str">
        <f>VLOOKUP(A186,'2.09.2021'!A$3:'2.09.2021'!I$202,9,)</f>
        <v>Franța</v>
      </c>
      <c r="J186" t="str">
        <f t="shared" si="5"/>
        <v>Nu</v>
      </c>
    </row>
    <row r="187" spans="1:10" x14ac:dyDescent="0.2">
      <c r="A187" t="s">
        <v>277</v>
      </c>
      <c r="B187" t="s">
        <v>69</v>
      </c>
      <c r="C187">
        <v>5213828</v>
      </c>
      <c r="D187" s="7">
        <f t="shared" si="4"/>
        <v>26069.140000000003</v>
      </c>
      <c r="E187" s="2">
        <f>VLOOKUP(A187,'2.09.2021'!A$3:'2.09.2021'!I$202,5,)</f>
        <v>44248</v>
      </c>
      <c r="F187" s="2">
        <v>44469</v>
      </c>
      <c r="G187" s="23">
        <f>VLOOKUP(A187,'2.09.2021'!A$3:'2.09.2021'!I$202,7,)</f>
        <v>0.15972222222222224</v>
      </c>
      <c r="H187" t="str">
        <f>VLOOKUP(A187,'2.09.2021'!A$3:'2.09.2021'!I$202,8,)</f>
        <v>HIP-HOP/RAP</v>
      </c>
      <c r="I187" t="str">
        <f>VLOOKUP(A187,'2.09.2021'!A$3:'2.09.2021'!I$202,9,)</f>
        <v>Columbia</v>
      </c>
      <c r="J187" t="str">
        <f t="shared" si="5"/>
        <v>Nu</v>
      </c>
    </row>
    <row r="188" spans="1:10" x14ac:dyDescent="0.2">
      <c r="A188" t="s">
        <v>278</v>
      </c>
      <c r="B188" t="s">
        <v>34</v>
      </c>
      <c r="C188">
        <v>5202781</v>
      </c>
      <c r="D188" s="7">
        <f t="shared" si="4"/>
        <v>26013.904999999999</v>
      </c>
      <c r="E188" s="2">
        <v>44469</v>
      </c>
      <c r="F188" s="2">
        <v>44469</v>
      </c>
      <c r="G188" s="23">
        <v>9.7916666666666666E-2</v>
      </c>
      <c r="H188" t="s">
        <v>418</v>
      </c>
      <c r="I188" t="s">
        <v>474</v>
      </c>
      <c r="J188" t="str">
        <f t="shared" si="5"/>
        <v>Nu</v>
      </c>
    </row>
    <row r="189" spans="1:10" x14ac:dyDescent="0.2">
      <c r="A189" t="s">
        <v>454</v>
      </c>
      <c r="B189" t="s">
        <v>279</v>
      </c>
      <c r="C189">
        <v>5199617</v>
      </c>
      <c r="D189" s="7">
        <f t="shared" si="4"/>
        <v>25998.084999999999</v>
      </c>
      <c r="E189" s="2">
        <f>VLOOKUP(A189,'2.09.2021'!A$3:'2.09.2021'!I$202,5,)</f>
        <v>44383</v>
      </c>
      <c r="F189" s="2">
        <v>44469</v>
      </c>
      <c r="G189" s="23">
        <f>VLOOKUP(A189,'2.09.2021'!A$3:'2.09.2021'!I$202,7,)</f>
        <v>0.13958333333333334</v>
      </c>
      <c r="H189" t="str">
        <f>VLOOKUP(A189,'2.09.2021'!A$3:'2.09.2021'!I$202,8,)</f>
        <v>HIP-HOP/RAP</v>
      </c>
      <c r="I189" t="str">
        <f>VLOOKUP(A189,'2.09.2021'!A$3:'2.09.2021'!I$202,9,)</f>
        <v>Argentina</v>
      </c>
      <c r="J189" t="str">
        <f t="shared" si="5"/>
        <v>Da</v>
      </c>
    </row>
    <row r="190" spans="1:10" x14ac:dyDescent="0.2">
      <c r="A190" t="s">
        <v>280</v>
      </c>
      <c r="B190" t="s">
        <v>281</v>
      </c>
      <c r="C190">
        <v>5197568</v>
      </c>
      <c r="D190" s="7">
        <f t="shared" si="4"/>
        <v>25987.84</v>
      </c>
      <c r="E190" s="2">
        <v>44414</v>
      </c>
      <c r="F190" s="2">
        <v>44469</v>
      </c>
      <c r="G190" s="23">
        <v>0.10625</v>
      </c>
      <c r="H190" t="s">
        <v>423</v>
      </c>
      <c r="I190" t="s">
        <v>468</v>
      </c>
      <c r="J190" t="str">
        <f t="shared" si="5"/>
        <v>Nu</v>
      </c>
    </row>
    <row r="191" spans="1:10" x14ac:dyDescent="0.2">
      <c r="A191" t="s">
        <v>282</v>
      </c>
      <c r="B191" t="s">
        <v>283</v>
      </c>
      <c r="C191">
        <v>5191972</v>
      </c>
      <c r="D191" s="7">
        <f t="shared" si="4"/>
        <v>25959.86</v>
      </c>
      <c r="E191" s="2">
        <v>44478</v>
      </c>
      <c r="F191" s="2">
        <v>44469</v>
      </c>
      <c r="G191" s="23">
        <v>0.16388888888888889</v>
      </c>
      <c r="H191" t="s">
        <v>422</v>
      </c>
      <c r="I191" t="s">
        <v>468</v>
      </c>
      <c r="J191" t="str">
        <f t="shared" si="5"/>
        <v>Nu</v>
      </c>
    </row>
    <row r="192" spans="1:10" x14ac:dyDescent="0.2">
      <c r="A192" t="s">
        <v>284</v>
      </c>
      <c r="B192" t="s">
        <v>62</v>
      </c>
      <c r="C192">
        <v>5181671</v>
      </c>
      <c r="D192" s="7">
        <f t="shared" si="4"/>
        <v>25908.355000000003</v>
      </c>
      <c r="E192" s="2">
        <v>44306</v>
      </c>
      <c r="F192" s="2">
        <v>44469</v>
      </c>
      <c r="G192" s="23">
        <v>0.10416666666666667</v>
      </c>
      <c r="H192" t="s">
        <v>422</v>
      </c>
      <c r="I192" t="s">
        <v>468</v>
      </c>
      <c r="J192" t="str">
        <f t="shared" si="5"/>
        <v>Nu</v>
      </c>
    </row>
    <row r="193" spans="1:10" x14ac:dyDescent="0.2">
      <c r="A193" t="s">
        <v>285</v>
      </c>
      <c r="B193" t="s">
        <v>286</v>
      </c>
      <c r="C193">
        <v>5178174</v>
      </c>
      <c r="D193" s="7">
        <f t="shared" si="4"/>
        <v>25890.87</v>
      </c>
      <c r="E193" s="2">
        <f>VLOOKUP(A193,'2.09.2021'!A$3:'2.09.2021'!I$202,5,)</f>
        <v>44439</v>
      </c>
      <c r="F193" s="2">
        <v>44469</v>
      </c>
      <c r="G193" s="23">
        <f>VLOOKUP(A193,'2.09.2021'!A$3:'2.09.2021'!I$202,7,)</f>
        <v>9.5833333333333326E-2</v>
      </c>
      <c r="H193" t="str">
        <f>VLOOKUP(A193,'2.09.2021'!A$3:'2.09.2021'!I$202,8,)</f>
        <v>HIP-HOP/RAP</v>
      </c>
      <c r="I193" t="str">
        <f>VLOOKUP(A193,'2.09.2021'!A$3:'2.09.2021'!I$202,9,)</f>
        <v>Marea Britanie</v>
      </c>
      <c r="J193" t="str">
        <f t="shared" si="5"/>
        <v>Nu</v>
      </c>
    </row>
    <row r="194" spans="1:10" x14ac:dyDescent="0.2">
      <c r="A194" t="s">
        <v>287</v>
      </c>
      <c r="B194" t="s">
        <v>288</v>
      </c>
      <c r="C194">
        <v>5170773</v>
      </c>
      <c r="D194" s="7">
        <f t="shared" si="4"/>
        <v>25853.865000000002</v>
      </c>
      <c r="E194" s="2">
        <v>44280</v>
      </c>
      <c r="F194" s="2">
        <v>44469</v>
      </c>
      <c r="G194" s="23">
        <v>0.24930555555555556</v>
      </c>
      <c r="H194" t="s">
        <v>418</v>
      </c>
      <c r="I194" t="s">
        <v>478</v>
      </c>
      <c r="J194" t="str">
        <f t="shared" si="5"/>
        <v>Nu</v>
      </c>
    </row>
    <row r="195" spans="1:10" x14ac:dyDescent="0.2">
      <c r="A195" t="s">
        <v>289</v>
      </c>
      <c r="B195" t="s">
        <v>62</v>
      </c>
      <c r="C195">
        <v>5170252</v>
      </c>
      <c r="D195" s="7">
        <f t="shared" si="4"/>
        <v>25851.260000000002</v>
      </c>
      <c r="E195" s="2">
        <v>44400</v>
      </c>
      <c r="F195" s="2">
        <v>44469</v>
      </c>
      <c r="G195" s="23">
        <v>0.13958333333333334</v>
      </c>
      <c r="H195" t="s">
        <v>422</v>
      </c>
      <c r="I195" t="s">
        <v>468</v>
      </c>
      <c r="J195" t="str">
        <f t="shared" si="5"/>
        <v>Nu</v>
      </c>
    </row>
    <row r="196" spans="1:10" x14ac:dyDescent="0.2">
      <c r="A196" t="s">
        <v>290</v>
      </c>
      <c r="B196" t="s">
        <v>158</v>
      </c>
      <c r="C196">
        <v>5154356</v>
      </c>
      <c r="D196" s="7">
        <f t="shared" ref="D196:D202" si="6">(C196/1000*5)</f>
        <v>25771.78</v>
      </c>
      <c r="E196" s="2">
        <f>VLOOKUP(A196,'2.09.2021'!A$3:'2.09.2021'!I$202,5,)</f>
        <v>44208</v>
      </c>
      <c r="F196" s="2">
        <v>44469</v>
      </c>
      <c r="G196" s="23">
        <f>VLOOKUP(A196,'2.09.2021'!A$3:'2.09.2021'!I$202,7,)</f>
        <v>0.16527777777777777</v>
      </c>
      <c r="H196" t="str">
        <f>VLOOKUP(A196,'2.09.2021'!A$3:'2.09.2021'!I$202,8,)</f>
        <v>ROCK</v>
      </c>
      <c r="I196" t="str">
        <f>VLOOKUP(A196,'2.09.2021'!A$3:'2.09.2021'!I$202,9,)</f>
        <v>SUA</v>
      </c>
      <c r="J196" t="str">
        <f t="shared" ref="J196:J201" si="7">IF(ISNUMBER(SEARCH("with",A196)),"Da","Nu")</f>
        <v>Nu</v>
      </c>
    </row>
    <row r="197" spans="1:10" x14ac:dyDescent="0.2">
      <c r="A197" t="s">
        <v>291</v>
      </c>
      <c r="B197" t="s">
        <v>200</v>
      </c>
      <c r="C197">
        <v>5127066</v>
      </c>
      <c r="D197" s="7">
        <f t="shared" si="6"/>
        <v>25635.329999999998</v>
      </c>
      <c r="E197" s="2">
        <v>44439</v>
      </c>
      <c r="F197" s="2">
        <v>44469</v>
      </c>
      <c r="G197" s="23">
        <v>0.22430555555555556</v>
      </c>
      <c r="H197" t="s">
        <v>423</v>
      </c>
      <c r="I197" t="s">
        <v>468</v>
      </c>
      <c r="J197" t="str">
        <f t="shared" si="7"/>
        <v>Da</v>
      </c>
    </row>
    <row r="198" spans="1:10" x14ac:dyDescent="0.2">
      <c r="A198" t="s">
        <v>292</v>
      </c>
      <c r="B198" t="s">
        <v>43</v>
      </c>
      <c r="C198">
        <v>5123926</v>
      </c>
      <c r="D198" s="7">
        <f t="shared" si="6"/>
        <v>25619.63</v>
      </c>
      <c r="E198" s="2">
        <f>VLOOKUP(A198,'2.09.2021'!A$3:'2.09.2021'!I$202,5,)</f>
        <v>44242</v>
      </c>
      <c r="F198" s="2">
        <v>44469</v>
      </c>
      <c r="G198" s="23">
        <f>VLOOKUP(A198,'2.09.2021'!A$3:'2.09.2021'!I$202,7,)</f>
        <v>0.14652777777777778</v>
      </c>
      <c r="H198" t="str">
        <f>VLOOKUP(A198,'2.09.2021'!A$3:'2.09.2021'!I$202,8,)</f>
        <v>RHYTHM &amp; BLUES</v>
      </c>
      <c r="I198" t="str">
        <f>VLOOKUP(A198,'2.09.2021'!A$3:'2.09.2021'!I$202,9,)</f>
        <v>Canada</v>
      </c>
      <c r="J198" t="str">
        <f t="shared" si="7"/>
        <v>Nu</v>
      </c>
    </row>
    <row r="199" spans="1:10" x14ac:dyDescent="0.2">
      <c r="A199" t="s">
        <v>293</v>
      </c>
      <c r="B199" t="s">
        <v>294</v>
      </c>
      <c r="C199">
        <v>5061858</v>
      </c>
      <c r="D199" s="7">
        <f t="shared" si="6"/>
        <v>25309.29</v>
      </c>
      <c r="E199" s="2">
        <v>44347</v>
      </c>
      <c r="F199" s="2">
        <v>44469</v>
      </c>
      <c r="G199" s="23">
        <v>0.18124999999999999</v>
      </c>
      <c r="H199" t="s">
        <v>428</v>
      </c>
      <c r="I199" t="s">
        <v>468</v>
      </c>
      <c r="J199" t="str">
        <f t="shared" si="7"/>
        <v>Nu</v>
      </c>
    </row>
    <row r="200" spans="1:10" x14ac:dyDescent="0.2">
      <c r="A200" t="s">
        <v>295</v>
      </c>
      <c r="B200" t="s">
        <v>296</v>
      </c>
      <c r="C200">
        <v>5055761</v>
      </c>
      <c r="D200" s="7">
        <f t="shared" si="6"/>
        <v>25278.805</v>
      </c>
      <c r="E200" s="2">
        <f>VLOOKUP(A200,'2.09.2021'!A$3:'2.09.2021'!I$202,5,)</f>
        <v>44214</v>
      </c>
      <c r="F200" s="2">
        <v>44469</v>
      </c>
      <c r="G200" s="23">
        <f>VLOOKUP(A200,'2.09.2021'!A$3:'2.09.2021'!I$202,7,)</f>
        <v>0.11388888888888889</v>
      </c>
      <c r="H200" t="str">
        <f>VLOOKUP(A200,'2.09.2021'!A$3:'2.09.2021'!I$202,8,)</f>
        <v>HIP-HOP/RAP</v>
      </c>
      <c r="I200" t="str">
        <f>VLOOKUP(A200,'2.09.2021'!A$3:'2.09.2021'!I$202,9,)</f>
        <v>Germania</v>
      </c>
      <c r="J200" t="str">
        <f t="shared" si="7"/>
        <v>Nu</v>
      </c>
    </row>
    <row r="201" spans="1:10" x14ac:dyDescent="0.2">
      <c r="A201" t="s">
        <v>455</v>
      </c>
      <c r="B201" t="s">
        <v>297</v>
      </c>
      <c r="C201">
        <v>5048295</v>
      </c>
      <c r="D201" s="7">
        <f t="shared" si="6"/>
        <v>25241.474999999999</v>
      </c>
      <c r="E201" s="2">
        <f>VLOOKUP(A201,'2.09.2021'!A$3:'2.09.2021'!I$202,5,)</f>
        <v>44371</v>
      </c>
      <c r="F201" s="2">
        <v>44469</v>
      </c>
      <c r="G201" s="23">
        <f>VLOOKUP(A201,'2.09.2021'!A$3:'2.09.2021'!I$202,7,)</f>
        <v>0.14097222222222222</v>
      </c>
      <c r="H201" t="str">
        <f>VLOOKUP(A201,'2.09.2021'!A$3:'2.09.2021'!I$202,8,)</f>
        <v>HIP-HOP/RAP</v>
      </c>
      <c r="I201" t="str">
        <f>VLOOKUP(A201,'2.09.2021'!A$3:'2.09.2021'!I$202,9,)</f>
        <v>SUA</v>
      </c>
      <c r="J201" t="str">
        <f t="shared" si="7"/>
        <v>Da</v>
      </c>
    </row>
    <row r="202" spans="1:10" x14ac:dyDescent="0.2">
      <c r="A202" t="s">
        <v>298</v>
      </c>
      <c r="B202" t="s">
        <v>299</v>
      </c>
      <c r="C202">
        <v>5024228</v>
      </c>
      <c r="D202" s="7">
        <f t="shared" si="6"/>
        <v>25121.14</v>
      </c>
      <c r="E202" s="2">
        <v>44375</v>
      </c>
      <c r="F202" s="2">
        <v>44469</v>
      </c>
      <c r="G202" s="23">
        <v>0.13958333333333334</v>
      </c>
      <c r="H202" t="s">
        <v>418</v>
      </c>
      <c r="I202" t="s">
        <v>472</v>
      </c>
      <c r="J202" t="str">
        <f>IF(ISNUMBER(SEARCH("with",A202)),"Da","Nu")</f>
        <v>Nu</v>
      </c>
    </row>
    <row r="205" spans="1:10" x14ac:dyDescent="0.2">
      <c r="C205" t="s">
        <v>402</v>
      </c>
      <c r="D205" t="s">
        <v>411</v>
      </c>
    </row>
    <row r="206" spans="1:10" x14ac:dyDescent="0.2">
      <c r="C206">
        <f>AVERAGE(C3:C202)</f>
        <v>9570233.875</v>
      </c>
      <c r="D206" s="7">
        <f>SUM(D3:D202)/200</f>
        <v>47851.169375000034</v>
      </c>
    </row>
    <row r="208" spans="1:10" x14ac:dyDescent="0.2">
      <c r="C208" t="s">
        <v>403</v>
      </c>
      <c r="D208" t="s">
        <v>410</v>
      </c>
    </row>
    <row r="209" spans="3:4" x14ac:dyDescent="0.2">
      <c r="C209">
        <f>SUM(C3:C202)</f>
        <v>1914046775</v>
      </c>
      <c r="D209" s="7">
        <f>SUM(D3:D202)</f>
        <v>9570233.8750000075</v>
      </c>
    </row>
  </sheetData>
  <conditionalFormatting sqref="J3:J202">
    <cfRule type="containsText" dxfId="12" priority="1" operator="containsText" text="Da">
      <formula>NOT(ISERROR(SEARCH("Da",J3)))</formula>
    </cfRule>
    <cfRule type="containsText" dxfId="11" priority="2" operator="containsText" text="Nu">
      <formula>NOT(ISERROR(SEARCH("Nu",J3)))</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722CE-2A1A-CF45-9C81-ACBF81651691}">
  <sheetPr>
    <tabColor theme="9"/>
  </sheetPr>
  <dimension ref="A1:J1004"/>
  <sheetViews>
    <sheetView workbookViewId="0">
      <selection activeCell="K12" sqref="K12"/>
    </sheetView>
  </sheetViews>
  <sheetFormatPr baseColWidth="10" defaultColWidth="11" defaultRowHeight="16" x14ac:dyDescent="0.2"/>
  <cols>
    <col min="1" max="1" width="49" bestFit="1" customWidth="1"/>
    <col min="2" max="2" width="19.83203125" bestFit="1" customWidth="1"/>
    <col min="3" max="3" width="15.5" bestFit="1" customWidth="1"/>
    <col min="4" max="4" width="26" bestFit="1" customWidth="1"/>
    <col min="5" max="5" width="11.83203125" bestFit="1" customWidth="1"/>
    <col min="6" max="6" width="15.83203125" bestFit="1" customWidth="1"/>
    <col min="7" max="7" width="14.33203125" bestFit="1" customWidth="1"/>
    <col min="8" max="8" width="16" bestFit="1" customWidth="1"/>
    <col min="9" max="9" width="21.1640625" bestFit="1" customWidth="1"/>
    <col min="10" max="10" width="10" bestFit="1" customWidth="1"/>
  </cols>
  <sheetData>
    <row r="1" spans="1:10" x14ac:dyDescent="0.2">
      <c r="A1" s="12" t="s">
        <v>404</v>
      </c>
      <c r="B1" s="11" t="s">
        <v>405</v>
      </c>
      <c r="C1" s="13" t="s">
        <v>406</v>
      </c>
      <c r="D1" s="14" t="s">
        <v>407</v>
      </c>
      <c r="E1" s="15" t="s">
        <v>408</v>
      </c>
      <c r="F1" s="16" t="s">
        <v>409</v>
      </c>
      <c r="G1" s="17" t="s">
        <v>412</v>
      </c>
      <c r="H1" s="18" t="s">
        <v>413</v>
      </c>
      <c r="I1" s="19" t="s">
        <v>419</v>
      </c>
      <c r="J1" s="20" t="s">
        <v>421</v>
      </c>
    </row>
    <row r="2" spans="1:10" x14ac:dyDescent="0.2">
      <c r="A2" t="s">
        <v>0</v>
      </c>
      <c r="B2" t="s">
        <v>1</v>
      </c>
      <c r="C2">
        <v>68764542</v>
      </c>
      <c r="D2" s="3">
        <f>(C2/1000*5)</f>
        <v>343822.71</v>
      </c>
      <c r="E2" s="2">
        <v>44386</v>
      </c>
      <c r="F2" s="2">
        <v>44441</v>
      </c>
      <c r="G2" s="8">
        <v>9.7916666666666666E-2</v>
      </c>
      <c r="H2" t="s">
        <v>422</v>
      </c>
      <c r="I2" t="s">
        <v>470</v>
      </c>
      <c r="J2" s="9" t="str">
        <f t="shared" ref="J2:J65" si="0">IF(ISNUMBER(SEARCH("with",A2)),"Da","Nu")</f>
        <v>Da</v>
      </c>
    </row>
    <row r="3" spans="1:10" x14ac:dyDescent="0.2">
      <c r="A3" t="s">
        <v>436</v>
      </c>
      <c r="B3" t="s">
        <v>2</v>
      </c>
      <c r="C3">
        <v>43663527</v>
      </c>
      <c r="D3" s="3">
        <f t="shared" ref="D3:D66" si="1">(C3/1000*5)</f>
        <v>218317.63500000001</v>
      </c>
      <c r="E3" s="2">
        <v>44400</v>
      </c>
      <c r="F3" s="2">
        <v>44441</v>
      </c>
      <c r="G3" s="8">
        <v>0.14722222222222223</v>
      </c>
      <c r="H3" t="s">
        <v>423</v>
      </c>
      <c r="I3" t="s">
        <v>468</v>
      </c>
      <c r="J3" t="str">
        <f t="shared" si="0"/>
        <v>Da</v>
      </c>
    </row>
    <row r="4" spans="1:10" x14ac:dyDescent="0.2">
      <c r="A4" t="s">
        <v>9</v>
      </c>
      <c r="B4" t="s">
        <v>10</v>
      </c>
      <c r="C4">
        <v>34182580</v>
      </c>
      <c r="D4" s="3">
        <f t="shared" si="1"/>
        <v>170912.90000000002</v>
      </c>
      <c r="E4" s="2">
        <v>44358</v>
      </c>
      <c r="F4" s="2">
        <v>44441</v>
      </c>
      <c r="G4" s="8">
        <v>0.14722222222222223</v>
      </c>
      <c r="H4" t="s">
        <v>422</v>
      </c>
      <c r="I4" t="s">
        <v>469</v>
      </c>
      <c r="J4" t="str">
        <f t="shared" si="0"/>
        <v>Nu</v>
      </c>
    </row>
    <row r="5" spans="1:10" x14ac:dyDescent="0.2">
      <c r="A5" t="s">
        <v>15</v>
      </c>
      <c r="B5" t="s">
        <v>415</v>
      </c>
      <c r="C5">
        <v>32620597</v>
      </c>
      <c r="D5" s="3">
        <f t="shared" si="1"/>
        <v>163102.98500000002</v>
      </c>
      <c r="E5" s="2">
        <v>43077</v>
      </c>
      <c r="F5" s="2">
        <v>44441</v>
      </c>
      <c r="G5" s="8">
        <v>0.14652777777777778</v>
      </c>
      <c r="H5" t="s">
        <v>433</v>
      </c>
      <c r="I5" t="s">
        <v>471</v>
      </c>
      <c r="J5" t="str">
        <f t="shared" si="0"/>
        <v>Nu</v>
      </c>
    </row>
    <row r="6" spans="1:10" x14ac:dyDescent="0.2">
      <c r="A6" t="s">
        <v>51</v>
      </c>
      <c r="B6" t="s">
        <v>52</v>
      </c>
      <c r="C6">
        <v>30609671</v>
      </c>
      <c r="D6" s="3">
        <f t="shared" si="1"/>
        <v>153048.35499999998</v>
      </c>
      <c r="E6" s="2">
        <v>44416</v>
      </c>
      <c r="F6" s="2">
        <v>44441</v>
      </c>
      <c r="G6" s="8">
        <v>0.16874999999999998</v>
      </c>
      <c r="H6" t="s">
        <v>423</v>
      </c>
      <c r="I6" t="s">
        <v>468</v>
      </c>
      <c r="J6" t="str">
        <f t="shared" si="0"/>
        <v>Nu</v>
      </c>
    </row>
    <row r="7" spans="1:10" x14ac:dyDescent="0.2">
      <c r="A7" t="s">
        <v>7</v>
      </c>
      <c r="B7" t="s">
        <v>8</v>
      </c>
      <c r="C7">
        <v>29398007</v>
      </c>
      <c r="D7" s="3">
        <f t="shared" si="1"/>
        <v>146990.035</v>
      </c>
      <c r="E7" s="2">
        <v>44538</v>
      </c>
      <c r="F7" s="2">
        <v>44441</v>
      </c>
      <c r="G7" s="8">
        <v>0.19930555555555554</v>
      </c>
      <c r="H7" t="s">
        <v>418</v>
      </c>
      <c r="I7" t="s">
        <v>472</v>
      </c>
      <c r="J7" t="str">
        <f t="shared" si="0"/>
        <v>Nu</v>
      </c>
    </row>
    <row r="8" spans="1:10" x14ac:dyDescent="0.2">
      <c r="A8" t="s">
        <v>16</v>
      </c>
      <c r="B8" t="s">
        <v>17</v>
      </c>
      <c r="C8">
        <v>29366737</v>
      </c>
      <c r="D8" s="3">
        <f t="shared" si="1"/>
        <v>146833.685</v>
      </c>
      <c r="E8" s="2">
        <v>44337</v>
      </c>
      <c r="F8" s="2">
        <v>44441</v>
      </c>
      <c r="G8" s="8">
        <v>0.12361111111111112</v>
      </c>
      <c r="H8" t="s">
        <v>422</v>
      </c>
      <c r="I8" t="s">
        <v>468</v>
      </c>
      <c r="J8" t="str">
        <f t="shared" si="0"/>
        <v>Nu</v>
      </c>
    </row>
    <row r="9" spans="1:10" x14ac:dyDescent="0.2">
      <c r="A9" t="s">
        <v>21</v>
      </c>
      <c r="B9" t="s">
        <v>12</v>
      </c>
      <c r="C9">
        <v>28000403</v>
      </c>
      <c r="D9" s="3">
        <f t="shared" si="1"/>
        <v>140002.01499999998</v>
      </c>
      <c r="E9" s="2">
        <v>44371</v>
      </c>
      <c r="F9" s="2">
        <v>44441</v>
      </c>
      <c r="G9" s="8">
        <v>0.14583333333333334</v>
      </c>
      <c r="H9" t="s">
        <v>422</v>
      </c>
      <c r="I9" t="s">
        <v>468</v>
      </c>
      <c r="J9" t="str">
        <f t="shared" si="0"/>
        <v>Nu</v>
      </c>
    </row>
    <row r="10" spans="1:10" x14ac:dyDescent="0.2">
      <c r="A10" t="s">
        <v>11</v>
      </c>
      <c r="B10" t="s">
        <v>12</v>
      </c>
      <c r="C10">
        <v>26632882</v>
      </c>
      <c r="D10" s="3">
        <f t="shared" si="1"/>
        <v>133164.41</v>
      </c>
      <c r="E10" s="2">
        <v>44374</v>
      </c>
      <c r="F10" s="2">
        <v>44441</v>
      </c>
      <c r="G10" s="8">
        <v>0.10069444444444443</v>
      </c>
      <c r="H10" t="s">
        <v>422</v>
      </c>
      <c r="I10" t="s">
        <v>468</v>
      </c>
      <c r="J10" t="str">
        <f t="shared" si="0"/>
        <v>Nu</v>
      </c>
    </row>
    <row r="11" spans="1:10" x14ac:dyDescent="0.2">
      <c r="A11" t="s">
        <v>313</v>
      </c>
      <c r="B11" t="s">
        <v>52</v>
      </c>
      <c r="C11">
        <v>24792859</v>
      </c>
      <c r="D11" s="3">
        <f t="shared" si="1"/>
        <v>123964.295</v>
      </c>
      <c r="E11" s="2">
        <v>44437</v>
      </c>
      <c r="F11" s="2">
        <v>44441</v>
      </c>
      <c r="G11" s="8">
        <v>0.20625000000000002</v>
      </c>
      <c r="H11" t="s">
        <v>423</v>
      </c>
      <c r="I11" t="s">
        <v>468</v>
      </c>
      <c r="J11" t="str">
        <f t="shared" si="0"/>
        <v>Nu</v>
      </c>
    </row>
    <row r="12" spans="1:10" x14ac:dyDescent="0.2">
      <c r="A12" t="s">
        <v>22</v>
      </c>
      <c r="B12" t="s">
        <v>23</v>
      </c>
      <c r="C12">
        <v>24448545</v>
      </c>
      <c r="D12" s="3">
        <f t="shared" si="1"/>
        <v>122242.72499999999</v>
      </c>
      <c r="E12" s="2">
        <v>44407</v>
      </c>
      <c r="F12" s="2">
        <v>44441</v>
      </c>
      <c r="G12" s="8">
        <v>0.20694444444444446</v>
      </c>
      <c r="H12" t="s">
        <v>434</v>
      </c>
      <c r="I12" t="s">
        <v>468</v>
      </c>
      <c r="J12" t="str">
        <f t="shared" si="0"/>
        <v>Nu</v>
      </c>
    </row>
    <row r="13" spans="1:10" x14ac:dyDescent="0.2">
      <c r="A13" t="s">
        <v>178</v>
      </c>
      <c r="B13" t="s">
        <v>52</v>
      </c>
      <c r="C13">
        <v>24302344</v>
      </c>
      <c r="D13" s="3">
        <f t="shared" si="1"/>
        <v>121511.72</v>
      </c>
      <c r="E13" s="2">
        <v>44437</v>
      </c>
      <c r="F13" s="2">
        <v>44441</v>
      </c>
      <c r="G13" s="8">
        <v>0.23541666666666669</v>
      </c>
      <c r="H13" t="s">
        <v>423</v>
      </c>
      <c r="I13" t="s">
        <v>468</v>
      </c>
      <c r="J13" t="str">
        <f t="shared" si="0"/>
        <v>Nu</v>
      </c>
    </row>
    <row r="14" spans="1:10" x14ac:dyDescent="0.2">
      <c r="A14" t="s">
        <v>18</v>
      </c>
      <c r="B14" t="s">
        <v>2</v>
      </c>
      <c r="C14">
        <v>23040130</v>
      </c>
      <c r="D14" s="3">
        <f t="shared" si="1"/>
        <v>115200.65000000001</v>
      </c>
      <c r="E14" s="2">
        <v>44456</v>
      </c>
      <c r="F14" s="2">
        <v>44441</v>
      </c>
      <c r="G14" s="8">
        <v>9.5138888888888884E-2</v>
      </c>
      <c r="H14" t="s">
        <v>422</v>
      </c>
      <c r="I14" t="s">
        <v>468</v>
      </c>
      <c r="J14" t="str">
        <f t="shared" si="0"/>
        <v>Nu</v>
      </c>
    </row>
    <row r="15" spans="1:10" x14ac:dyDescent="0.2">
      <c r="A15" t="s">
        <v>437</v>
      </c>
      <c r="B15" t="s">
        <v>12</v>
      </c>
      <c r="C15">
        <v>22451916</v>
      </c>
      <c r="D15" s="3">
        <f t="shared" si="1"/>
        <v>112259.58</v>
      </c>
      <c r="E15" s="2">
        <v>44295</v>
      </c>
      <c r="F15" s="2">
        <v>44441</v>
      </c>
      <c r="G15" s="8">
        <v>0.14444444444444446</v>
      </c>
      <c r="H15" t="s">
        <v>422</v>
      </c>
      <c r="I15" t="s">
        <v>468</v>
      </c>
      <c r="J15" t="str">
        <f t="shared" si="0"/>
        <v>Da</v>
      </c>
    </row>
    <row r="16" spans="1:10" x14ac:dyDescent="0.2">
      <c r="A16" t="s">
        <v>33</v>
      </c>
      <c r="B16" t="s">
        <v>34</v>
      </c>
      <c r="C16">
        <v>20724487</v>
      </c>
      <c r="D16" s="3">
        <f t="shared" si="1"/>
        <v>103622.435</v>
      </c>
      <c r="E16" s="2">
        <v>44338</v>
      </c>
      <c r="F16" s="2">
        <v>44441</v>
      </c>
      <c r="G16" s="8">
        <v>0.13819444444444443</v>
      </c>
      <c r="H16" t="s">
        <v>418</v>
      </c>
      <c r="I16" t="s">
        <v>472</v>
      </c>
      <c r="J16" t="str">
        <f t="shared" si="0"/>
        <v>Nu</v>
      </c>
    </row>
    <row r="17" spans="1:10" x14ac:dyDescent="0.2">
      <c r="A17" t="s">
        <v>316</v>
      </c>
      <c r="B17" t="s">
        <v>52</v>
      </c>
      <c r="C17">
        <v>19702684</v>
      </c>
      <c r="D17" s="3">
        <f t="shared" si="1"/>
        <v>98513.420000000013</v>
      </c>
      <c r="E17" s="2">
        <v>44437</v>
      </c>
      <c r="F17" s="2">
        <v>44441</v>
      </c>
      <c r="G17" s="8">
        <v>0.15694444444444444</v>
      </c>
      <c r="H17" t="s">
        <v>423</v>
      </c>
      <c r="I17" t="s">
        <v>468</v>
      </c>
      <c r="J17" t="str">
        <f t="shared" si="0"/>
        <v>Nu</v>
      </c>
    </row>
    <row r="18" spans="1:10" x14ac:dyDescent="0.2">
      <c r="A18" t="s">
        <v>5</v>
      </c>
      <c r="B18" t="s">
        <v>6</v>
      </c>
      <c r="C18">
        <v>19628570</v>
      </c>
      <c r="D18" s="3">
        <f t="shared" si="1"/>
        <v>98142.85</v>
      </c>
      <c r="E18" s="2">
        <v>44050</v>
      </c>
      <c r="F18" s="2">
        <v>44441</v>
      </c>
      <c r="G18" s="8">
        <v>0.16527777777777777</v>
      </c>
      <c r="H18" t="s">
        <v>422</v>
      </c>
      <c r="I18" t="s">
        <v>469</v>
      </c>
      <c r="J18" t="str">
        <f t="shared" si="0"/>
        <v>Nu</v>
      </c>
    </row>
    <row r="19" spans="1:10" x14ac:dyDescent="0.2">
      <c r="A19" t="s">
        <v>414</v>
      </c>
      <c r="B19" t="s">
        <v>36</v>
      </c>
      <c r="C19">
        <v>18925587</v>
      </c>
      <c r="D19" s="3">
        <f t="shared" si="1"/>
        <v>94627.934999999998</v>
      </c>
      <c r="E19" s="2">
        <v>44411</v>
      </c>
      <c r="F19" s="2">
        <v>44441</v>
      </c>
      <c r="G19" s="8">
        <v>0.15972222222222224</v>
      </c>
      <c r="H19" t="s">
        <v>418</v>
      </c>
      <c r="I19" t="s">
        <v>473</v>
      </c>
      <c r="J19" t="str">
        <f t="shared" si="0"/>
        <v>Nu</v>
      </c>
    </row>
    <row r="20" spans="1:10" x14ac:dyDescent="0.2">
      <c r="A20" t="s">
        <v>145</v>
      </c>
      <c r="B20" t="s">
        <v>52</v>
      </c>
      <c r="C20">
        <v>18904930</v>
      </c>
      <c r="D20" s="3">
        <f t="shared" si="1"/>
        <v>94524.65</v>
      </c>
      <c r="E20" s="2">
        <v>44437</v>
      </c>
      <c r="F20" s="2">
        <v>44441</v>
      </c>
      <c r="G20" s="8">
        <v>0.10833333333333334</v>
      </c>
      <c r="H20" t="s">
        <v>423</v>
      </c>
      <c r="I20" t="s">
        <v>468</v>
      </c>
      <c r="J20" t="str">
        <f t="shared" si="0"/>
        <v>Nu</v>
      </c>
    </row>
    <row r="21" spans="1:10" x14ac:dyDescent="0.2">
      <c r="A21" t="s">
        <v>31</v>
      </c>
      <c r="B21" t="s">
        <v>32</v>
      </c>
      <c r="C21">
        <v>18618312</v>
      </c>
      <c r="D21" s="3">
        <f t="shared" si="1"/>
        <v>93091.560000000012</v>
      </c>
      <c r="E21" s="2">
        <v>44351</v>
      </c>
      <c r="F21" s="2">
        <v>44441</v>
      </c>
      <c r="G21" s="8">
        <v>0.14305555555555557</v>
      </c>
      <c r="H21" t="s">
        <v>418</v>
      </c>
      <c r="I21" t="s">
        <v>472</v>
      </c>
      <c r="J21" t="str">
        <f t="shared" si="0"/>
        <v>Nu</v>
      </c>
    </row>
    <row r="22" spans="1:10" x14ac:dyDescent="0.2">
      <c r="A22" t="s">
        <v>53</v>
      </c>
      <c r="B22" t="s">
        <v>415</v>
      </c>
      <c r="C22">
        <v>17808726</v>
      </c>
      <c r="D22" s="3">
        <f t="shared" si="1"/>
        <v>89043.62999999999</v>
      </c>
      <c r="E22" s="2">
        <v>44274</v>
      </c>
      <c r="F22" s="2">
        <v>44441</v>
      </c>
      <c r="G22" s="8">
        <v>0.12013888888888889</v>
      </c>
      <c r="H22" t="s">
        <v>433</v>
      </c>
      <c r="I22" t="s">
        <v>471</v>
      </c>
      <c r="J22" t="str">
        <f t="shared" si="0"/>
        <v>Nu</v>
      </c>
    </row>
    <row r="23" spans="1:10" x14ac:dyDescent="0.2">
      <c r="A23" t="s">
        <v>45</v>
      </c>
      <c r="B23" t="s">
        <v>46</v>
      </c>
      <c r="C23">
        <v>17722841</v>
      </c>
      <c r="D23" s="3">
        <f t="shared" si="1"/>
        <v>88614.205000000002</v>
      </c>
      <c r="E23" s="2">
        <v>44414</v>
      </c>
      <c r="F23" s="2">
        <v>44441</v>
      </c>
      <c r="G23" s="8">
        <v>0.15277777777777776</v>
      </c>
      <c r="H23" t="s">
        <v>416</v>
      </c>
      <c r="I23" t="s">
        <v>420</v>
      </c>
      <c r="J23" t="str">
        <f t="shared" si="0"/>
        <v>Nu</v>
      </c>
    </row>
    <row r="24" spans="1:10" x14ac:dyDescent="0.2">
      <c r="A24" t="s">
        <v>417</v>
      </c>
      <c r="B24" t="s">
        <v>42</v>
      </c>
      <c r="C24">
        <v>17110678</v>
      </c>
      <c r="D24" s="3">
        <f t="shared" si="1"/>
        <v>85553.39</v>
      </c>
      <c r="E24" s="2">
        <v>44344</v>
      </c>
      <c r="F24" s="2">
        <v>44441</v>
      </c>
      <c r="G24" s="8">
        <v>0.15069444444444444</v>
      </c>
      <c r="H24" t="s">
        <v>418</v>
      </c>
      <c r="I24" t="s">
        <v>474</v>
      </c>
      <c r="J24" t="str">
        <f t="shared" si="0"/>
        <v>Nu</v>
      </c>
    </row>
    <row r="25" spans="1:10" x14ac:dyDescent="0.2">
      <c r="A25" t="s">
        <v>439</v>
      </c>
      <c r="B25" t="s">
        <v>38</v>
      </c>
      <c r="C25">
        <v>17032677</v>
      </c>
      <c r="D25" s="3">
        <f t="shared" si="1"/>
        <v>85163.384999999995</v>
      </c>
      <c r="E25" s="2">
        <v>43917</v>
      </c>
      <c r="F25" s="2">
        <v>44441</v>
      </c>
      <c r="G25" s="8">
        <v>0.14097222222222222</v>
      </c>
      <c r="H25" t="s">
        <v>422</v>
      </c>
      <c r="I25" t="s">
        <v>469</v>
      </c>
      <c r="J25" t="str">
        <f t="shared" si="0"/>
        <v>Da</v>
      </c>
    </row>
    <row r="26" spans="1:10" x14ac:dyDescent="0.2">
      <c r="A26" t="s">
        <v>37</v>
      </c>
      <c r="B26" t="s">
        <v>17</v>
      </c>
      <c r="C26">
        <v>16858476</v>
      </c>
      <c r="D26" s="3">
        <f t="shared" si="1"/>
        <v>84292.37999999999</v>
      </c>
      <c r="E26" s="2">
        <v>44337</v>
      </c>
      <c r="F26" s="2">
        <v>44441</v>
      </c>
      <c r="G26" s="8">
        <v>0.15902777777777777</v>
      </c>
      <c r="H26" t="s">
        <v>422</v>
      </c>
      <c r="I26" t="s">
        <v>468</v>
      </c>
      <c r="J26" t="str">
        <f t="shared" si="0"/>
        <v>Nu</v>
      </c>
    </row>
    <row r="27" spans="1:10" x14ac:dyDescent="0.2">
      <c r="A27" t="s">
        <v>319</v>
      </c>
      <c r="B27" t="s">
        <v>52</v>
      </c>
      <c r="C27">
        <v>16052001</v>
      </c>
      <c r="D27" s="3">
        <f t="shared" si="1"/>
        <v>80260.005000000005</v>
      </c>
      <c r="E27" s="2">
        <v>44437</v>
      </c>
      <c r="F27" s="2">
        <v>44441</v>
      </c>
      <c r="G27" s="8">
        <v>0.16805555555555554</v>
      </c>
      <c r="H27" t="s">
        <v>423</v>
      </c>
      <c r="I27" t="s">
        <v>468</v>
      </c>
      <c r="J27" t="str">
        <f t="shared" si="0"/>
        <v>Nu</v>
      </c>
    </row>
    <row r="28" spans="1:10" x14ac:dyDescent="0.2">
      <c r="A28" t="s">
        <v>440</v>
      </c>
      <c r="B28" t="s">
        <v>43</v>
      </c>
      <c r="C28">
        <v>15563753</v>
      </c>
      <c r="D28" s="3">
        <f t="shared" si="1"/>
        <v>77818.764999999999</v>
      </c>
      <c r="E28" s="2">
        <v>44274</v>
      </c>
      <c r="F28" s="2">
        <v>44441</v>
      </c>
      <c r="G28" s="8">
        <v>0.13749999999999998</v>
      </c>
      <c r="H28" t="s">
        <v>422</v>
      </c>
      <c r="I28" t="s">
        <v>420</v>
      </c>
      <c r="J28" t="str">
        <f t="shared" si="0"/>
        <v>Da</v>
      </c>
    </row>
    <row r="29" spans="1:10" x14ac:dyDescent="0.2">
      <c r="A29" t="s">
        <v>320</v>
      </c>
      <c r="B29" t="s">
        <v>52</v>
      </c>
      <c r="C29">
        <v>15535805</v>
      </c>
      <c r="D29" s="3">
        <f t="shared" si="1"/>
        <v>77679.024999999994</v>
      </c>
      <c r="E29" s="2">
        <v>44437</v>
      </c>
      <c r="F29" s="2">
        <v>44441</v>
      </c>
      <c r="G29" s="8">
        <v>0.13541666666666666</v>
      </c>
      <c r="H29" t="s">
        <v>423</v>
      </c>
      <c r="I29" t="s">
        <v>468</v>
      </c>
      <c r="J29" t="str">
        <f t="shared" si="0"/>
        <v>Nu</v>
      </c>
    </row>
    <row r="30" spans="1:10" x14ac:dyDescent="0.2">
      <c r="A30" t="s">
        <v>344</v>
      </c>
      <c r="B30" t="s">
        <v>52</v>
      </c>
      <c r="C30">
        <v>15309684</v>
      </c>
      <c r="D30" s="3">
        <f t="shared" si="1"/>
        <v>76548.42</v>
      </c>
      <c r="E30" s="2">
        <v>44437</v>
      </c>
      <c r="F30" s="2">
        <v>44441</v>
      </c>
      <c r="G30" s="8">
        <v>0.23124999999999998</v>
      </c>
      <c r="H30" t="s">
        <v>423</v>
      </c>
      <c r="I30" t="s">
        <v>468</v>
      </c>
      <c r="J30" t="str">
        <f t="shared" si="0"/>
        <v>Nu</v>
      </c>
    </row>
    <row r="31" spans="1:10" x14ac:dyDescent="0.2">
      <c r="A31" t="s">
        <v>327</v>
      </c>
      <c r="B31" t="s">
        <v>52</v>
      </c>
      <c r="C31">
        <v>14811311</v>
      </c>
      <c r="D31" s="3">
        <f t="shared" si="1"/>
        <v>74056.554999999993</v>
      </c>
      <c r="E31" s="2">
        <v>44437</v>
      </c>
      <c r="F31" s="2">
        <v>44441</v>
      </c>
      <c r="G31" s="8">
        <v>0.14097222222222222</v>
      </c>
      <c r="H31" t="s">
        <v>423</v>
      </c>
      <c r="I31" t="s">
        <v>468</v>
      </c>
      <c r="J31" t="str">
        <f t="shared" si="0"/>
        <v>Nu</v>
      </c>
    </row>
    <row r="32" spans="1:10" x14ac:dyDescent="0.2">
      <c r="A32" t="s">
        <v>54</v>
      </c>
      <c r="B32" t="s">
        <v>55</v>
      </c>
      <c r="C32">
        <v>14565825</v>
      </c>
      <c r="D32" s="3">
        <f t="shared" si="1"/>
        <v>72829.125</v>
      </c>
      <c r="E32" s="2">
        <v>44337</v>
      </c>
      <c r="F32" s="2">
        <v>44441</v>
      </c>
      <c r="G32" s="8">
        <v>0.11388888888888889</v>
      </c>
      <c r="H32" t="s">
        <v>424</v>
      </c>
      <c r="I32" t="s">
        <v>475</v>
      </c>
      <c r="J32" t="str">
        <f t="shared" si="0"/>
        <v>Nu</v>
      </c>
    </row>
    <row r="33" spans="1:10" x14ac:dyDescent="0.2">
      <c r="A33" t="s">
        <v>56</v>
      </c>
      <c r="B33" t="s">
        <v>46</v>
      </c>
      <c r="C33">
        <v>14237777</v>
      </c>
      <c r="D33" s="3">
        <f t="shared" si="1"/>
        <v>71188.884999999995</v>
      </c>
      <c r="E33" s="2">
        <v>43910</v>
      </c>
      <c r="F33" s="2">
        <v>44441</v>
      </c>
      <c r="G33" s="8">
        <v>0.14930555555555555</v>
      </c>
      <c r="H33" t="s">
        <v>416</v>
      </c>
      <c r="I33" t="s">
        <v>420</v>
      </c>
      <c r="J33" t="str">
        <f t="shared" si="0"/>
        <v>Da</v>
      </c>
    </row>
    <row r="34" spans="1:10" x14ac:dyDescent="0.2">
      <c r="A34" t="s">
        <v>450</v>
      </c>
      <c r="B34" t="s">
        <v>55</v>
      </c>
      <c r="C34">
        <v>13960331</v>
      </c>
      <c r="D34" s="3">
        <f t="shared" si="1"/>
        <v>69801.654999999999</v>
      </c>
      <c r="E34" s="2">
        <v>44435</v>
      </c>
      <c r="F34" s="2">
        <v>44441</v>
      </c>
      <c r="G34" s="8">
        <v>0.11388888888888889</v>
      </c>
      <c r="H34" t="s">
        <v>424</v>
      </c>
      <c r="I34" t="s">
        <v>475</v>
      </c>
      <c r="J34" t="str">
        <f t="shared" si="0"/>
        <v>Da</v>
      </c>
    </row>
    <row r="35" spans="1:10" x14ac:dyDescent="0.2">
      <c r="A35" t="s">
        <v>322</v>
      </c>
      <c r="B35" t="s">
        <v>52</v>
      </c>
      <c r="C35">
        <v>13876358</v>
      </c>
      <c r="D35" s="3">
        <f t="shared" si="1"/>
        <v>69381.790000000008</v>
      </c>
      <c r="E35" s="2">
        <v>44437</v>
      </c>
      <c r="F35" s="2">
        <v>44441</v>
      </c>
      <c r="G35" s="8">
        <v>0.10069444444444443</v>
      </c>
      <c r="H35" t="s">
        <v>423</v>
      </c>
      <c r="I35" t="s">
        <v>468</v>
      </c>
      <c r="J35" t="str">
        <f t="shared" si="0"/>
        <v>Nu</v>
      </c>
    </row>
    <row r="36" spans="1:10" x14ac:dyDescent="0.2">
      <c r="A36" t="s">
        <v>49</v>
      </c>
      <c r="B36" t="s">
        <v>46</v>
      </c>
      <c r="C36">
        <v>13820934</v>
      </c>
      <c r="D36" s="3">
        <f t="shared" si="1"/>
        <v>69104.67</v>
      </c>
      <c r="E36" s="2">
        <v>43798</v>
      </c>
      <c r="F36" s="2">
        <v>44441</v>
      </c>
      <c r="G36" s="8">
        <v>0.13958333333333334</v>
      </c>
      <c r="H36" t="s">
        <v>416</v>
      </c>
      <c r="I36" t="s">
        <v>420</v>
      </c>
      <c r="J36" t="str">
        <f t="shared" si="0"/>
        <v>Nu</v>
      </c>
    </row>
    <row r="37" spans="1:10" x14ac:dyDescent="0.2">
      <c r="A37" t="s">
        <v>79</v>
      </c>
      <c r="B37" t="s">
        <v>80</v>
      </c>
      <c r="C37">
        <v>13819716</v>
      </c>
      <c r="D37" s="3">
        <f t="shared" si="1"/>
        <v>69098.58</v>
      </c>
      <c r="E37" s="2">
        <v>44435</v>
      </c>
      <c r="F37" s="2">
        <v>44441</v>
      </c>
      <c r="G37" s="8">
        <v>0.17500000000000002</v>
      </c>
      <c r="H37" t="s">
        <v>423</v>
      </c>
      <c r="I37" t="s">
        <v>468</v>
      </c>
      <c r="J37" t="str">
        <f t="shared" si="0"/>
        <v>Da</v>
      </c>
    </row>
    <row r="38" spans="1:10" x14ac:dyDescent="0.2">
      <c r="A38" t="s">
        <v>321</v>
      </c>
      <c r="B38" t="s">
        <v>52</v>
      </c>
      <c r="C38">
        <v>13621927</v>
      </c>
      <c r="D38" s="3">
        <f t="shared" si="1"/>
        <v>68109.634999999995</v>
      </c>
      <c r="E38" s="2">
        <v>44437</v>
      </c>
      <c r="F38" s="2">
        <v>44441</v>
      </c>
      <c r="G38" s="8">
        <v>0.12361111111111112</v>
      </c>
      <c r="H38" t="s">
        <v>423</v>
      </c>
      <c r="I38" t="s">
        <v>468</v>
      </c>
      <c r="J38" t="str">
        <f t="shared" si="0"/>
        <v>Nu</v>
      </c>
    </row>
    <row r="39" spans="1:10" x14ac:dyDescent="0.2">
      <c r="A39" t="s">
        <v>425</v>
      </c>
      <c r="B39" t="s">
        <v>78</v>
      </c>
      <c r="C39">
        <v>13505979</v>
      </c>
      <c r="D39" s="3">
        <f t="shared" si="1"/>
        <v>67529.89499999999</v>
      </c>
      <c r="E39" s="2">
        <v>44386</v>
      </c>
      <c r="F39" s="2">
        <v>44441</v>
      </c>
      <c r="G39" s="8">
        <v>0.1076388888888889</v>
      </c>
      <c r="H39" t="s">
        <v>426</v>
      </c>
      <c r="I39" t="s">
        <v>476</v>
      </c>
      <c r="J39" t="str">
        <f t="shared" si="0"/>
        <v>Nu</v>
      </c>
    </row>
    <row r="40" spans="1:10" x14ac:dyDescent="0.2">
      <c r="A40" t="s">
        <v>74</v>
      </c>
      <c r="B40" t="s">
        <v>17</v>
      </c>
      <c r="C40">
        <v>13397107</v>
      </c>
      <c r="D40" s="3">
        <f t="shared" si="1"/>
        <v>66985.535000000003</v>
      </c>
      <c r="E40" s="2">
        <v>44337</v>
      </c>
      <c r="F40" s="2">
        <v>44441</v>
      </c>
      <c r="G40" s="8">
        <v>0.14930555555555555</v>
      </c>
      <c r="H40" t="s">
        <v>422</v>
      </c>
      <c r="I40" t="s">
        <v>468</v>
      </c>
      <c r="J40" t="str">
        <f t="shared" si="0"/>
        <v>Nu</v>
      </c>
    </row>
    <row r="41" spans="1:10" x14ac:dyDescent="0.2">
      <c r="A41" t="s">
        <v>75</v>
      </c>
      <c r="B41" t="s">
        <v>55</v>
      </c>
      <c r="C41">
        <v>13372442</v>
      </c>
      <c r="D41" s="3">
        <f t="shared" si="1"/>
        <v>66862.209999999992</v>
      </c>
      <c r="E41" s="2">
        <v>44386</v>
      </c>
      <c r="F41" s="2">
        <v>44441</v>
      </c>
      <c r="G41" s="8">
        <v>0.12986111111111112</v>
      </c>
      <c r="H41" t="s">
        <v>424</v>
      </c>
      <c r="I41" t="s">
        <v>475</v>
      </c>
      <c r="J41" t="str">
        <f t="shared" si="0"/>
        <v>Nu</v>
      </c>
    </row>
    <row r="42" spans="1:10" x14ac:dyDescent="0.2">
      <c r="A42" t="s">
        <v>342</v>
      </c>
      <c r="B42" t="s">
        <v>52</v>
      </c>
      <c r="C42">
        <v>13342949</v>
      </c>
      <c r="D42" s="3">
        <f t="shared" si="1"/>
        <v>66714.744999999995</v>
      </c>
      <c r="E42" s="2">
        <v>44417</v>
      </c>
      <c r="F42" s="2">
        <v>44441</v>
      </c>
      <c r="G42" s="8">
        <v>0.10208333333333335</v>
      </c>
      <c r="H42" t="s">
        <v>423</v>
      </c>
      <c r="I42" t="s">
        <v>468</v>
      </c>
      <c r="J42" t="str">
        <f t="shared" si="0"/>
        <v>Nu</v>
      </c>
    </row>
    <row r="43" spans="1:10" x14ac:dyDescent="0.2">
      <c r="A43" t="s">
        <v>70</v>
      </c>
      <c r="B43" t="s">
        <v>71</v>
      </c>
      <c r="C43">
        <v>13082669</v>
      </c>
      <c r="D43" s="3">
        <f t="shared" si="1"/>
        <v>65413.345000000001</v>
      </c>
      <c r="E43" s="2">
        <v>44371</v>
      </c>
      <c r="F43" s="2">
        <v>44441</v>
      </c>
      <c r="G43" s="8">
        <v>0.18124999999999999</v>
      </c>
      <c r="H43" t="s">
        <v>418</v>
      </c>
      <c r="I43" t="s">
        <v>472</v>
      </c>
      <c r="J43" t="str">
        <f t="shared" si="0"/>
        <v>Nu</v>
      </c>
    </row>
    <row r="44" spans="1:10" x14ac:dyDescent="0.2">
      <c r="A44" s="10">
        <v>24</v>
      </c>
      <c r="B44" t="s">
        <v>52</v>
      </c>
      <c r="C44">
        <v>12955187</v>
      </c>
      <c r="D44" s="3">
        <f t="shared" si="1"/>
        <v>64775.934999999998</v>
      </c>
      <c r="E44" s="2">
        <v>44437</v>
      </c>
      <c r="F44" s="2">
        <v>44441</v>
      </c>
      <c r="G44" s="8">
        <v>0.13680555555555554</v>
      </c>
      <c r="H44" t="s">
        <v>423</v>
      </c>
      <c r="I44" t="s">
        <v>468</v>
      </c>
      <c r="J44" t="str">
        <f t="shared" si="0"/>
        <v>Nu</v>
      </c>
    </row>
    <row r="45" spans="1:10" x14ac:dyDescent="0.2">
      <c r="A45" t="s">
        <v>41</v>
      </c>
      <c r="B45" t="s">
        <v>42</v>
      </c>
      <c r="C45">
        <v>12933235</v>
      </c>
      <c r="D45" s="3">
        <f t="shared" si="1"/>
        <v>64666.175000000003</v>
      </c>
      <c r="E45" s="2">
        <v>44379</v>
      </c>
      <c r="F45" s="2">
        <v>44441</v>
      </c>
      <c r="G45" s="8">
        <v>9.0277777777777776E-2</v>
      </c>
      <c r="H45" t="s">
        <v>418</v>
      </c>
      <c r="I45" t="s">
        <v>474</v>
      </c>
      <c r="J45" t="str">
        <f t="shared" si="0"/>
        <v>Nu</v>
      </c>
    </row>
    <row r="46" spans="1:10" x14ac:dyDescent="0.2">
      <c r="A46" t="s">
        <v>335</v>
      </c>
      <c r="B46" t="s">
        <v>52</v>
      </c>
      <c r="C46">
        <v>12913533</v>
      </c>
      <c r="D46" s="3">
        <f t="shared" si="1"/>
        <v>64567.664999999994</v>
      </c>
      <c r="E46" s="2">
        <v>44437</v>
      </c>
      <c r="F46" s="2">
        <v>44441</v>
      </c>
      <c r="G46" s="8">
        <v>0.13749999999999998</v>
      </c>
      <c r="H46" t="s">
        <v>423</v>
      </c>
      <c r="I46" t="s">
        <v>468</v>
      </c>
      <c r="J46" t="str">
        <f t="shared" si="0"/>
        <v>Nu</v>
      </c>
    </row>
    <row r="47" spans="1:10" x14ac:dyDescent="0.2">
      <c r="A47" t="s">
        <v>57</v>
      </c>
      <c r="B47" t="s">
        <v>17</v>
      </c>
      <c r="C47">
        <v>12878186</v>
      </c>
      <c r="D47" s="3">
        <f t="shared" si="1"/>
        <v>64390.93</v>
      </c>
      <c r="E47" s="2">
        <v>44204</v>
      </c>
      <c r="F47" s="2">
        <v>44441</v>
      </c>
      <c r="G47" s="8">
        <v>0.16805555555555554</v>
      </c>
      <c r="H47" t="s">
        <v>422</v>
      </c>
      <c r="I47" t="s">
        <v>468</v>
      </c>
      <c r="J47" t="str">
        <f t="shared" si="0"/>
        <v>Nu</v>
      </c>
    </row>
    <row r="48" spans="1:10" x14ac:dyDescent="0.2">
      <c r="A48" t="s">
        <v>72</v>
      </c>
      <c r="B48" t="s">
        <v>73</v>
      </c>
      <c r="C48">
        <v>12598210</v>
      </c>
      <c r="D48" s="3">
        <f t="shared" si="1"/>
        <v>62991.049999999996</v>
      </c>
      <c r="E48" s="2">
        <v>44385</v>
      </c>
      <c r="F48" s="2">
        <v>44441</v>
      </c>
      <c r="G48" s="8">
        <v>0.18958333333333333</v>
      </c>
      <c r="H48" t="s">
        <v>426</v>
      </c>
      <c r="I48" t="s">
        <v>472</v>
      </c>
      <c r="J48" t="str">
        <f t="shared" si="0"/>
        <v>Nu</v>
      </c>
    </row>
    <row r="49" spans="1:10" x14ac:dyDescent="0.2">
      <c r="A49" s="10">
        <v>2055</v>
      </c>
      <c r="B49" t="s">
        <v>60</v>
      </c>
      <c r="C49">
        <v>12034127</v>
      </c>
      <c r="D49" s="3">
        <f t="shared" si="1"/>
        <v>60170.635000000002</v>
      </c>
      <c r="E49" s="2">
        <v>44300</v>
      </c>
      <c r="F49" s="2">
        <v>44441</v>
      </c>
      <c r="G49" s="8">
        <v>8.5416666666666655E-2</v>
      </c>
      <c r="H49" t="s">
        <v>423</v>
      </c>
      <c r="I49" t="s">
        <v>477</v>
      </c>
      <c r="J49" t="str">
        <f t="shared" si="0"/>
        <v>Nu</v>
      </c>
    </row>
    <row r="50" spans="1:10" x14ac:dyDescent="0.2">
      <c r="A50" t="s">
        <v>427</v>
      </c>
      <c r="B50" t="s">
        <v>34</v>
      </c>
      <c r="C50">
        <v>11797153</v>
      </c>
      <c r="D50" s="3">
        <f t="shared" si="1"/>
        <v>58985.764999999999</v>
      </c>
      <c r="E50" s="2">
        <v>44372</v>
      </c>
      <c r="F50" s="2">
        <v>44441</v>
      </c>
      <c r="G50" s="8">
        <v>0.11388888888888889</v>
      </c>
      <c r="H50" t="s">
        <v>418</v>
      </c>
      <c r="I50" t="s">
        <v>472</v>
      </c>
      <c r="J50" t="str">
        <f t="shared" si="0"/>
        <v>Nu</v>
      </c>
    </row>
    <row r="51" spans="1:10" x14ac:dyDescent="0.2">
      <c r="A51" t="s">
        <v>332</v>
      </c>
      <c r="B51" t="s">
        <v>52</v>
      </c>
      <c r="C51">
        <v>11585806</v>
      </c>
      <c r="D51" s="3">
        <f t="shared" si="1"/>
        <v>57929.03</v>
      </c>
      <c r="E51" s="2">
        <v>44437</v>
      </c>
      <c r="F51" s="2">
        <v>44441</v>
      </c>
      <c r="G51" s="8">
        <v>0.24861111111111112</v>
      </c>
      <c r="H51" t="s">
        <v>423</v>
      </c>
      <c r="I51" t="s">
        <v>468</v>
      </c>
      <c r="J51" t="str">
        <f t="shared" si="0"/>
        <v>Nu</v>
      </c>
    </row>
    <row r="52" spans="1:10" x14ac:dyDescent="0.2">
      <c r="A52" t="s">
        <v>65</v>
      </c>
      <c r="B52" t="s">
        <v>12</v>
      </c>
      <c r="C52">
        <v>11294620</v>
      </c>
      <c r="D52" s="3">
        <f t="shared" si="1"/>
        <v>56473.100000000006</v>
      </c>
      <c r="E52" s="2">
        <v>44372</v>
      </c>
      <c r="F52" s="2">
        <v>44441</v>
      </c>
      <c r="G52" s="8">
        <v>9.5833333333333326E-2</v>
      </c>
      <c r="H52" t="s">
        <v>422</v>
      </c>
      <c r="I52" t="s">
        <v>468</v>
      </c>
      <c r="J52" t="str">
        <f t="shared" si="0"/>
        <v>Nu</v>
      </c>
    </row>
    <row r="53" spans="1:10" x14ac:dyDescent="0.2">
      <c r="A53" t="s">
        <v>363</v>
      </c>
      <c r="B53" t="s">
        <v>52</v>
      </c>
      <c r="C53">
        <v>11098736</v>
      </c>
      <c r="D53" s="3">
        <f t="shared" si="1"/>
        <v>55493.680000000008</v>
      </c>
      <c r="E53" s="2">
        <v>44437</v>
      </c>
      <c r="F53" s="2">
        <v>44441</v>
      </c>
      <c r="G53" s="8">
        <v>8.8888888888888892E-2</v>
      </c>
      <c r="H53" t="s">
        <v>423</v>
      </c>
      <c r="I53" t="s">
        <v>468</v>
      </c>
      <c r="J53" t="str">
        <f t="shared" si="0"/>
        <v>Nu</v>
      </c>
    </row>
    <row r="54" spans="1:10" x14ac:dyDescent="0.2">
      <c r="A54" t="s">
        <v>87</v>
      </c>
      <c r="B54" t="s">
        <v>88</v>
      </c>
      <c r="C54">
        <v>11085219</v>
      </c>
      <c r="D54" s="3">
        <f t="shared" si="1"/>
        <v>55426.094999999994</v>
      </c>
      <c r="E54" s="2">
        <v>44260</v>
      </c>
      <c r="F54" s="2">
        <v>44441</v>
      </c>
      <c r="G54" s="8">
        <v>0.16805555555555554</v>
      </c>
      <c r="H54" t="s">
        <v>416</v>
      </c>
      <c r="I54" t="s">
        <v>472</v>
      </c>
      <c r="J54" t="str">
        <f t="shared" si="0"/>
        <v>Nu</v>
      </c>
    </row>
    <row r="55" spans="1:10" x14ac:dyDescent="0.2">
      <c r="A55" t="s">
        <v>68</v>
      </c>
      <c r="B55" t="s">
        <v>69</v>
      </c>
      <c r="C55">
        <v>11037322</v>
      </c>
      <c r="D55" s="3">
        <f t="shared" si="1"/>
        <v>55186.61</v>
      </c>
      <c r="E55" s="2">
        <v>44385</v>
      </c>
      <c r="F55" s="2">
        <v>44441</v>
      </c>
      <c r="G55" s="8">
        <v>0.13958333333333334</v>
      </c>
      <c r="H55" t="s">
        <v>418</v>
      </c>
      <c r="I55" t="s">
        <v>474</v>
      </c>
      <c r="J55" t="str">
        <f t="shared" si="0"/>
        <v>Nu</v>
      </c>
    </row>
    <row r="56" spans="1:10" x14ac:dyDescent="0.2">
      <c r="A56" t="s">
        <v>93</v>
      </c>
      <c r="B56" t="s">
        <v>94</v>
      </c>
      <c r="C56">
        <v>10951000</v>
      </c>
      <c r="D56" s="3">
        <f t="shared" si="1"/>
        <v>54755</v>
      </c>
      <c r="E56" s="2">
        <v>44386</v>
      </c>
      <c r="F56" s="2">
        <v>44441</v>
      </c>
      <c r="G56" s="8">
        <v>0.13333333333333333</v>
      </c>
      <c r="H56" t="s">
        <v>428</v>
      </c>
      <c r="I56" t="s">
        <v>478</v>
      </c>
      <c r="J56" t="str">
        <f t="shared" si="0"/>
        <v>Nu</v>
      </c>
    </row>
    <row r="57" spans="1:10" x14ac:dyDescent="0.2">
      <c r="A57" t="s">
        <v>364</v>
      </c>
      <c r="B57" t="s">
        <v>52</v>
      </c>
      <c r="C57">
        <v>10913129</v>
      </c>
      <c r="D57" s="3">
        <f t="shared" si="1"/>
        <v>54565.645000000004</v>
      </c>
      <c r="E57" s="2">
        <v>44437</v>
      </c>
      <c r="F57" s="2">
        <v>44441</v>
      </c>
      <c r="G57" s="8">
        <v>0.15347222222222223</v>
      </c>
      <c r="H57" t="s">
        <v>423</v>
      </c>
      <c r="I57" t="s">
        <v>468</v>
      </c>
      <c r="J57" t="str">
        <f t="shared" si="0"/>
        <v>Nu</v>
      </c>
    </row>
    <row r="58" spans="1:10" x14ac:dyDescent="0.2">
      <c r="A58" t="s">
        <v>365</v>
      </c>
      <c r="B58" t="s">
        <v>52</v>
      </c>
      <c r="C58">
        <v>10900265</v>
      </c>
      <c r="D58" s="3">
        <f t="shared" si="1"/>
        <v>54501.324999999997</v>
      </c>
      <c r="E58" s="2">
        <v>44437</v>
      </c>
      <c r="F58" s="2">
        <v>44441</v>
      </c>
      <c r="G58" s="8">
        <v>0.37361111111111112</v>
      </c>
      <c r="H58" t="s">
        <v>423</v>
      </c>
      <c r="I58" t="s">
        <v>468</v>
      </c>
      <c r="J58" t="str">
        <f t="shared" si="0"/>
        <v>Nu</v>
      </c>
    </row>
    <row r="59" spans="1:10" x14ac:dyDescent="0.2">
      <c r="A59" t="s">
        <v>95</v>
      </c>
      <c r="B59" t="s">
        <v>17</v>
      </c>
      <c r="C59">
        <v>10837112</v>
      </c>
      <c r="D59" s="3">
        <f t="shared" si="1"/>
        <v>54185.56</v>
      </c>
      <c r="E59" s="2">
        <v>44337</v>
      </c>
      <c r="F59" s="2">
        <v>44441</v>
      </c>
      <c r="G59" s="8">
        <v>0.12152777777777778</v>
      </c>
      <c r="H59" t="s">
        <v>422</v>
      </c>
      <c r="I59" t="s">
        <v>468</v>
      </c>
      <c r="J59" t="str">
        <f t="shared" si="0"/>
        <v>Nu</v>
      </c>
    </row>
    <row r="60" spans="1:10" x14ac:dyDescent="0.2">
      <c r="A60" t="s">
        <v>96</v>
      </c>
      <c r="B60" t="s">
        <v>97</v>
      </c>
      <c r="C60">
        <v>10655348</v>
      </c>
      <c r="D60" s="3">
        <f t="shared" si="1"/>
        <v>53276.74</v>
      </c>
      <c r="E60" s="2">
        <v>43083</v>
      </c>
      <c r="F60" s="2">
        <v>44441</v>
      </c>
      <c r="G60" s="8">
        <v>0.1673611111111111</v>
      </c>
      <c r="H60" t="s">
        <v>429</v>
      </c>
      <c r="I60" t="s">
        <v>470</v>
      </c>
      <c r="J60" t="str">
        <f t="shared" si="0"/>
        <v>Nu</v>
      </c>
    </row>
    <row r="61" spans="1:10" x14ac:dyDescent="0.2">
      <c r="A61" t="s">
        <v>83</v>
      </c>
      <c r="B61" t="s">
        <v>84</v>
      </c>
      <c r="C61">
        <v>10454615</v>
      </c>
      <c r="D61" s="3">
        <f t="shared" si="1"/>
        <v>52273.074999999997</v>
      </c>
      <c r="E61" s="2">
        <v>43812</v>
      </c>
      <c r="F61" s="2">
        <v>44441</v>
      </c>
      <c r="G61" s="8">
        <v>0.12013888888888889</v>
      </c>
      <c r="H61" t="s">
        <v>422</v>
      </c>
      <c r="I61" t="s">
        <v>469</v>
      </c>
      <c r="J61" t="str">
        <f t="shared" si="0"/>
        <v>Nu</v>
      </c>
    </row>
    <row r="62" spans="1:10" x14ac:dyDescent="0.2">
      <c r="A62" t="s">
        <v>127</v>
      </c>
      <c r="B62" t="s">
        <v>12</v>
      </c>
      <c r="C62">
        <v>10218950</v>
      </c>
      <c r="D62" s="3">
        <f t="shared" si="1"/>
        <v>51094.75</v>
      </c>
      <c r="E62" s="2">
        <v>44372</v>
      </c>
      <c r="F62" s="2">
        <v>44441</v>
      </c>
      <c r="G62" s="8">
        <v>0.12083333333333333</v>
      </c>
      <c r="H62" t="s">
        <v>422</v>
      </c>
      <c r="I62" t="s">
        <v>468</v>
      </c>
      <c r="J62" t="str">
        <f t="shared" si="0"/>
        <v>Nu</v>
      </c>
    </row>
    <row r="63" spans="1:10" x14ac:dyDescent="0.2">
      <c r="A63" t="s">
        <v>134</v>
      </c>
      <c r="B63" t="s">
        <v>135</v>
      </c>
      <c r="C63">
        <v>10170485</v>
      </c>
      <c r="D63" s="3">
        <f t="shared" si="1"/>
        <v>50852.425000000003</v>
      </c>
      <c r="E63" s="2">
        <v>44386</v>
      </c>
      <c r="F63" s="2">
        <v>44441</v>
      </c>
      <c r="G63" s="8">
        <v>0.14444444444444446</v>
      </c>
      <c r="H63" t="s">
        <v>418</v>
      </c>
      <c r="I63" t="s">
        <v>479</v>
      </c>
      <c r="J63" t="str">
        <f t="shared" si="0"/>
        <v>Nu</v>
      </c>
    </row>
    <row r="64" spans="1:10" x14ac:dyDescent="0.2">
      <c r="A64" t="s">
        <v>81</v>
      </c>
      <c r="B64" t="s">
        <v>82</v>
      </c>
      <c r="C64">
        <v>10168472</v>
      </c>
      <c r="D64" s="3">
        <f t="shared" si="1"/>
        <v>50842.36</v>
      </c>
      <c r="E64" s="2">
        <v>44400</v>
      </c>
      <c r="F64" s="2">
        <v>44441</v>
      </c>
      <c r="G64" s="8">
        <v>0.11388888888888889</v>
      </c>
      <c r="H64" t="s">
        <v>422</v>
      </c>
      <c r="I64" t="s">
        <v>480</v>
      </c>
      <c r="J64" t="str">
        <f t="shared" si="0"/>
        <v>Nu</v>
      </c>
    </row>
    <row r="65" spans="1:10" x14ac:dyDescent="0.2">
      <c r="A65" t="s">
        <v>431</v>
      </c>
      <c r="B65" t="s">
        <v>111</v>
      </c>
      <c r="C65">
        <v>10119289</v>
      </c>
      <c r="D65" s="3">
        <f t="shared" si="1"/>
        <v>50596.445000000007</v>
      </c>
      <c r="E65" s="2">
        <v>44317</v>
      </c>
      <c r="F65" s="2">
        <v>44441</v>
      </c>
      <c r="G65" s="8">
        <v>0.11458333333333333</v>
      </c>
      <c r="H65" t="s">
        <v>418</v>
      </c>
      <c r="I65" t="s">
        <v>478</v>
      </c>
      <c r="J65" t="str">
        <f t="shared" si="0"/>
        <v>Nu</v>
      </c>
    </row>
    <row r="66" spans="1:10" x14ac:dyDescent="0.2">
      <c r="A66" t="s">
        <v>430</v>
      </c>
      <c r="B66" t="s">
        <v>32</v>
      </c>
      <c r="C66">
        <v>10109481</v>
      </c>
      <c r="D66" s="3">
        <f t="shared" si="1"/>
        <v>50547.404999999999</v>
      </c>
      <c r="E66" s="2">
        <v>44134</v>
      </c>
      <c r="F66" s="2">
        <v>44441</v>
      </c>
      <c r="G66" s="8">
        <v>0.1423611111111111</v>
      </c>
      <c r="H66" t="s">
        <v>426</v>
      </c>
      <c r="I66" t="s">
        <v>472</v>
      </c>
      <c r="J66" t="str">
        <f t="shared" ref="J66:J129" si="2">IF(ISNUMBER(SEARCH("with",A66)),"Da","Nu")</f>
        <v>Nu</v>
      </c>
    </row>
    <row r="67" spans="1:10" x14ac:dyDescent="0.2">
      <c r="A67" t="s">
        <v>443</v>
      </c>
      <c r="B67" t="s">
        <v>116</v>
      </c>
      <c r="C67">
        <v>10104000</v>
      </c>
      <c r="D67" s="3">
        <f t="shared" ref="D67:D92" si="3">(C67/1000*5)</f>
        <v>50520</v>
      </c>
      <c r="E67" s="2">
        <v>44211</v>
      </c>
      <c r="F67" s="2">
        <v>44441</v>
      </c>
      <c r="G67" s="8">
        <v>0.1173611111111111</v>
      </c>
      <c r="H67" t="s">
        <v>432</v>
      </c>
      <c r="I67" t="s">
        <v>469</v>
      </c>
      <c r="J67" t="str">
        <f t="shared" si="2"/>
        <v>Da</v>
      </c>
    </row>
    <row r="68" spans="1:10" x14ac:dyDescent="0.2">
      <c r="A68" t="s">
        <v>137</v>
      </c>
      <c r="B68" t="s">
        <v>138</v>
      </c>
      <c r="C68">
        <v>10086800</v>
      </c>
      <c r="D68" s="3">
        <f t="shared" si="3"/>
        <v>50434</v>
      </c>
      <c r="E68" s="2">
        <v>44428</v>
      </c>
      <c r="F68" s="2">
        <v>44441</v>
      </c>
      <c r="G68" s="8">
        <v>0.1277777777777778</v>
      </c>
      <c r="H68" t="s">
        <v>422</v>
      </c>
      <c r="I68" t="s">
        <v>420</v>
      </c>
      <c r="J68" t="str">
        <f t="shared" si="2"/>
        <v>Nu</v>
      </c>
    </row>
    <row r="69" spans="1:10" x14ac:dyDescent="0.2">
      <c r="A69" t="s">
        <v>366</v>
      </c>
      <c r="B69" t="s">
        <v>52</v>
      </c>
      <c r="C69">
        <v>10030218</v>
      </c>
      <c r="D69" s="3">
        <f t="shared" si="3"/>
        <v>50151.090000000004</v>
      </c>
      <c r="E69" s="2">
        <v>44437</v>
      </c>
      <c r="F69" s="2">
        <v>44441</v>
      </c>
      <c r="G69" s="8">
        <v>0.12708333333333333</v>
      </c>
      <c r="H69" t="s">
        <v>423</v>
      </c>
      <c r="I69" t="s">
        <v>468</v>
      </c>
      <c r="J69" t="str">
        <f t="shared" si="2"/>
        <v>Nu</v>
      </c>
    </row>
    <row r="70" spans="1:10" x14ac:dyDescent="0.2">
      <c r="A70" t="s">
        <v>26</v>
      </c>
      <c r="B70" t="s">
        <v>27</v>
      </c>
      <c r="C70">
        <v>9744131</v>
      </c>
      <c r="D70" s="3">
        <f t="shared" si="3"/>
        <v>48720.654999999999</v>
      </c>
      <c r="E70" s="2">
        <v>44421</v>
      </c>
      <c r="F70" s="2">
        <v>44441</v>
      </c>
      <c r="G70" s="8">
        <v>0.14027777777777778</v>
      </c>
      <c r="H70" t="s">
        <v>422</v>
      </c>
      <c r="I70" t="s">
        <v>469</v>
      </c>
      <c r="J70" t="str">
        <f t="shared" si="2"/>
        <v>Nu</v>
      </c>
    </row>
    <row r="71" spans="1:10" x14ac:dyDescent="0.2">
      <c r="A71" t="s">
        <v>117</v>
      </c>
      <c r="B71" t="s">
        <v>435</v>
      </c>
      <c r="C71">
        <v>9541764</v>
      </c>
      <c r="D71" s="3">
        <f t="shared" si="3"/>
        <v>47708.819999999992</v>
      </c>
      <c r="E71" s="2">
        <v>44287</v>
      </c>
      <c r="F71" s="2">
        <v>44441</v>
      </c>
      <c r="G71" s="8">
        <v>0.22291666666666665</v>
      </c>
      <c r="H71" t="s">
        <v>418</v>
      </c>
      <c r="I71" t="s">
        <v>472</v>
      </c>
      <c r="J71" t="str">
        <f t="shared" si="2"/>
        <v>Nu</v>
      </c>
    </row>
    <row r="72" spans="1:10" x14ac:dyDescent="0.2">
      <c r="A72" t="s">
        <v>125</v>
      </c>
      <c r="B72" t="s">
        <v>17</v>
      </c>
      <c r="C72">
        <v>9497239</v>
      </c>
      <c r="D72" s="3">
        <f t="shared" si="3"/>
        <v>47486.195</v>
      </c>
      <c r="E72" s="2">
        <v>44337</v>
      </c>
      <c r="F72" s="2">
        <v>44441</v>
      </c>
      <c r="G72" s="8">
        <v>0.12013888888888889</v>
      </c>
      <c r="H72" t="s">
        <v>422</v>
      </c>
      <c r="I72" t="s">
        <v>468</v>
      </c>
      <c r="J72" t="str">
        <f t="shared" si="2"/>
        <v>Nu</v>
      </c>
    </row>
    <row r="73" spans="1:10" x14ac:dyDescent="0.2">
      <c r="A73" t="s">
        <v>99</v>
      </c>
      <c r="B73" t="s">
        <v>55</v>
      </c>
      <c r="C73">
        <v>9489399</v>
      </c>
      <c r="D73" s="3">
        <f t="shared" si="3"/>
        <v>47446.994999999995</v>
      </c>
      <c r="E73" s="2">
        <v>44459</v>
      </c>
      <c r="F73" s="2">
        <v>44441</v>
      </c>
      <c r="G73" s="8">
        <v>9.7916666666666666E-2</v>
      </c>
      <c r="H73" t="s">
        <v>424</v>
      </c>
      <c r="I73" t="s">
        <v>475</v>
      </c>
      <c r="J73" t="str">
        <f t="shared" si="2"/>
        <v>Nu</v>
      </c>
    </row>
    <row r="74" spans="1:10" x14ac:dyDescent="0.2">
      <c r="A74" t="s">
        <v>119</v>
      </c>
      <c r="B74" t="s">
        <v>120</v>
      </c>
      <c r="C74">
        <v>9374344</v>
      </c>
      <c r="D74" s="3">
        <f t="shared" si="3"/>
        <v>46871.719999999994</v>
      </c>
      <c r="E74" s="2">
        <v>44438</v>
      </c>
      <c r="F74" s="2">
        <v>44441</v>
      </c>
      <c r="G74" s="8">
        <v>0.16874999999999998</v>
      </c>
      <c r="H74" t="s">
        <v>422</v>
      </c>
      <c r="I74" t="s">
        <v>470</v>
      </c>
      <c r="J74" t="str">
        <f t="shared" si="2"/>
        <v>Nu</v>
      </c>
    </row>
    <row r="75" spans="1:10" x14ac:dyDescent="0.2">
      <c r="A75" t="s">
        <v>112</v>
      </c>
      <c r="B75" t="s">
        <v>113</v>
      </c>
      <c r="C75">
        <v>9358037</v>
      </c>
      <c r="D75" s="3">
        <f t="shared" si="3"/>
        <v>46790.184999999998</v>
      </c>
      <c r="E75" s="2">
        <v>44238</v>
      </c>
      <c r="F75" s="2">
        <v>44441</v>
      </c>
      <c r="G75" s="8">
        <v>0.20625000000000002</v>
      </c>
      <c r="H75" t="s">
        <v>418</v>
      </c>
      <c r="I75" t="s">
        <v>474</v>
      </c>
      <c r="J75" t="str">
        <f t="shared" si="2"/>
        <v>Nu</v>
      </c>
    </row>
    <row r="76" spans="1:10" x14ac:dyDescent="0.2">
      <c r="A76" t="s">
        <v>442</v>
      </c>
      <c r="B76" t="s">
        <v>98</v>
      </c>
      <c r="C76">
        <v>9310325</v>
      </c>
      <c r="D76" s="3">
        <f t="shared" si="3"/>
        <v>46551.625</v>
      </c>
      <c r="E76" s="2">
        <v>44336</v>
      </c>
      <c r="F76" s="2">
        <v>44441</v>
      </c>
      <c r="G76" s="8">
        <v>9.5138888888888884E-2</v>
      </c>
      <c r="H76" t="s">
        <v>423</v>
      </c>
      <c r="I76" t="s">
        <v>468</v>
      </c>
      <c r="J76" t="str">
        <f t="shared" si="2"/>
        <v>Da</v>
      </c>
    </row>
    <row r="77" spans="1:10" x14ac:dyDescent="0.2">
      <c r="A77" t="s">
        <v>367</v>
      </c>
      <c r="B77" t="s">
        <v>52</v>
      </c>
      <c r="C77">
        <v>9288349</v>
      </c>
      <c r="D77" s="3">
        <f t="shared" si="3"/>
        <v>46441.745000000003</v>
      </c>
      <c r="E77" s="2">
        <v>44197</v>
      </c>
      <c r="F77" s="2">
        <v>44441</v>
      </c>
      <c r="G77" s="8">
        <v>0.10833333333333334</v>
      </c>
      <c r="H77" t="s">
        <v>423</v>
      </c>
      <c r="I77" t="s">
        <v>468</v>
      </c>
      <c r="J77" t="str">
        <f t="shared" si="2"/>
        <v>Nu</v>
      </c>
    </row>
    <row r="78" spans="1:10" x14ac:dyDescent="0.2">
      <c r="A78" t="s">
        <v>103</v>
      </c>
      <c r="B78" t="s">
        <v>104</v>
      </c>
      <c r="C78">
        <v>9221441</v>
      </c>
      <c r="D78" s="3">
        <f t="shared" si="3"/>
        <v>46107.205000000002</v>
      </c>
      <c r="E78" s="2">
        <v>44229</v>
      </c>
      <c r="F78" s="2">
        <v>44441</v>
      </c>
      <c r="G78" s="8">
        <v>0.14097222222222222</v>
      </c>
      <c r="H78" t="s">
        <v>422</v>
      </c>
      <c r="I78" t="s">
        <v>468</v>
      </c>
      <c r="J78" t="str">
        <f t="shared" si="2"/>
        <v>Nu</v>
      </c>
    </row>
    <row r="79" spans="1:10" x14ac:dyDescent="0.2">
      <c r="A79" t="s">
        <v>368</v>
      </c>
      <c r="B79" t="s">
        <v>52</v>
      </c>
      <c r="C79">
        <v>9221270</v>
      </c>
      <c r="D79" s="3">
        <f t="shared" si="3"/>
        <v>46106.350000000006</v>
      </c>
      <c r="E79" s="2">
        <v>44258</v>
      </c>
      <c r="F79" s="2">
        <v>44441</v>
      </c>
      <c r="G79" s="8">
        <v>0.13749999999999998</v>
      </c>
      <c r="H79" t="s">
        <v>428</v>
      </c>
      <c r="I79" t="s">
        <v>468</v>
      </c>
      <c r="J79" t="str">
        <f t="shared" si="2"/>
        <v>Nu</v>
      </c>
    </row>
    <row r="80" spans="1:10" x14ac:dyDescent="0.2">
      <c r="A80" t="s">
        <v>58</v>
      </c>
      <c r="B80" t="s">
        <v>481</v>
      </c>
      <c r="C80">
        <v>9164205</v>
      </c>
      <c r="D80" s="3">
        <f t="shared" si="3"/>
        <v>45821.025000000001</v>
      </c>
      <c r="E80" s="2">
        <v>44320</v>
      </c>
      <c r="F80" s="2">
        <v>44441</v>
      </c>
      <c r="G80" s="8">
        <v>0.14097222222222222</v>
      </c>
      <c r="H80" t="s">
        <v>416</v>
      </c>
      <c r="I80" t="s">
        <v>482</v>
      </c>
      <c r="J80" t="str">
        <f t="shared" si="2"/>
        <v>Nu</v>
      </c>
    </row>
    <row r="81" spans="1:10" x14ac:dyDescent="0.2">
      <c r="A81" t="s">
        <v>114</v>
      </c>
      <c r="B81" t="s">
        <v>115</v>
      </c>
      <c r="C81">
        <v>8949541</v>
      </c>
      <c r="D81" s="3">
        <f t="shared" si="3"/>
        <v>44747.704999999994</v>
      </c>
      <c r="E81" s="2">
        <v>44352</v>
      </c>
      <c r="F81" s="2">
        <v>44441</v>
      </c>
      <c r="G81" s="8">
        <v>0.11388888888888889</v>
      </c>
      <c r="H81" t="s">
        <v>423</v>
      </c>
      <c r="I81" t="s">
        <v>483</v>
      </c>
      <c r="J81" t="str">
        <f t="shared" si="2"/>
        <v>Nu</v>
      </c>
    </row>
    <row r="82" spans="1:10" x14ac:dyDescent="0.2">
      <c r="A82" t="s">
        <v>91</v>
      </c>
      <c r="B82" t="s">
        <v>92</v>
      </c>
      <c r="C82">
        <v>8898032</v>
      </c>
      <c r="D82" s="3">
        <f t="shared" si="3"/>
        <v>44490.159999999996</v>
      </c>
      <c r="E82" s="2">
        <v>44276</v>
      </c>
      <c r="F82" s="2">
        <v>44441</v>
      </c>
      <c r="G82" s="8">
        <v>0.17500000000000002</v>
      </c>
      <c r="H82" t="s">
        <v>422</v>
      </c>
      <c r="I82" t="s">
        <v>469</v>
      </c>
      <c r="J82" t="str">
        <f t="shared" si="2"/>
        <v>Nu</v>
      </c>
    </row>
    <row r="83" spans="1:10" x14ac:dyDescent="0.2">
      <c r="A83" t="s">
        <v>133</v>
      </c>
      <c r="B83" t="s">
        <v>17</v>
      </c>
      <c r="C83">
        <v>8849812</v>
      </c>
      <c r="D83" s="3">
        <f t="shared" si="3"/>
        <v>44249.06</v>
      </c>
      <c r="E83" s="2">
        <v>44346</v>
      </c>
      <c r="F83" s="2">
        <v>44441</v>
      </c>
      <c r="G83" s="8">
        <v>0.14930555555555555</v>
      </c>
      <c r="H83" t="s">
        <v>434</v>
      </c>
      <c r="I83" t="s">
        <v>468</v>
      </c>
      <c r="J83" t="str">
        <f t="shared" si="2"/>
        <v>Nu</v>
      </c>
    </row>
    <row r="84" spans="1:10" x14ac:dyDescent="0.2">
      <c r="A84" t="s">
        <v>369</v>
      </c>
      <c r="B84" t="s">
        <v>52</v>
      </c>
      <c r="C84">
        <v>8821108</v>
      </c>
      <c r="D84" s="3">
        <f t="shared" si="3"/>
        <v>44105.54</v>
      </c>
      <c r="E84" s="2">
        <v>44439</v>
      </c>
      <c r="F84" s="2">
        <v>44441</v>
      </c>
      <c r="G84" s="8">
        <v>0.10208333333333335</v>
      </c>
      <c r="H84" t="s">
        <v>418</v>
      </c>
      <c r="I84" t="s">
        <v>468</v>
      </c>
      <c r="J84" t="str">
        <f t="shared" si="2"/>
        <v>Nu</v>
      </c>
    </row>
    <row r="85" spans="1:10" x14ac:dyDescent="0.2">
      <c r="A85" t="s">
        <v>370</v>
      </c>
      <c r="B85" t="s">
        <v>52</v>
      </c>
      <c r="C85">
        <v>8799808</v>
      </c>
      <c r="D85" s="3">
        <f t="shared" si="3"/>
        <v>43999.040000000008</v>
      </c>
      <c r="E85" s="2">
        <v>44451</v>
      </c>
      <c r="F85" s="2">
        <v>44441</v>
      </c>
      <c r="G85" s="8">
        <v>9.0277777777777776E-2</v>
      </c>
      <c r="H85" t="s">
        <v>426</v>
      </c>
      <c r="I85" t="s">
        <v>468</v>
      </c>
      <c r="J85" t="str">
        <f t="shared" si="2"/>
        <v>Nu</v>
      </c>
    </row>
    <row r="86" spans="1:10" x14ac:dyDescent="0.2">
      <c r="A86" t="s">
        <v>456</v>
      </c>
      <c r="B86" t="s">
        <v>324</v>
      </c>
      <c r="C86">
        <v>8664176</v>
      </c>
      <c r="D86" s="3">
        <f t="shared" si="3"/>
        <v>43320.88</v>
      </c>
      <c r="E86" s="2">
        <v>44409</v>
      </c>
      <c r="F86" s="2">
        <v>44441</v>
      </c>
      <c r="G86" s="8">
        <v>8.5416666666666655E-2</v>
      </c>
      <c r="H86" t="s">
        <v>433</v>
      </c>
      <c r="I86" t="s">
        <v>468</v>
      </c>
      <c r="J86" t="str">
        <f t="shared" si="2"/>
        <v>Da</v>
      </c>
    </row>
    <row r="87" spans="1:10" x14ac:dyDescent="0.2">
      <c r="A87" t="s">
        <v>85</v>
      </c>
      <c r="B87" t="s">
        <v>86</v>
      </c>
      <c r="C87">
        <v>8653162</v>
      </c>
      <c r="D87" s="3">
        <f t="shared" si="3"/>
        <v>43265.81</v>
      </c>
      <c r="E87" s="2">
        <v>44230</v>
      </c>
      <c r="F87" s="2">
        <v>44441</v>
      </c>
      <c r="G87" s="8">
        <v>9.5833333333333326E-2</v>
      </c>
      <c r="H87" t="s">
        <v>416</v>
      </c>
      <c r="I87" t="s">
        <v>468</v>
      </c>
      <c r="J87" t="str">
        <f t="shared" si="2"/>
        <v>Nu</v>
      </c>
    </row>
    <row r="88" spans="1:10" x14ac:dyDescent="0.2">
      <c r="A88" t="s">
        <v>107</v>
      </c>
      <c r="B88" t="s">
        <v>108</v>
      </c>
      <c r="C88">
        <v>8647549</v>
      </c>
      <c r="D88" s="3">
        <f t="shared" si="3"/>
        <v>43237.745000000003</v>
      </c>
      <c r="E88" s="2">
        <v>44466</v>
      </c>
      <c r="F88" s="2">
        <v>44441</v>
      </c>
      <c r="G88" s="8">
        <v>0.16805555555555554</v>
      </c>
      <c r="H88" t="s">
        <v>433</v>
      </c>
      <c r="I88" t="s">
        <v>468</v>
      </c>
      <c r="J88" t="str">
        <f t="shared" si="2"/>
        <v>Da</v>
      </c>
    </row>
    <row r="89" spans="1:10" x14ac:dyDescent="0.2">
      <c r="A89" t="s">
        <v>101</v>
      </c>
      <c r="B89" t="s">
        <v>102</v>
      </c>
      <c r="C89">
        <v>8613553</v>
      </c>
      <c r="D89" s="3">
        <f t="shared" si="3"/>
        <v>43067.764999999999</v>
      </c>
      <c r="E89" s="2">
        <v>44306</v>
      </c>
      <c r="F89" s="2">
        <v>44441</v>
      </c>
      <c r="G89" s="8">
        <v>0.15347222222222223</v>
      </c>
      <c r="H89" t="s">
        <v>432</v>
      </c>
      <c r="I89" t="s">
        <v>468</v>
      </c>
      <c r="J89" t="str">
        <f t="shared" si="2"/>
        <v>Nu</v>
      </c>
    </row>
    <row r="90" spans="1:10" x14ac:dyDescent="0.2">
      <c r="A90" t="s">
        <v>122</v>
      </c>
      <c r="B90" t="s">
        <v>481</v>
      </c>
      <c r="C90">
        <v>8470336</v>
      </c>
      <c r="D90" s="3">
        <f t="shared" si="3"/>
        <v>42351.679999999993</v>
      </c>
      <c r="E90" s="2">
        <v>44336</v>
      </c>
      <c r="F90" s="2">
        <v>44441</v>
      </c>
      <c r="G90" s="8">
        <v>0.12152777777777778</v>
      </c>
      <c r="H90" t="s">
        <v>432</v>
      </c>
      <c r="I90" t="s">
        <v>482</v>
      </c>
      <c r="J90" t="str">
        <f t="shared" si="2"/>
        <v>Nu</v>
      </c>
    </row>
    <row r="91" spans="1:10" x14ac:dyDescent="0.2">
      <c r="A91" t="s">
        <v>371</v>
      </c>
      <c r="B91" t="s">
        <v>372</v>
      </c>
      <c r="C91">
        <v>8420550</v>
      </c>
      <c r="D91" s="3">
        <f t="shared" si="3"/>
        <v>42102.75</v>
      </c>
      <c r="E91" s="2">
        <v>44460</v>
      </c>
      <c r="F91" s="2">
        <v>44441</v>
      </c>
      <c r="G91" s="8">
        <v>0.12013888888888889</v>
      </c>
      <c r="H91" t="s">
        <v>432</v>
      </c>
      <c r="I91" t="s">
        <v>468</v>
      </c>
      <c r="J91" t="str">
        <f t="shared" si="2"/>
        <v>Nu</v>
      </c>
    </row>
    <row r="92" spans="1:10" x14ac:dyDescent="0.2">
      <c r="A92" t="s">
        <v>105</v>
      </c>
      <c r="B92" t="s">
        <v>106</v>
      </c>
      <c r="C92">
        <v>8373451</v>
      </c>
      <c r="D92" s="3">
        <f t="shared" si="3"/>
        <v>41867.254999999997</v>
      </c>
      <c r="E92" s="2">
        <v>44377</v>
      </c>
      <c r="F92" s="2">
        <v>44441</v>
      </c>
      <c r="G92" s="8">
        <v>0.14444444444444446</v>
      </c>
      <c r="H92" t="s">
        <v>423</v>
      </c>
      <c r="I92" t="s">
        <v>484</v>
      </c>
      <c r="J92" t="str">
        <f t="shared" si="2"/>
        <v>Nu</v>
      </c>
    </row>
    <row r="93" spans="1:10" x14ac:dyDescent="0.2">
      <c r="A93" t="s">
        <v>109</v>
      </c>
      <c r="B93" t="s">
        <v>38</v>
      </c>
      <c r="C93">
        <v>8309988</v>
      </c>
      <c r="D93" s="3">
        <f>(C93/1000*5)</f>
        <v>41549.939999999995</v>
      </c>
      <c r="E93" s="2">
        <v>44248</v>
      </c>
      <c r="F93" s="2">
        <v>44441</v>
      </c>
      <c r="G93" s="8">
        <v>0.1173611111111111</v>
      </c>
      <c r="H93" t="s">
        <v>424</v>
      </c>
      <c r="I93" t="s">
        <v>469</v>
      </c>
      <c r="J93" t="str">
        <f t="shared" si="2"/>
        <v>Nu</v>
      </c>
    </row>
    <row r="94" spans="1:10" x14ac:dyDescent="0.2">
      <c r="A94" t="s">
        <v>126</v>
      </c>
      <c r="B94" t="s">
        <v>38</v>
      </c>
      <c r="C94">
        <v>8216633</v>
      </c>
      <c r="D94" s="3">
        <f t="shared" ref="D94:D106" si="4">(C94/1000*5)</f>
        <v>41083.165000000001</v>
      </c>
      <c r="E94" s="2">
        <v>44259</v>
      </c>
      <c r="F94" s="2">
        <v>44441</v>
      </c>
      <c r="G94" s="8">
        <v>0.14027777777777778</v>
      </c>
      <c r="H94" t="s">
        <v>429</v>
      </c>
      <c r="I94" t="s">
        <v>469</v>
      </c>
      <c r="J94" t="str">
        <f t="shared" si="2"/>
        <v>Nu</v>
      </c>
    </row>
    <row r="95" spans="1:10" x14ac:dyDescent="0.2">
      <c r="A95" t="s">
        <v>181</v>
      </c>
      <c r="B95" t="s">
        <v>42</v>
      </c>
      <c r="C95">
        <v>8164992</v>
      </c>
      <c r="D95" s="3">
        <f t="shared" si="4"/>
        <v>40824.959999999999</v>
      </c>
      <c r="E95" s="2">
        <v>44316</v>
      </c>
      <c r="F95" s="2">
        <v>44441</v>
      </c>
      <c r="G95" s="8">
        <v>0.12013888888888889</v>
      </c>
      <c r="H95" t="s">
        <v>429</v>
      </c>
      <c r="I95" t="s">
        <v>474</v>
      </c>
      <c r="J95" t="str">
        <f t="shared" si="2"/>
        <v>Nu</v>
      </c>
    </row>
    <row r="96" spans="1:10" x14ac:dyDescent="0.2">
      <c r="A96" t="s">
        <v>248</v>
      </c>
      <c r="B96" t="s">
        <v>211</v>
      </c>
      <c r="C96">
        <v>8138053</v>
      </c>
      <c r="D96" s="3">
        <f t="shared" si="4"/>
        <v>40690.264999999999</v>
      </c>
      <c r="E96" s="2">
        <v>44282</v>
      </c>
      <c r="F96" s="2">
        <v>44441</v>
      </c>
      <c r="G96" s="21">
        <v>9.7916666666666666E-2</v>
      </c>
      <c r="H96" t="s">
        <v>416</v>
      </c>
      <c r="I96" t="s">
        <v>468</v>
      </c>
      <c r="J96" t="str">
        <f t="shared" si="2"/>
        <v>Nu</v>
      </c>
    </row>
    <row r="97" spans="1:10" x14ac:dyDescent="0.2">
      <c r="A97" t="s">
        <v>330</v>
      </c>
      <c r="B97" t="s">
        <v>10</v>
      </c>
      <c r="C97">
        <v>8102174</v>
      </c>
      <c r="D97" s="3">
        <f t="shared" si="4"/>
        <v>40510.870000000003</v>
      </c>
      <c r="E97" s="2">
        <v>44254</v>
      </c>
      <c r="F97" s="2">
        <v>44441</v>
      </c>
      <c r="G97" s="21">
        <v>0.14722222222222223</v>
      </c>
      <c r="H97" t="s">
        <v>422</v>
      </c>
      <c r="I97" t="s">
        <v>469</v>
      </c>
      <c r="J97" t="str">
        <f t="shared" si="2"/>
        <v>Nu</v>
      </c>
    </row>
    <row r="98" spans="1:10" x14ac:dyDescent="0.2">
      <c r="A98" t="s">
        <v>205</v>
      </c>
      <c r="B98" t="s">
        <v>206</v>
      </c>
      <c r="C98">
        <v>8066320</v>
      </c>
      <c r="D98" s="3">
        <f t="shared" si="4"/>
        <v>40331.599999999999</v>
      </c>
      <c r="E98" s="2">
        <v>44308</v>
      </c>
      <c r="F98" s="2">
        <v>44441</v>
      </c>
      <c r="G98" s="21">
        <v>0.14722222222222223</v>
      </c>
      <c r="H98" t="s">
        <v>423</v>
      </c>
      <c r="I98" t="s">
        <v>485</v>
      </c>
      <c r="J98" t="str">
        <f t="shared" si="2"/>
        <v>Nu</v>
      </c>
    </row>
    <row r="99" spans="1:10" x14ac:dyDescent="0.2">
      <c r="A99" t="s">
        <v>165</v>
      </c>
      <c r="B99" t="s">
        <v>166</v>
      </c>
      <c r="C99">
        <v>7991231</v>
      </c>
      <c r="D99" s="3">
        <f t="shared" si="4"/>
        <v>39956.154999999999</v>
      </c>
      <c r="E99" s="2">
        <v>44406</v>
      </c>
      <c r="F99" s="2">
        <v>44441</v>
      </c>
      <c r="G99" s="21">
        <v>0.14652777777777778</v>
      </c>
      <c r="H99" t="s">
        <v>426</v>
      </c>
      <c r="I99" t="s">
        <v>485</v>
      </c>
      <c r="J99" t="str">
        <f t="shared" si="2"/>
        <v>Nu</v>
      </c>
    </row>
    <row r="100" spans="1:10" x14ac:dyDescent="0.2">
      <c r="A100" t="s">
        <v>139</v>
      </c>
      <c r="B100" t="s">
        <v>46</v>
      </c>
      <c r="C100">
        <v>7943160</v>
      </c>
      <c r="D100" s="3">
        <f t="shared" si="4"/>
        <v>39715.800000000003</v>
      </c>
      <c r="E100" s="2">
        <v>44209</v>
      </c>
      <c r="F100" s="2">
        <v>44441</v>
      </c>
      <c r="G100" s="21">
        <v>0.16874999999999998</v>
      </c>
      <c r="H100" t="s">
        <v>429</v>
      </c>
      <c r="I100" t="s">
        <v>420</v>
      </c>
      <c r="J100" t="str">
        <f t="shared" si="2"/>
        <v>Nu</v>
      </c>
    </row>
    <row r="101" spans="1:10" x14ac:dyDescent="0.2">
      <c r="A101" t="s">
        <v>148</v>
      </c>
      <c r="B101" t="s">
        <v>149</v>
      </c>
      <c r="C101">
        <v>7942778</v>
      </c>
      <c r="D101" s="3">
        <f t="shared" si="4"/>
        <v>39713.89</v>
      </c>
      <c r="E101" s="2">
        <v>44309</v>
      </c>
      <c r="F101" s="2">
        <v>44441</v>
      </c>
      <c r="G101" s="21">
        <v>0.19930555555555554</v>
      </c>
      <c r="H101" t="s">
        <v>424</v>
      </c>
      <c r="I101" t="s">
        <v>468</v>
      </c>
      <c r="J101" t="str">
        <f t="shared" si="2"/>
        <v>Nu</v>
      </c>
    </row>
    <row r="102" spans="1:10" x14ac:dyDescent="0.2">
      <c r="A102" t="s">
        <v>373</v>
      </c>
      <c r="B102" t="s">
        <v>52</v>
      </c>
      <c r="C102">
        <v>7880253</v>
      </c>
      <c r="D102" s="3">
        <f t="shared" si="4"/>
        <v>39401.264999999999</v>
      </c>
      <c r="E102" s="2">
        <v>44256</v>
      </c>
      <c r="F102" s="2">
        <v>44441</v>
      </c>
      <c r="G102" s="21">
        <v>0.12361111111111112</v>
      </c>
      <c r="H102" t="s">
        <v>433</v>
      </c>
      <c r="I102" t="s">
        <v>468</v>
      </c>
      <c r="J102" t="str">
        <f t="shared" si="2"/>
        <v>Nu</v>
      </c>
    </row>
    <row r="103" spans="1:10" x14ac:dyDescent="0.2">
      <c r="A103" t="s">
        <v>256</v>
      </c>
      <c r="B103" t="s">
        <v>257</v>
      </c>
      <c r="C103">
        <v>7666991</v>
      </c>
      <c r="D103" s="3">
        <f t="shared" si="4"/>
        <v>38334.955000000002</v>
      </c>
      <c r="E103" s="2">
        <v>44307</v>
      </c>
      <c r="F103" s="2">
        <v>44441</v>
      </c>
      <c r="G103" s="21">
        <v>0.14583333333333334</v>
      </c>
      <c r="H103" t="s">
        <v>416</v>
      </c>
      <c r="I103" t="s">
        <v>486</v>
      </c>
      <c r="J103" t="str">
        <f t="shared" si="2"/>
        <v>Nu</v>
      </c>
    </row>
    <row r="104" spans="1:10" x14ac:dyDescent="0.2">
      <c r="A104" t="s">
        <v>155</v>
      </c>
      <c r="B104" t="s">
        <v>156</v>
      </c>
      <c r="C104">
        <v>7655152</v>
      </c>
      <c r="D104" s="3">
        <f t="shared" si="4"/>
        <v>38275.760000000002</v>
      </c>
      <c r="E104" s="2">
        <v>44245</v>
      </c>
      <c r="F104" s="2">
        <v>44441</v>
      </c>
      <c r="G104" s="21">
        <v>0.10069444444444443</v>
      </c>
      <c r="H104" t="s">
        <v>428</v>
      </c>
      <c r="I104" t="s">
        <v>468</v>
      </c>
      <c r="J104" t="str">
        <f t="shared" si="2"/>
        <v>Nu</v>
      </c>
    </row>
    <row r="105" spans="1:10" x14ac:dyDescent="0.2">
      <c r="A105" t="s">
        <v>338</v>
      </c>
      <c r="B105" t="s">
        <v>339</v>
      </c>
      <c r="C105">
        <v>7641025</v>
      </c>
      <c r="D105" s="3">
        <f t="shared" si="4"/>
        <v>38205.125</v>
      </c>
      <c r="E105" s="2">
        <v>44427</v>
      </c>
      <c r="F105" s="2">
        <v>44441</v>
      </c>
      <c r="G105" s="21">
        <v>0.20625000000000002</v>
      </c>
      <c r="H105" t="s">
        <v>434</v>
      </c>
      <c r="I105" t="s">
        <v>468</v>
      </c>
      <c r="J105" t="str">
        <f t="shared" si="2"/>
        <v>Da</v>
      </c>
    </row>
    <row r="106" spans="1:10" x14ac:dyDescent="0.2">
      <c r="A106" t="s">
        <v>445</v>
      </c>
      <c r="B106" t="s">
        <v>140</v>
      </c>
      <c r="C106">
        <v>7601207</v>
      </c>
      <c r="D106" s="3">
        <f t="shared" si="4"/>
        <v>38006.035000000003</v>
      </c>
      <c r="E106" s="2">
        <v>44389</v>
      </c>
      <c r="F106" s="2">
        <v>44441</v>
      </c>
      <c r="G106" s="21">
        <v>0.20694444444444446</v>
      </c>
      <c r="H106" t="s">
        <v>434</v>
      </c>
      <c r="I106" t="s">
        <v>468</v>
      </c>
      <c r="J106" t="str">
        <f t="shared" si="2"/>
        <v>Da</v>
      </c>
    </row>
    <row r="107" spans="1:10" x14ac:dyDescent="0.2">
      <c r="A107" t="s">
        <v>249</v>
      </c>
      <c r="B107" t="s">
        <v>250</v>
      </c>
      <c r="C107">
        <v>7551849</v>
      </c>
      <c r="D107" s="3">
        <f>(C107/1000*5)</f>
        <v>37759.245000000003</v>
      </c>
      <c r="E107" s="2">
        <v>44340</v>
      </c>
      <c r="F107" s="2">
        <v>44441</v>
      </c>
      <c r="G107" s="21">
        <v>0.23541666666666669</v>
      </c>
      <c r="H107" t="s">
        <v>418</v>
      </c>
      <c r="I107" t="s">
        <v>487</v>
      </c>
      <c r="J107" t="str">
        <f t="shared" si="2"/>
        <v>Da</v>
      </c>
    </row>
    <row r="108" spans="1:10" x14ac:dyDescent="0.2">
      <c r="A108" t="s">
        <v>170</v>
      </c>
      <c r="B108" t="s">
        <v>171</v>
      </c>
      <c r="C108">
        <v>7454420</v>
      </c>
      <c r="D108" s="3">
        <f t="shared" ref="D108:D122" si="5">(C108/1000*5)</f>
        <v>37272.1</v>
      </c>
      <c r="E108" s="2">
        <v>44446</v>
      </c>
      <c r="F108" s="2">
        <v>44441</v>
      </c>
      <c r="G108" s="21">
        <v>9.5138888888888884E-2</v>
      </c>
      <c r="H108" t="s">
        <v>434</v>
      </c>
      <c r="I108" t="s">
        <v>468</v>
      </c>
      <c r="J108" t="str">
        <f t="shared" si="2"/>
        <v>Nu</v>
      </c>
    </row>
    <row r="109" spans="1:10" x14ac:dyDescent="0.2">
      <c r="A109" t="s">
        <v>374</v>
      </c>
      <c r="B109" t="s">
        <v>52</v>
      </c>
      <c r="C109">
        <v>7405936</v>
      </c>
      <c r="D109" s="3">
        <f t="shared" si="5"/>
        <v>37029.68</v>
      </c>
      <c r="E109" s="2">
        <v>44357</v>
      </c>
      <c r="F109" s="2">
        <v>44441</v>
      </c>
      <c r="G109" s="21">
        <v>0.14444444444444446</v>
      </c>
      <c r="H109" t="s">
        <v>422</v>
      </c>
      <c r="I109" t="s">
        <v>468</v>
      </c>
      <c r="J109" t="str">
        <f t="shared" si="2"/>
        <v>Nu</v>
      </c>
    </row>
    <row r="110" spans="1:10" x14ac:dyDescent="0.2">
      <c r="A110" t="s">
        <v>208</v>
      </c>
      <c r="B110" t="s">
        <v>488</v>
      </c>
      <c r="C110">
        <v>7403450</v>
      </c>
      <c r="D110" s="3">
        <f t="shared" si="5"/>
        <v>37017.25</v>
      </c>
      <c r="E110" s="2">
        <v>44452</v>
      </c>
      <c r="F110" s="2">
        <v>44441</v>
      </c>
      <c r="G110" s="21">
        <v>0.13819444444444443</v>
      </c>
      <c r="H110" t="s">
        <v>423</v>
      </c>
      <c r="I110" t="s">
        <v>486</v>
      </c>
      <c r="J110" t="str">
        <f t="shared" si="2"/>
        <v>Nu</v>
      </c>
    </row>
    <row r="111" spans="1:10" x14ac:dyDescent="0.2">
      <c r="A111" t="s">
        <v>272</v>
      </c>
      <c r="B111" t="s">
        <v>273</v>
      </c>
      <c r="C111">
        <v>7346918</v>
      </c>
      <c r="D111" s="3">
        <f t="shared" si="5"/>
        <v>36734.589999999997</v>
      </c>
      <c r="E111" s="2">
        <v>44360</v>
      </c>
      <c r="F111" s="2">
        <v>44441</v>
      </c>
      <c r="G111" s="21">
        <v>0.15694444444444444</v>
      </c>
      <c r="H111" t="s">
        <v>422</v>
      </c>
      <c r="I111" t="s">
        <v>485</v>
      </c>
      <c r="J111" t="str">
        <f t="shared" si="2"/>
        <v>Nu</v>
      </c>
    </row>
    <row r="112" spans="1:10" x14ac:dyDescent="0.2">
      <c r="A112" t="s">
        <v>290</v>
      </c>
      <c r="B112" t="s">
        <v>158</v>
      </c>
      <c r="C112">
        <v>7311942</v>
      </c>
      <c r="D112" s="3">
        <f t="shared" si="5"/>
        <v>36559.71</v>
      </c>
      <c r="E112" s="2">
        <v>44208</v>
      </c>
      <c r="F112" s="2">
        <v>44441</v>
      </c>
      <c r="G112" s="21">
        <v>0.16527777777777777</v>
      </c>
      <c r="H112" t="s">
        <v>433</v>
      </c>
      <c r="I112" t="s">
        <v>468</v>
      </c>
      <c r="J112" t="str">
        <f t="shared" si="2"/>
        <v>Nu</v>
      </c>
    </row>
    <row r="113" spans="1:10" x14ac:dyDescent="0.2">
      <c r="A113" t="s">
        <v>146</v>
      </c>
      <c r="B113" t="s">
        <v>147</v>
      </c>
      <c r="C113">
        <v>7163894</v>
      </c>
      <c r="D113" s="3">
        <f t="shared" si="5"/>
        <v>35819.47</v>
      </c>
      <c r="E113" s="2">
        <v>44370</v>
      </c>
      <c r="F113" s="2">
        <v>44441</v>
      </c>
      <c r="G113" s="21">
        <v>0.15972222222222224</v>
      </c>
      <c r="H113" t="s">
        <v>423</v>
      </c>
      <c r="I113" t="s">
        <v>468</v>
      </c>
      <c r="J113" t="str">
        <f t="shared" si="2"/>
        <v>Nu</v>
      </c>
    </row>
    <row r="114" spans="1:10" x14ac:dyDescent="0.2">
      <c r="A114" t="s">
        <v>194</v>
      </c>
      <c r="B114" t="s">
        <v>12</v>
      </c>
      <c r="C114">
        <v>7105986</v>
      </c>
      <c r="D114" s="3">
        <f t="shared" si="5"/>
        <v>35529.93</v>
      </c>
      <c r="E114" s="2">
        <v>44262</v>
      </c>
      <c r="F114" s="2">
        <v>44441</v>
      </c>
      <c r="G114" s="21">
        <v>0.10833333333333334</v>
      </c>
      <c r="H114" t="s">
        <v>418</v>
      </c>
      <c r="I114" t="s">
        <v>468</v>
      </c>
      <c r="J114" t="str">
        <f t="shared" si="2"/>
        <v>Nu</v>
      </c>
    </row>
    <row r="115" spans="1:10" x14ac:dyDescent="0.2">
      <c r="A115" t="s">
        <v>157</v>
      </c>
      <c r="B115" t="s">
        <v>158</v>
      </c>
      <c r="C115">
        <v>7085474</v>
      </c>
      <c r="D115" s="3">
        <f t="shared" si="5"/>
        <v>35427.370000000003</v>
      </c>
      <c r="E115" s="2">
        <v>44245</v>
      </c>
      <c r="F115" s="2">
        <v>44441</v>
      </c>
      <c r="G115" s="21">
        <v>0.14305555555555557</v>
      </c>
      <c r="H115" t="s">
        <v>422</v>
      </c>
      <c r="I115" t="s">
        <v>468</v>
      </c>
      <c r="J115" t="str">
        <f t="shared" si="2"/>
        <v>Nu</v>
      </c>
    </row>
    <row r="116" spans="1:10" x14ac:dyDescent="0.2">
      <c r="A116" t="s">
        <v>236</v>
      </c>
      <c r="B116" t="s">
        <v>17</v>
      </c>
      <c r="C116">
        <v>7045689</v>
      </c>
      <c r="D116" s="3">
        <f t="shared" si="5"/>
        <v>35228.445</v>
      </c>
      <c r="E116" s="2">
        <v>44347</v>
      </c>
      <c r="F116" s="2">
        <v>44441</v>
      </c>
      <c r="G116" s="21">
        <v>0.12013888888888889</v>
      </c>
      <c r="H116" t="s">
        <v>423</v>
      </c>
      <c r="I116" t="s">
        <v>468</v>
      </c>
      <c r="J116" t="str">
        <f t="shared" si="2"/>
        <v>Nu</v>
      </c>
    </row>
    <row r="117" spans="1:10" x14ac:dyDescent="0.2">
      <c r="A117" t="s">
        <v>161</v>
      </c>
      <c r="B117" t="s">
        <v>162</v>
      </c>
      <c r="C117">
        <v>7034700</v>
      </c>
      <c r="D117" s="3">
        <f t="shared" si="5"/>
        <v>35173.5</v>
      </c>
      <c r="E117" s="2">
        <v>44408</v>
      </c>
      <c r="F117" s="2">
        <v>44441</v>
      </c>
      <c r="G117" s="21">
        <v>0.15277777777777776</v>
      </c>
      <c r="H117" t="s">
        <v>423</v>
      </c>
      <c r="I117" t="s">
        <v>470</v>
      </c>
      <c r="J117" t="str">
        <f t="shared" si="2"/>
        <v>Nu</v>
      </c>
    </row>
    <row r="118" spans="1:10" x14ac:dyDescent="0.2">
      <c r="A118" t="s">
        <v>153</v>
      </c>
      <c r="B118" t="s">
        <v>154</v>
      </c>
      <c r="C118">
        <v>6995145</v>
      </c>
      <c r="D118" s="3">
        <f t="shared" si="5"/>
        <v>34975.725000000006</v>
      </c>
      <c r="E118" s="2">
        <v>44307</v>
      </c>
      <c r="F118" s="2">
        <v>44441</v>
      </c>
      <c r="G118" s="21">
        <v>0.15069444444444444</v>
      </c>
      <c r="H118" t="s">
        <v>422</v>
      </c>
      <c r="I118" t="s">
        <v>468</v>
      </c>
      <c r="J118" t="str">
        <f t="shared" si="2"/>
        <v>Nu</v>
      </c>
    </row>
    <row r="119" spans="1:10" x14ac:dyDescent="0.2">
      <c r="A119" t="s">
        <v>452</v>
      </c>
      <c r="B119" t="s">
        <v>233</v>
      </c>
      <c r="C119">
        <v>6982261</v>
      </c>
      <c r="D119" s="3">
        <f t="shared" si="5"/>
        <v>34911.305</v>
      </c>
      <c r="E119" s="2">
        <v>44341</v>
      </c>
      <c r="F119" s="2">
        <v>44441</v>
      </c>
      <c r="G119" s="21">
        <v>0.14097222222222222</v>
      </c>
      <c r="H119" t="s">
        <v>423</v>
      </c>
      <c r="I119" t="s">
        <v>468</v>
      </c>
      <c r="J119" t="str">
        <f t="shared" si="2"/>
        <v>Da</v>
      </c>
    </row>
    <row r="120" spans="1:10" x14ac:dyDescent="0.2">
      <c r="A120" t="s">
        <v>179</v>
      </c>
      <c r="B120" t="s">
        <v>180</v>
      </c>
      <c r="C120">
        <v>6934161</v>
      </c>
      <c r="D120" s="3">
        <f t="shared" si="5"/>
        <v>34670.805</v>
      </c>
      <c r="E120" s="2">
        <v>44303</v>
      </c>
      <c r="F120" s="2">
        <v>44441</v>
      </c>
      <c r="G120" s="21">
        <v>0.15902777777777777</v>
      </c>
      <c r="H120" t="s">
        <v>423</v>
      </c>
      <c r="I120" t="s">
        <v>482</v>
      </c>
      <c r="J120" t="str">
        <f t="shared" si="2"/>
        <v>Nu</v>
      </c>
    </row>
    <row r="121" spans="1:10" x14ac:dyDescent="0.2">
      <c r="A121" t="s">
        <v>130</v>
      </c>
      <c r="B121" t="s">
        <v>23</v>
      </c>
      <c r="C121">
        <v>6914663</v>
      </c>
      <c r="D121" s="3">
        <f t="shared" si="5"/>
        <v>34573.314999999995</v>
      </c>
      <c r="E121" s="2">
        <v>44385</v>
      </c>
      <c r="F121" s="2">
        <v>44441</v>
      </c>
      <c r="G121" s="21">
        <v>0.16805555555555554</v>
      </c>
      <c r="H121" t="s">
        <v>418</v>
      </c>
      <c r="I121" t="s">
        <v>468</v>
      </c>
      <c r="J121" t="str">
        <f t="shared" si="2"/>
        <v>Da</v>
      </c>
    </row>
    <row r="122" spans="1:10" x14ac:dyDescent="0.2">
      <c r="A122" t="s">
        <v>460</v>
      </c>
      <c r="B122" t="s">
        <v>375</v>
      </c>
      <c r="C122">
        <v>6894638</v>
      </c>
      <c r="D122" s="3">
        <f t="shared" si="5"/>
        <v>34473.19</v>
      </c>
      <c r="E122" s="2">
        <v>44427</v>
      </c>
      <c r="F122" s="2">
        <v>44441</v>
      </c>
      <c r="G122" s="21">
        <v>0.13749999999999998</v>
      </c>
      <c r="H122" t="s">
        <v>424</v>
      </c>
      <c r="I122" t="s">
        <v>468</v>
      </c>
      <c r="J122" t="str">
        <f t="shared" si="2"/>
        <v>Da</v>
      </c>
    </row>
    <row r="123" spans="1:10" x14ac:dyDescent="0.2">
      <c r="A123" t="s">
        <v>152</v>
      </c>
      <c r="B123" t="s">
        <v>106</v>
      </c>
      <c r="C123">
        <v>6886210</v>
      </c>
      <c r="D123" s="3">
        <f>(C123/1000*5)</f>
        <v>34431.050000000003</v>
      </c>
      <c r="E123" s="2">
        <v>44226</v>
      </c>
      <c r="F123" s="2">
        <v>44441</v>
      </c>
      <c r="G123" s="21">
        <v>0.13541666666666666</v>
      </c>
      <c r="H123" t="s">
        <v>423</v>
      </c>
      <c r="I123" t="s">
        <v>484</v>
      </c>
      <c r="J123" t="str">
        <f t="shared" si="2"/>
        <v>Nu</v>
      </c>
    </row>
    <row r="124" spans="1:10" x14ac:dyDescent="0.2">
      <c r="A124" t="s">
        <v>172</v>
      </c>
      <c r="B124" t="s">
        <v>173</v>
      </c>
      <c r="C124">
        <v>6845694</v>
      </c>
      <c r="D124" s="3">
        <f t="shared" ref="D124:D138" si="6">(C124/1000*5)</f>
        <v>34228.47</v>
      </c>
      <c r="E124" s="2">
        <v>44227</v>
      </c>
      <c r="F124" s="2">
        <v>44441</v>
      </c>
      <c r="G124" s="21">
        <v>0.23124999999999998</v>
      </c>
      <c r="H124" t="s">
        <v>423</v>
      </c>
      <c r="I124" t="s">
        <v>468</v>
      </c>
      <c r="J124" t="str">
        <f t="shared" si="2"/>
        <v>Nu</v>
      </c>
    </row>
    <row r="125" spans="1:10" x14ac:dyDescent="0.2">
      <c r="A125" t="s">
        <v>186</v>
      </c>
      <c r="B125" t="s">
        <v>38</v>
      </c>
      <c r="C125">
        <v>6790759</v>
      </c>
      <c r="D125" s="3">
        <f t="shared" si="6"/>
        <v>33953.794999999998</v>
      </c>
      <c r="E125" s="2">
        <v>44315</v>
      </c>
      <c r="F125" s="2">
        <v>44441</v>
      </c>
      <c r="G125" s="21">
        <v>0.14097222222222222</v>
      </c>
      <c r="H125" t="s">
        <v>418</v>
      </c>
      <c r="I125" t="s">
        <v>469</v>
      </c>
      <c r="J125" t="str">
        <f t="shared" si="2"/>
        <v>Nu</v>
      </c>
    </row>
    <row r="126" spans="1:10" x14ac:dyDescent="0.2">
      <c r="A126" t="s">
        <v>197</v>
      </c>
      <c r="B126" t="s">
        <v>1</v>
      </c>
      <c r="C126">
        <v>6753205</v>
      </c>
      <c r="D126" s="3">
        <f t="shared" si="6"/>
        <v>33766.025000000001</v>
      </c>
      <c r="E126" s="2">
        <v>44243</v>
      </c>
      <c r="F126" s="2">
        <v>44441</v>
      </c>
      <c r="G126" s="21">
        <v>0.11388888888888889</v>
      </c>
      <c r="H126" t="s">
        <v>418</v>
      </c>
      <c r="I126" t="s">
        <v>470</v>
      </c>
      <c r="J126" t="str">
        <f t="shared" si="2"/>
        <v>Da</v>
      </c>
    </row>
    <row r="127" spans="1:10" x14ac:dyDescent="0.2">
      <c r="A127" t="s">
        <v>336</v>
      </c>
      <c r="B127" t="s">
        <v>337</v>
      </c>
      <c r="C127">
        <v>6661269</v>
      </c>
      <c r="D127" s="3">
        <f t="shared" si="6"/>
        <v>33306.345000000001</v>
      </c>
      <c r="E127" s="2">
        <v>44304</v>
      </c>
      <c r="F127" s="2">
        <v>44441</v>
      </c>
      <c r="G127" s="21">
        <v>0.14930555555555555</v>
      </c>
      <c r="H127" t="s">
        <v>423</v>
      </c>
      <c r="I127" t="s">
        <v>472</v>
      </c>
      <c r="J127" t="str">
        <f t="shared" si="2"/>
        <v>Nu</v>
      </c>
    </row>
    <row r="128" spans="1:10" x14ac:dyDescent="0.2">
      <c r="A128" t="s">
        <v>376</v>
      </c>
      <c r="B128" t="s">
        <v>52</v>
      </c>
      <c r="C128">
        <v>6621001</v>
      </c>
      <c r="D128" s="3">
        <f t="shared" si="6"/>
        <v>33105.005000000005</v>
      </c>
      <c r="E128" s="2">
        <v>44275</v>
      </c>
      <c r="F128" s="2">
        <v>44441</v>
      </c>
      <c r="G128" s="21">
        <v>0.11388888888888889</v>
      </c>
      <c r="H128" t="s">
        <v>418</v>
      </c>
      <c r="I128" t="s">
        <v>468</v>
      </c>
      <c r="J128" t="str">
        <f t="shared" si="2"/>
        <v>Nu</v>
      </c>
    </row>
    <row r="129" spans="1:10" x14ac:dyDescent="0.2">
      <c r="A129" t="s">
        <v>163</v>
      </c>
      <c r="B129" t="s">
        <v>164</v>
      </c>
      <c r="C129">
        <v>6574515</v>
      </c>
      <c r="D129" s="3">
        <f t="shared" si="6"/>
        <v>32872.575000000004</v>
      </c>
      <c r="E129" s="2">
        <v>44412</v>
      </c>
      <c r="F129" s="2">
        <v>44441</v>
      </c>
      <c r="G129" s="21">
        <v>0.10069444444444443</v>
      </c>
      <c r="H129" t="s">
        <v>423</v>
      </c>
      <c r="I129" t="s">
        <v>468</v>
      </c>
      <c r="J129" t="str">
        <f t="shared" si="2"/>
        <v>Nu</v>
      </c>
    </row>
    <row r="130" spans="1:10" x14ac:dyDescent="0.2">
      <c r="A130" t="s">
        <v>136</v>
      </c>
      <c r="B130" t="s">
        <v>10</v>
      </c>
      <c r="C130">
        <v>6548141</v>
      </c>
      <c r="D130" s="3">
        <f t="shared" si="6"/>
        <v>32740.704999999998</v>
      </c>
      <c r="E130" s="2">
        <v>44240</v>
      </c>
      <c r="F130" s="2">
        <v>44441</v>
      </c>
      <c r="G130" s="21">
        <v>0.13958333333333334</v>
      </c>
      <c r="H130" t="s">
        <v>422</v>
      </c>
      <c r="I130" t="s">
        <v>469</v>
      </c>
      <c r="J130" t="str">
        <f t="shared" ref="J130:J193" si="7">IF(ISNUMBER(SEARCH("with",A130)),"Da","Nu")</f>
        <v>Nu</v>
      </c>
    </row>
    <row r="131" spans="1:10" x14ac:dyDescent="0.2">
      <c r="A131" t="s">
        <v>253</v>
      </c>
      <c r="B131" t="s">
        <v>34</v>
      </c>
      <c r="C131">
        <v>6547678</v>
      </c>
      <c r="D131" s="3">
        <f t="shared" si="6"/>
        <v>32738.39</v>
      </c>
      <c r="E131" s="2">
        <v>44454</v>
      </c>
      <c r="F131" s="2">
        <v>44441</v>
      </c>
      <c r="G131" s="21">
        <v>0.17500000000000002</v>
      </c>
      <c r="H131" t="s">
        <v>432</v>
      </c>
      <c r="I131" t="s">
        <v>472</v>
      </c>
      <c r="J131" t="str">
        <f t="shared" si="7"/>
        <v>Nu</v>
      </c>
    </row>
    <row r="132" spans="1:10" x14ac:dyDescent="0.2">
      <c r="A132" t="s">
        <v>168</v>
      </c>
      <c r="B132" t="s">
        <v>158</v>
      </c>
      <c r="C132">
        <v>6545416</v>
      </c>
      <c r="D132" s="3">
        <f t="shared" si="6"/>
        <v>32727.08</v>
      </c>
      <c r="E132" s="2">
        <v>44464</v>
      </c>
      <c r="F132" s="2">
        <v>44441</v>
      </c>
      <c r="G132" s="21">
        <v>0.12361111111111112</v>
      </c>
      <c r="H132" t="s">
        <v>418</v>
      </c>
      <c r="I132" t="s">
        <v>468</v>
      </c>
      <c r="J132" t="str">
        <f t="shared" si="7"/>
        <v>Nu</v>
      </c>
    </row>
    <row r="133" spans="1:10" x14ac:dyDescent="0.2">
      <c r="A133" t="s">
        <v>169</v>
      </c>
      <c r="B133" t="s">
        <v>10</v>
      </c>
      <c r="C133">
        <v>6506168</v>
      </c>
      <c r="D133" s="3">
        <f t="shared" si="6"/>
        <v>32530.839999999997</v>
      </c>
      <c r="E133" s="2">
        <v>44309</v>
      </c>
      <c r="F133" s="2">
        <v>44441</v>
      </c>
      <c r="G133" s="21">
        <v>0.1076388888888889</v>
      </c>
      <c r="H133" t="s">
        <v>418</v>
      </c>
      <c r="I133" t="s">
        <v>469</v>
      </c>
      <c r="J133" t="str">
        <f t="shared" si="7"/>
        <v>Nu</v>
      </c>
    </row>
    <row r="134" spans="1:10" x14ac:dyDescent="0.2">
      <c r="A134" t="s">
        <v>159</v>
      </c>
      <c r="B134" t="s">
        <v>160</v>
      </c>
      <c r="C134">
        <v>6496714</v>
      </c>
      <c r="D134" s="3">
        <f t="shared" si="6"/>
        <v>32483.57</v>
      </c>
      <c r="E134" s="2">
        <v>44329</v>
      </c>
      <c r="F134" s="2">
        <v>44441</v>
      </c>
      <c r="G134" s="21">
        <v>0.14930555555555555</v>
      </c>
      <c r="H134" t="s">
        <v>428</v>
      </c>
      <c r="I134" t="s">
        <v>468</v>
      </c>
      <c r="J134" t="str">
        <f t="shared" si="7"/>
        <v>Nu</v>
      </c>
    </row>
    <row r="135" spans="1:10" x14ac:dyDescent="0.2">
      <c r="A135" t="s">
        <v>341</v>
      </c>
      <c r="B135" t="s">
        <v>132</v>
      </c>
      <c r="C135">
        <v>6495643</v>
      </c>
      <c r="D135" s="3">
        <f t="shared" si="6"/>
        <v>32478.215</v>
      </c>
      <c r="E135" s="2">
        <v>44370</v>
      </c>
      <c r="F135" s="2">
        <v>44441</v>
      </c>
      <c r="G135" s="21">
        <v>0.12986111111111112</v>
      </c>
      <c r="H135" t="s">
        <v>422</v>
      </c>
      <c r="I135" t="s">
        <v>474</v>
      </c>
      <c r="J135" t="str">
        <f t="shared" si="7"/>
        <v>Nu</v>
      </c>
    </row>
    <row r="136" spans="1:10" x14ac:dyDescent="0.2">
      <c r="A136" t="s">
        <v>449</v>
      </c>
      <c r="B136" t="s">
        <v>76</v>
      </c>
      <c r="C136">
        <v>6469004</v>
      </c>
      <c r="D136" s="3">
        <f t="shared" si="6"/>
        <v>32345.02</v>
      </c>
      <c r="E136" s="2">
        <v>44391</v>
      </c>
      <c r="F136" s="2">
        <v>44441</v>
      </c>
      <c r="G136" s="21">
        <v>0.10208333333333335</v>
      </c>
      <c r="H136" t="s">
        <v>418</v>
      </c>
      <c r="I136" t="s">
        <v>469</v>
      </c>
      <c r="J136" t="str">
        <f t="shared" si="7"/>
        <v>Da</v>
      </c>
    </row>
    <row r="137" spans="1:10" x14ac:dyDescent="0.2">
      <c r="A137" t="s">
        <v>441</v>
      </c>
      <c r="B137" t="s">
        <v>76</v>
      </c>
      <c r="C137">
        <v>6413378</v>
      </c>
      <c r="D137" s="3">
        <f t="shared" si="6"/>
        <v>32066.89</v>
      </c>
      <c r="E137" s="2">
        <v>44370</v>
      </c>
      <c r="F137" s="2">
        <v>44441</v>
      </c>
      <c r="G137" s="21">
        <v>0.18124999999999999</v>
      </c>
      <c r="H137" t="s">
        <v>433</v>
      </c>
      <c r="I137" t="s">
        <v>469</v>
      </c>
      <c r="J137" t="str">
        <f t="shared" si="7"/>
        <v>Da</v>
      </c>
    </row>
    <row r="138" spans="1:10" x14ac:dyDescent="0.2">
      <c r="A138" t="s">
        <v>377</v>
      </c>
      <c r="B138" t="s">
        <v>378</v>
      </c>
      <c r="C138">
        <v>6350650</v>
      </c>
      <c r="D138" s="3">
        <f t="shared" si="6"/>
        <v>31753.25</v>
      </c>
      <c r="E138" s="2">
        <v>43882</v>
      </c>
      <c r="F138" s="2">
        <v>44441</v>
      </c>
      <c r="G138" s="21">
        <v>0.13680555555555554</v>
      </c>
      <c r="H138" t="s">
        <v>433</v>
      </c>
      <c r="I138" t="s">
        <v>468</v>
      </c>
      <c r="J138" t="str">
        <f t="shared" si="7"/>
        <v>Nu</v>
      </c>
    </row>
    <row r="139" spans="1:10" x14ac:dyDescent="0.2">
      <c r="A139" t="s">
        <v>444</v>
      </c>
      <c r="B139" t="s">
        <v>121</v>
      </c>
      <c r="C139">
        <v>6326405</v>
      </c>
      <c r="D139" s="3">
        <f>(C139/1000*5)</f>
        <v>31632.024999999998</v>
      </c>
      <c r="E139" s="2">
        <v>43945</v>
      </c>
      <c r="F139" s="2">
        <v>44441</v>
      </c>
      <c r="G139" s="21">
        <v>9.0277777777777776E-2</v>
      </c>
      <c r="H139" t="s">
        <v>416</v>
      </c>
      <c r="I139" t="s">
        <v>420</v>
      </c>
      <c r="J139" t="str">
        <f t="shared" si="7"/>
        <v>Da</v>
      </c>
    </row>
    <row r="140" spans="1:10" x14ac:dyDescent="0.2">
      <c r="A140" t="s">
        <v>325</v>
      </c>
      <c r="B140" t="s">
        <v>326</v>
      </c>
      <c r="C140">
        <v>6298038</v>
      </c>
      <c r="D140" s="3">
        <f t="shared" ref="D140:D146" si="8">(C140/1000*5)</f>
        <v>31490.19</v>
      </c>
      <c r="E140" s="2">
        <v>42909</v>
      </c>
      <c r="F140" s="2">
        <v>44441</v>
      </c>
      <c r="G140" s="21">
        <v>0.13749999999999998</v>
      </c>
      <c r="H140" t="s">
        <v>428</v>
      </c>
      <c r="I140" t="s">
        <v>486</v>
      </c>
      <c r="J140" t="str">
        <f t="shared" si="7"/>
        <v>Nu</v>
      </c>
    </row>
    <row r="141" spans="1:10" x14ac:dyDescent="0.2">
      <c r="A141" t="s">
        <v>230</v>
      </c>
      <c r="B141" t="s">
        <v>231</v>
      </c>
      <c r="C141">
        <v>6276595</v>
      </c>
      <c r="D141" s="3">
        <f t="shared" si="8"/>
        <v>31382.975000000002</v>
      </c>
      <c r="E141" s="2">
        <v>44339</v>
      </c>
      <c r="F141" s="2">
        <v>44441</v>
      </c>
      <c r="G141" s="21">
        <v>0.16805555555555554</v>
      </c>
      <c r="H141" t="s">
        <v>423</v>
      </c>
      <c r="I141" t="s">
        <v>476</v>
      </c>
      <c r="J141" t="str">
        <f t="shared" si="7"/>
        <v>Nu</v>
      </c>
    </row>
    <row r="142" spans="1:10" x14ac:dyDescent="0.2">
      <c r="A142" t="s">
        <v>218</v>
      </c>
      <c r="B142" t="s">
        <v>219</v>
      </c>
      <c r="C142">
        <v>6233421</v>
      </c>
      <c r="D142" s="3">
        <f t="shared" si="8"/>
        <v>31167.105000000003</v>
      </c>
      <c r="E142" s="2">
        <v>44320</v>
      </c>
      <c r="F142" s="2">
        <v>44441</v>
      </c>
      <c r="G142" s="21">
        <v>0.18958333333333333</v>
      </c>
      <c r="H142" t="s">
        <v>422</v>
      </c>
      <c r="I142" t="s">
        <v>472</v>
      </c>
      <c r="J142" t="str">
        <f t="shared" si="7"/>
        <v>Nu</v>
      </c>
    </row>
    <row r="143" spans="1:10" x14ac:dyDescent="0.2">
      <c r="A143" t="s">
        <v>379</v>
      </c>
      <c r="B143" t="s">
        <v>380</v>
      </c>
      <c r="C143">
        <v>6231650</v>
      </c>
      <c r="D143" s="3">
        <f t="shared" si="8"/>
        <v>31158.25</v>
      </c>
      <c r="E143" s="2">
        <v>44417</v>
      </c>
      <c r="F143" s="2">
        <v>44441</v>
      </c>
      <c r="G143" s="21">
        <v>8.5416666666666655E-2</v>
      </c>
      <c r="H143" t="s">
        <v>433</v>
      </c>
      <c r="I143" t="s">
        <v>489</v>
      </c>
      <c r="J143" t="str">
        <f t="shared" si="7"/>
        <v>Nu</v>
      </c>
    </row>
    <row r="144" spans="1:10" x14ac:dyDescent="0.2">
      <c r="A144" t="s">
        <v>295</v>
      </c>
      <c r="B144" t="s">
        <v>296</v>
      </c>
      <c r="C144">
        <v>6157058</v>
      </c>
      <c r="D144" s="3">
        <f t="shared" si="8"/>
        <v>30785.29</v>
      </c>
      <c r="E144" s="2">
        <v>44214</v>
      </c>
      <c r="F144" s="2">
        <v>44441</v>
      </c>
      <c r="G144" s="21">
        <v>0.11388888888888889</v>
      </c>
      <c r="H144" t="s">
        <v>423</v>
      </c>
      <c r="I144" t="s">
        <v>490</v>
      </c>
      <c r="J144" t="str">
        <f t="shared" si="7"/>
        <v>Nu</v>
      </c>
    </row>
    <row r="145" spans="1:10" x14ac:dyDescent="0.2">
      <c r="A145" t="s">
        <v>254</v>
      </c>
      <c r="B145" t="s">
        <v>255</v>
      </c>
      <c r="C145">
        <v>6153223</v>
      </c>
      <c r="D145" s="3">
        <f t="shared" si="8"/>
        <v>30766.114999999998</v>
      </c>
      <c r="E145" s="2">
        <v>44339</v>
      </c>
      <c r="F145" s="2">
        <v>44441</v>
      </c>
      <c r="G145" s="21">
        <v>0.24861111111111112</v>
      </c>
      <c r="H145" t="s">
        <v>433</v>
      </c>
      <c r="I145" t="s">
        <v>491</v>
      </c>
      <c r="J145" t="str">
        <f t="shared" si="7"/>
        <v>Nu</v>
      </c>
    </row>
    <row r="146" spans="1:10" x14ac:dyDescent="0.2">
      <c r="A146" t="s">
        <v>285</v>
      </c>
      <c r="B146" t="s">
        <v>286</v>
      </c>
      <c r="C146">
        <v>6121532</v>
      </c>
      <c r="D146" s="3">
        <f t="shared" si="8"/>
        <v>30607.66</v>
      </c>
      <c r="E146" s="2">
        <v>44439</v>
      </c>
      <c r="F146" s="2">
        <v>44441</v>
      </c>
      <c r="G146" s="21">
        <v>9.5833333333333326E-2</v>
      </c>
      <c r="H146" t="s">
        <v>423</v>
      </c>
      <c r="I146" t="s">
        <v>469</v>
      </c>
      <c r="J146" t="str">
        <f t="shared" si="7"/>
        <v>Nu</v>
      </c>
    </row>
    <row r="147" spans="1:10" x14ac:dyDescent="0.2">
      <c r="A147" t="s">
        <v>221</v>
      </c>
      <c r="B147" t="s">
        <v>492</v>
      </c>
      <c r="C147">
        <v>6120237</v>
      </c>
      <c r="D147" s="3">
        <f>(C147/1000*5)</f>
        <v>30601.185000000001</v>
      </c>
      <c r="E147" s="2">
        <v>44286</v>
      </c>
      <c r="F147" s="2">
        <v>44441</v>
      </c>
      <c r="G147" s="21">
        <v>8.8888888888888892E-2</v>
      </c>
      <c r="H147" t="s">
        <v>423</v>
      </c>
      <c r="I147" t="s">
        <v>486</v>
      </c>
      <c r="J147" t="str">
        <f t="shared" si="7"/>
        <v>Nu</v>
      </c>
    </row>
    <row r="148" spans="1:10" x14ac:dyDescent="0.2">
      <c r="A148" t="s">
        <v>184</v>
      </c>
      <c r="B148" t="s">
        <v>185</v>
      </c>
      <c r="C148">
        <v>6114059</v>
      </c>
      <c r="D148" s="3">
        <f t="shared" ref="D148:D201" si="9">(C148/1000*5)</f>
        <v>30570.295000000002</v>
      </c>
      <c r="E148" s="2">
        <v>44321</v>
      </c>
      <c r="F148" s="2">
        <v>44441</v>
      </c>
      <c r="G148" s="21">
        <v>0.16805555555555554</v>
      </c>
      <c r="H148" t="s">
        <v>423</v>
      </c>
      <c r="I148" t="s">
        <v>468</v>
      </c>
      <c r="J148" t="str">
        <f t="shared" si="7"/>
        <v>Nu</v>
      </c>
    </row>
    <row r="149" spans="1:10" x14ac:dyDescent="0.2">
      <c r="A149" t="s">
        <v>454</v>
      </c>
      <c r="B149" t="s">
        <v>279</v>
      </c>
      <c r="C149">
        <v>6105892</v>
      </c>
      <c r="D149" s="3">
        <f t="shared" si="9"/>
        <v>30529.46</v>
      </c>
      <c r="E149" s="2">
        <v>44383</v>
      </c>
      <c r="F149" s="2">
        <v>44441</v>
      </c>
      <c r="G149" s="21">
        <v>0.13958333333333334</v>
      </c>
      <c r="H149" t="s">
        <v>423</v>
      </c>
      <c r="I149" t="s">
        <v>478</v>
      </c>
      <c r="J149" t="str">
        <f t="shared" si="7"/>
        <v>Da</v>
      </c>
    </row>
    <row r="150" spans="1:10" x14ac:dyDescent="0.2">
      <c r="A150" t="s">
        <v>448</v>
      </c>
      <c r="B150" t="s">
        <v>207</v>
      </c>
      <c r="C150">
        <v>6082394</v>
      </c>
      <c r="D150" s="3">
        <f t="shared" si="9"/>
        <v>30411.97</v>
      </c>
      <c r="E150" s="2">
        <v>44309</v>
      </c>
      <c r="F150" s="2">
        <v>44441</v>
      </c>
      <c r="G150" s="21">
        <v>0.13333333333333333</v>
      </c>
      <c r="H150" t="s">
        <v>426</v>
      </c>
      <c r="I150" t="s">
        <v>468</v>
      </c>
      <c r="J150" t="str">
        <f t="shared" si="7"/>
        <v>Da</v>
      </c>
    </row>
    <row r="151" spans="1:10" x14ac:dyDescent="0.2">
      <c r="A151" t="s">
        <v>223</v>
      </c>
      <c r="B151" t="s">
        <v>88</v>
      </c>
      <c r="C151">
        <v>6074364</v>
      </c>
      <c r="D151" s="3">
        <f t="shared" si="9"/>
        <v>30371.82</v>
      </c>
      <c r="E151" s="2">
        <v>44351</v>
      </c>
      <c r="F151" s="2">
        <v>44441</v>
      </c>
      <c r="G151" s="21">
        <v>0.15347222222222223</v>
      </c>
      <c r="H151" t="s">
        <v>422</v>
      </c>
      <c r="I151" t="s">
        <v>468</v>
      </c>
      <c r="J151" t="str">
        <f t="shared" si="7"/>
        <v>Nu</v>
      </c>
    </row>
    <row r="152" spans="1:10" x14ac:dyDescent="0.2">
      <c r="A152" t="s">
        <v>198</v>
      </c>
      <c r="B152" t="s">
        <v>138</v>
      </c>
      <c r="C152">
        <v>6005385</v>
      </c>
      <c r="D152" s="3">
        <f t="shared" si="9"/>
        <v>30026.925000000003</v>
      </c>
      <c r="E152" s="2">
        <v>44295</v>
      </c>
      <c r="F152" s="2">
        <v>44441</v>
      </c>
      <c r="G152" s="21">
        <v>0.37361111111111112</v>
      </c>
      <c r="H152" t="s">
        <v>424</v>
      </c>
      <c r="I152" t="s">
        <v>420</v>
      </c>
      <c r="J152" t="str">
        <f t="shared" si="7"/>
        <v>Nu</v>
      </c>
    </row>
    <row r="153" spans="1:10" x14ac:dyDescent="0.2">
      <c r="A153" t="s">
        <v>251</v>
      </c>
      <c r="B153" t="s">
        <v>229</v>
      </c>
      <c r="C153">
        <v>6004042</v>
      </c>
      <c r="D153" s="3">
        <f t="shared" si="9"/>
        <v>30020.210000000003</v>
      </c>
      <c r="E153" s="2">
        <v>44413</v>
      </c>
      <c r="F153" s="2">
        <v>44441</v>
      </c>
      <c r="G153" s="21">
        <v>0.12152777777777778</v>
      </c>
      <c r="H153" t="s">
        <v>423</v>
      </c>
      <c r="I153" t="s">
        <v>468</v>
      </c>
      <c r="J153" t="str">
        <f t="shared" si="7"/>
        <v>Nu</v>
      </c>
    </row>
    <row r="154" spans="1:10" x14ac:dyDescent="0.2">
      <c r="A154" t="s">
        <v>220</v>
      </c>
      <c r="B154" t="s">
        <v>215</v>
      </c>
      <c r="C154">
        <v>6003966</v>
      </c>
      <c r="D154" s="3">
        <f t="shared" si="9"/>
        <v>30019.83</v>
      </c>
      <c r="E154" s="2">
        <v>44412</v>
      </c>
      <c r="F154" s="2">
        <v>44441</v>
      </c>
      <c r="G154" s="21">
        <v>0.1673611111111111</v>
      </c>
      <c r="H154" t="s">
        <v>422</v>
      </c>
      <c r="I154" t="s">
        <v>472</v>
      </c>
      <c r="J154" t="str">
        <f t="shared" si="7"/>
        <v>Nu</v>
      </c>
    </row>
    <row r="155" spans="1:10" x14ac:dyDescent="0.2">
      <c r="A155" t="s">
        <v>191</v>
      </c>
      <c r="B155" t="s">
        <v>192</v>
      </c>
      <c r="C155">
        <v>5998403</v>
      </c>
      <c r="D155" s="3">
        <f t="shared" si="9"/>
        <v>29992.014999999999</v>
      </c>
      <c r="E155" s="2">
        <v>44413</v>
      </c>
      <c r="F155" s="2">
        <v>44441</v>
      </c>
      <c r="G155" s="21">
        <v>0.12013888888888889</v>
      </c>
      <c r="H155" t="s">
        <v>426</v>
      </c>
      <c r="I155" t="s">
        <v>420</v>
      </c>
      <c r="J155" t="str">
        <f t="shared" si="7"/>
        <v>Nu</v>
      </c>
    </row>
    <row r="156" spans="1:10" x14ac:dyDescent="0.2">
      <c r="A156" t="s">
        <v>193</v>
      </c>
      <c r="B156" t="s">
        <v>86</v>
      </c>
      <c r="C156">
        <v>5993917</v>
      </c>
      <c r="D156" s="3">
        <f t="shared" si="9"/>
        <v>29969.585000000003</v>
      </c>
      <c r="E156" s="2">
        <v>44230</v>
      </c>
      <c r="F156" s="2">
        <v>44441</v>
      </c>
      <c r="G156" s="21">
        <v>0.12083333333333333</v>
      </c>
      <c r="H156" t="s">
        <v>423</v>
      </c>
      <c r="I156" t="s">
        <v>468</v>
      </c>
      <c r="J156" t="str">
        <f t="shared" si="7"/>
        <v>Nu</v>
      </c>
    </row>
    <row r="157" spans="1:10" x14ac:dyDescent="0.2">
      <c r="A157" t="s">
        <v>453</v>
      </c>
      <c r="B157" t="s">
        <v>20</v>
      </c>
      <c r="C157">
        <v>5972305</v>
      </c>
      <c r="D157" s="3">
        <f t="shared" si="9"/>
        <v>29861.525000000001</v>
      </c>
      <c r="E157" s="2">
        <v>44381</v>
      </c>
      <c r="F157" s="2">
        <v>44441</v>
      </c>
      <c r="G157" s="21">
        <v>0.14444444444444446</v>
      </c>
      <c r="H157" t="s">
        <v>423</v>
      </c>
      <c r="I157" t="s">
        <v>420</v>
      </c>
      <c r="J157" t="str">
        <f t="shared" si="7"/>
        <v>Da</v>
      </c>
    </row>
    <row r="158" spans="1:10" x14ac:dyDescent="0.2">
      <c r="A158" t="s">
        <v>381</v>
      </c>
      <c r="B158" t="s">
        <v>52</v>
      </c>
      <c r="C158">
        <v>5958383</v>
      </c>
      <c r="D158" s="3">
        <f t="shared" si="9"/>
        <v>29791.915000000001</v>
      </c>
      <c r="E158" s="2">
        <v>44441</v>
      </c>
      <c r="F158" s="2">
        <v>44441</v>
      </c>
      <c r="G158" s="21">
        <v>0.11388888888888889</v>
      </c>
      <c r="H158" t="s">
        <v>422</v>
      </c>
      <c r="I158" t="s">
        <v>468</v>
      </c>
      <c r="J158" t="str">
        <f t="shared" si="7"/>
        <v>Nu</v>
      </c>
    </row>
    <row r="159" spans="1:10" x14ac:dyDescent="0.2">
      <c r="A159" t="s">
        <v>333</v>
      </c>
      <c r="B159" t="s">
        <v>334</v>
      </c>
      <c r="C159">
        <v>5951649</v>
      </c>
      <c r="D159" s="3">
        <f t="shared" si="9"/>
        <v>29758.245000000003</v>
      </c>
      <c r="E159" s="2">
        <v>44351</v>
      </c>
      <c r="F159" s="2">
        <v>44441</v>
      </c>
      <c r="G159" s="21">
        <v>0.11458333333333333</v>
      </c>
      <c r="H159" t="s">
        <v>423</v>
      </c>
      <c r="I159" t="s">
        <v>486</v>
      </c>
      <c r="J159" t="str">
        <f t="shared" si="7"/>
        <v>Nu</v>
      </c>
    </row>
    <row r="160" spans="1:10" x14ac:dyDescent="0.2">
      <c r="A160" t="s">
        <v>382</v>
      </c>
      <c r="B160" t="s">
        <v>383</v>
      </c>
      <c r="C160">
        <v>5924965</v>
      </c>
      <c r="D160" s="3">
        <f t="shared" si="9"/>
        <v>29624.825000000001</v>
      </c>
      <c r="E160" s="2">
        <v>44319</v>
      </c>
      <c r="F160" s="2">
        <v>44441</v>
      </c>
      <c r="G160" s="21">
        <v>0.1423611111111111</v>
      </c>
      <c r="H160" t="s">
        <v>423</v>
      </c>
      <c r="I160" t="s">
        <v>468</v>
      </c>
      <c r="J160" t="str">
        <f t="shared" si="7"/>
        <v>Nu</v>
      </c>
    </row>
    <row r="161" spans="1:10" x14ac:dyDescent="0.2">
      <c r="A161" t="s">
        <v>150</v>
      </c>
      <c r="B161" t="s">
        <v>151</v>
      </c>
      <c r="C161">
        <v>5894508</v>
      </c>
      <c r="D161" s="3">
        <f t="shared" si="9"/>
        <v>29472.54</v>
      </c>
      <c r="E161" s="2">
        <v>44244</v>
      </c>
      <c r="F161" s="2">
        <v>44441</v>
      </c>
      <c r="G161" s="21">
        <v>0.1173611111111111</v>
      </c>
      <c r="H161" t="s">
        <v>418</v>
      </c>
      <c r="I161" t="s">
        <v>486</v>
      </c>
      <c r="J161" t="str">
        <f t="shared" si="7"/>
        <v>Nu</v>
      </c>
    </row>
    <row r="162" spans="1:10" x14ac:dyDescent="0.2">
      <c r="A162" t="s">
        <v>384</v>
      </c>
      <c r="B162" t="s">
        <v>385</v>
      </c>
      <c r="C162">
        <v>5882287</v>
      </c>
      <c r="D162" s="3">
        <f t="shared" si="9"/>
        <v>29411.435000000001</v>
      </c>
      <c r="E162" s="2">
        <v>44227</v>
      </c>
      <c r="F162" s="2">
        <v>44441</v>
      </c>
      <c r="G162" s="21">
        <v>0.1277777777777778</v>
      </c>
      <c r="H162" t="s">
        <v>424</v>
      </c>
      <c r="I162" t="s">
        <v>493</v>
      </c>
      <c r="J162" t="str">
        <f t="shared" si="7"/>
        <v>Nu</v>
      </c>
    </row>
    <row r="163" spans="1:10" x14ac:dyDescent="0.2">
      <c r="A163" t="s">
        <v>234</v>
      </c>
      <c r="B163" t="s">
        <v>235</v>
      </c>
      <c r="C163">
        <v>5878089</v>
      </c>
      <c r="D163" s="3">
        <f t="shared" si="9"/>
        <v>29390.445</v>
      </c>
      <c r="E163" s="2">
        <v>44285</v>
      </c>
      <c r="F163" s="2">
        <v>44441</v>
      </c>
      <c r="G163" s="21">
        <v>0.12708333333333333</v>
      </c>
      <c r="H163" t="s">
        <v>423</v>
      </c>
      <c r="I163" t="s">
        <v>469</v>
      </c>
      <c r="J163" t="str">
        <f t="shared" si="7"/>
        <v>Nu</v>
      </c>
    </row>
    <row r="164" spans="1:10" x14ac:dyDescent="0.2">
      <c r="A164" t="s">
        <v>187</v>
      </c>
      <c r="B164" t="s">
        <v>188</v>
      </c>
      <c r="C164">
        <v>5872293</v>
      </c>
      <c r="D164" s="3">
        <f t="shared" si="9"/>
        <v>29361.464999999997</v>
      </c>
      <c r="E164" s="2">
        <v>44362</v>
      </c>
      <c r="F164" s="2">
        <v>44441</v>
      </c>
      <c r="G164" s="21">
        <v>0.14027777777777778</v>
      </c>
      <c r="H164" t="s">
        <v>423</v>
      </c>
      <c r="I164" t="s">
        <v>469</v>
      </c>
      <c r="J164" t="str">
        <f t="shared" si="7"/>
        <v>Nu</v>
      </c>
    </row>
    <row r="165" spans="1:10" x14ac:dyDescent="0.2">
      <c r="A165" t="s">
        <v>212</v>
      </c>
      <c r="B165" t="s">
        <v>213</v>
      </c>
      <c r="C165">
        <v>5851282</v>
      </c>
      <c r="D165" s="3">
        <f t="shared" si="9"/>
        <v>29256.41</v>
      </c>
      <c r="E165" s="2">
        <v>44337</v>
      </c>
      <c r="F165" s="2">
        <v>44441</v>
      </c>
      <c r="G165" s="21">
        <v>0.22291666666666665</v>
      </c>
      <c r="H165" t="s">
        <v>418</v>
      </c>
      <c r="I165" t="s">
        <v>487</v>
      </c>
      <c r="J165" t="str">
        <f t="shared" si="7"/>
        <v>Nu</v>
      </c>
    </row>
    <row r="166" spans="1:10" x14ac:dyDescent="0.2">
      <c r="A166" t="s">
        <v>245</v>
      </c>
      <c r="B166" t="s">
        <v>246</v>
      </c>
      <c r="C166">
        <v>5838830</v>
      </c>
      <c r="D166" s="3">
        <f t="shared" si="9"/>
        <v>29194.15</v>
      </c>
      <c r="E166" s="2">
        <v>44244</v>
      </c>
      <c r="F166" s="2">
        <v>44441</v>
      </c>
      <c r="G166" s="21">
        <v>0.12013888888888889</v>
      </c>
      <c r="H166" t="s">
        <v>418</v>
      </c>
      <c r="I166" t="s">
        <v>470</v>
      </c>
      <c r="J166" t="str">
        <f t="shared" si="7"/>
        <v>Nu</v>
      </c>
    </row>
    <row r="167" spans="1:10" x14ac:dyDescent="0.2">
      <c r="A167" t="s">
        <v>268</v>
      </c>
      <c r="B167" t="s">
        <v>269</v>
      </c>
      <c r="C167">
        <v>5829947</v>
      </c>
      <c r="D167" s="3">
        <f t="shared" si="9"/>
        <v>29149.735000000001</v>
      </c>
      <c r="E167" s="2">
        <v>44350</v>
      </c>
      <c r="F167" s="2">
        <v>44441</v>
      </c>
      <c r="G167" s="8">
        <v>0.14444444444444446</v>
      </c>
      <c r="H167" t="s">
        <v>423</v>
      </c>
      <c r="I167" t="s">
        <v>468</v>
      </c>
      <c r="J167" t="str">
        <f t="shared" si="7"/>
        <v>Nu</v>
      </c>
    </row>
    <row r="168" spans="1:10" x14ac:dyDescent="0.2">
      <c r="A168" t="s">
        <v>264</v>
      </c>
      <c r="B168" t="s">
        <v>265</v>
      </c>
      <c r="C168">
        <v>5822755</v>
      </c>
      <c r="D168" s="3">
        <f t="shared" si="9"/>
        <v>29113.775000000001</v>
      </c>
      <c r="E168" s="2">
        <v>44414</v>
      </c>
      <c r="F168" s="2">
        <v>44441</v>
      </c>
      <c r="G168" s="8">
        <v>0.12013888888888889</v>
      </c>
      <c r="H168" t="s">
        <v>418</v>
      </c>
      <c r="I168" t="s">
        <v>470</v>
      </c>
      <c r="J168" t="str">
        <f t="shared" si="7"/>
        <v>Nu</v>
      </c>
    </row>
    <row r="169" spans="1:10" x14ac:dyDescent="0.2">
      <c r="A169" t="s">
        <v>386</v>
      </c>
      <c r="B169" t="s">
        <v>387</v>
      </c>
      <c r="C169">
        <v>5812990</v>
      </c>
      <c r="D169" s="3">
        <f t="shared" si="9"/>
        <v>29064.949999999997</v>
      </c>
      <c r="E169" s="2">
        <v>44240</v>
      </c>
      <c r="F169" s="2">
        <v>44441</v>
      </c>
      <c r="G169" s="8">
        <v>0.13749999999999998</v>
      </c>
      <c r="H169" t="s">
        <v>423</v>
      </c>
      <c r="I169" t="s">
        <v>475</v>
      </c>
      <c r="J169" t="str">
        <f t="shared" si="7"/>
        <v>Nu</v>
      </c>
    </row>
    <row r="170" spans="1:10" x14ac:dyDescent="0.2">
      <c r="A170" t="s">
        <v>232</v>
      </c>
      <c r="B170" t="s">
        <v>233</v>
      </c>
      <c r="C170">
        <v>5809131</v>
      </c>
      <c r="D170" s="3">
        <f t="shared" si="9"/>
        <v>29045.655000000002</v>
      </c>
      <c r="E170" s="2">
        <v>44389</v>
      </c>
      <c r="F170" s="2">
        <v>44441</v>
      </c>
      <c r="G170" s="8">
        <v>0.14097222222222222</v>
      </c>
      <c r="H170" t="s">
        <v>422</v>
      </c>
      <c r="I170" t="s">
        <v>468</v>
      </c>
      <c r="J170" t="str">
        <f t="shared" si="7"/>
        <v>Nu</v>
      </c>
    </row>
    <row r="171" spans="1:10" x14ac:dyDescent="0.2">
      <c r="A171" t="s">
        <v>228</v>
      </c>
      <c r="B171" t="s">
        <v>229</v>
      </c>
      <c r="C171">
        <v>5797515</v>
      </c>
      <c r="D171" s="3">
        <f t="shared" si="9"/>
        <v>28987.575000000001</v>
      </c>
      <c r="E171" s="2">
        <v>44336</v>
      </c>
      <c r="F171" s="2">
        <v>44441</v>
      </c>
      <c r="G171" s="21">
        <v>9.7916666666666666E-2</v>
      </c>
      <c r="H171" t="s">
        <v>432</v>
      </c>
      <c r="I171" t="s">
        <v>468</v>
      </c>
      <c r="J171" t="str">
        <f t="shared" si="7"/>
        <v>Nu</v>
      </c>
    </row>
    <row r="172" spans="1:10" x14ac:dyDescent="0.2">
      <c r="A172" t="s">
        <v>347</v>
      </c>
      <c r="B172" t="s">
        <v>348</v>
      </c>
      <c r="C172">
        <v>5764745</v>
      </c>
      <c r="D172" s="3">
        <f t="shared" si="9"/>
        <v>28823.724999999999</v>
      </c>
      <c r="E172" s="2">
        <v>44238</v>
      </c>
      <c r="F172" s="2">
        <v>44441</v>
      </c>
      <c r="G172" s="21">
        <v>0.14722222222222223</v>
      </c>
      <c r="H172" t="s">
        <v>418</v>
      </c>
      <c r="I172" t="s">
        <v>472</v>
      </c>
      <c r="J172" t="str">
        <f t="shared" si="7"/>
        <v>Nu</v>
      </c>
    </row>
    <row r="173" spans="1:10" x14ac:dyDescent="0.2">
      <c r="A173" t="s">
        <v>331</v>
      </c>
      <c r="B173" t="s">
        <v>288</v>
      </c>
      <c r="C173">
        <v>5762698</v>
      </c>
      <c r="D173" s="3">
        <f t="shared" si="9"/>
        <v>28813.49</v>
      </c>
      <c r="E173" s="2">
        <v>44346</v>
      </c>
      <c r="F173" s="2">
        <v>44441</v>
      </c>
      <c r="G173" s="21">
        <v>0.14722222222222223</v>
      </c>
      <c r="H173" t="s">
        <v>418</v>
      </c>
      <c r="I173" t="s">
        <v>486</v>
      </c>
      <c r="J173" t="str">
        <f t="shared" si="7"/>
        <v>Nu</v>
      </c>
    </row>
    <row r="174" spans="1:10" x14ac:dyDescent="0.2">
      <c r="A174" t="s">
        <v>292</v>
      </c>
      <c r="B174" t="s">
        <v>43</v>
      </c>
      <c r="C174">
        <v>5738552</v>
      </c>
      <c r="D174" s="3">
        <f t="shared" si="9"/>
        <v>28692.76</v>
      </c>
      <c r="E174" s="2">
        <v>44242</v>
      </c>
      <c r="F174" s="2">
        <v>44441</v>
      </c>
      <c r="G174" s="21">
        <v>0.14652777777777778</v>
      </c>
      <c r="H174" t="s">
        <v>428</v>
      </c>
      <c r="I174" t="s">
        <v>420</v>
      </c>
      <c r="J174" t="str">
        <f t="shared" si="7"/>
        <v>Nu</v>
      </c>
    </row>
    <row r="175" spans="1:10" x14ac:dyDescent="0.2">
      <c r="A175" t="s">
        <v>239</v>
      </c>
      <c r="B175" t="s">
        <v>240</v>
      </c>
      <c r="C175">
        <v>5721405</v>
      </c>
      <c r="D175" s="3">
        <f t="shared" si="9"/>
        <v>28607.024999999998</v>
      </c>
      <c r="E175" s="2">
        <v>44407</v>
      </c>
      <c r="F175" s="2">
        <v>44441</v>
      </c>
      <c r="G175" s="21">
        <v>0.16874999999999998</v>
      </c>
      <c r="H175" t="s">
        <v>422</v>
      </c>
      <c r="I175" t="s">
        <v>494</v>
      </c>
      <c r="J175" t="str">
        <f t="shared" si="7"/>
        <v>Nu</v>
      </c>
    </row>
    <row r="176" spans="1:10" x14ac:dyDescent="0.2">
      <c r="A176" t="s">
        <v>226</v>
      </c>
      <c r="B176" t="s">
        <v>227</v>
      </c>
      <c r="C176">
        <v>5690198</v>
      </c>
      <c r="D176" s="3">
        <f t="shared" si="9"/>
        <v>28450.99</v>
      </c>
      <c r="E176" s="2">
        <v>44437</v>
      </c>
      <c r="F176" s="2">
        <v>44441</v>
      </c>
      <c r="G176" s="21">
        <v>0.19930555555555554</v>
      </c>
      <c r="H176" t="s">
        <v>418</v>
      </c>
      <c r="I176" t="s">
        <v>468</v>
      </c>
      <c r="J176" t="str">
        <f t="shared" si="7"/>
        <v>Nu</v>
      </c>
    </row>
    <row r="177" spans="1:10" x14ac:dyDescent="0.2">
      <c r="A177" t="s">
        <v>210</v>
      </c>
      <c r="B177" t="s">
        <v>211</v>
      </c>
      <c r="C177">
        <v>5663659</v>
      </c>
      <c r="D177" s="3">
        <f t="shared" si="9"/>
        <v>28318.294999999998</v>
      </c>
      <c r="E177" s="2">
        <v>44456</v>
      </c>
      <c r="F177" s="2">
        <v>44441</v>
      </c>
      <c r="G177" s="21">
        <v>0.12361111111111112</v>
      </c>
      <c r="H177" t="s">
        <v>433</v>
      </c>
      <c r="I177" t="s">
        <v>468</v>
      </c>
      <c r="J177" t="str">
        <f t="shared" si="7"/>
        <v>Nu</v>
      </c>
    </row>
    <row r="178" spans="1:10" x14ac:dyDescent="0.2">
      <c r="A178" t="s">
        <v>388</v>
      </c>
      <c r="B178" t="s">
        <v>389</v>
      </c>
      <c r="C178">
        <v>5643695</v>
      </c>
      <c r="D178" s="3">
        <f t="shared" si="9"/>
        <v>28218.474999999999</v>
      </c>
      <c r="E178" s="2">
        <v>44295</v>
      </c>
      <c r="F178" s="2">
        <v>44441</v>
      </c>
      <c r="G178" s="21">
        <v>0.14583333333333334</v>
      </c>
      <c r="H178" t="s">
        <v>433</v>
      </c>
      <c r="I178" t="s">
        <v>469</v>
      </c>
      <c r="J178" t="str">
        <f t="shared" si="7"/>
        <v>Nu</v>
      </c>
    </row>
    <row r="179" spans="1:10" x14ac:dyDescent="0.2">
      <c r="A179" t="s">
        <v>252</v>
      </c>
      <c r="B179" t="s">
        <v>154</v>
      </c>
      <c r="C179">
        <v>5635533</v>
      </c>
      <c r="D179" s="3">
        <f t="shared" si="9"/>
        <v>28177.665000000001</v>
      </c>
      <c r="E179" s="2">
        <v>44338</v>
      </c>
      <c r="F179" s="2">
        <v>44441</v>
      </c>
      <c r="G179" s="21">
        <v>0.10069444444444443</v>
      </c>
      <c r="H179" t="s">
        <v>416</v>
      </c>
      <c r="I179" t="s">
        <v>468</v>
      </c>
      <c r="J179" t="str">
        <f t="shared" si="7"/>
        <v>Nu</v>
      </c>
    </row>
    <row r="180" spans="1:10" x14ac:dyDescent="0.2">
      <c r="A180" t="s">
        <v>167</v>
      </c>
      <c r="B180" t="s">
        <v>4</v>
      </c>
      <c r="C180">
        <v>5610966</v>
      </c>
      <c r="D180" s="3">
        <f t="shared" si="9"/>
        <v>28054.83</v>
      </c>
      <c r="E180" s="2">
        <v>44437</v>
      </c>
      <c r="F180" s="2">
        <v>44441</v>
      </c>
      <c r="G180" s="21">
        <v>0.20625000000000002</v>
      </c>
      <c r="H180" t="s">
        <v>428</v>
      </c>
      <c r="I180" t="s">
        <v>469</v>
      </c>
      <c r="J180" t="str">
        <f t="shared" si="7"/>
        <v>Nu</v>
      </c>
    </row>
    <row r="181" spans="1:10" x14ac:dyDescent="0.2">
      <c r="A181" t="s">
        <v>390</v>
      </c>
      <c r="B181" t="s">
        <v>391</v>
      </c>
      <c r="C181">
        <v>5599395</v>
      </c>
      <c r="D181" s="3">
        <f t="shared" si="9"/>
        <v>27996.975000000002</v>
      </c>
      <c r="E181" s="2">
        <v>44050</v>
      </c>
      <c r="F181" s="2">
        <v>44441</v>
      </c>
      <c r="G181" s="21">
        <v>0.20694444444444446</v>
      </c>
      <c r="H181" t="s">
        <v>423</v>
      </c>
      <c r="I181" t="s">
        <v>468</v>
      </c>
      <c r="J181" t="str">
        <f t="shared" si="7"/>
        <v>Da</v>
      </c>
    </row>
    <row r="182" spans="1:10" x14ac:dyDescent="0.2">
      <c r="A182" t="s">
        <v>392</v>
      </c>
      <c r="B182" t="s">
        <v>393</v>
      </c>
      <c r="C182">
        <v>5593786</v>
      </c>
      <c r="D182" s="3">
        <f t="shared" si="9"/>
        <v>27968.93</v>
      </c>
      <c r="E182" s="2">
        <v>44411</v>
      </c>
      <c r="F182" s="2">
        <v>44441</v>
      </c>
      <c r="G182" s="21">
        <v>0.23541666666666669</v>
      </c>
      <c r="H182" t="s">
        <v>422</v>
      </c>
      <c r="I182" t="s">
        <v>495</v>
      </c>
      <c r="J182" t="str">
        <f t="shared" si="7"/>
        <v>Nu</v>
      </c>
    </row>
    <row r="183" spans="1:10" x14ac:dyDescent="0.2">
      <c r="A183" s="22">
        <v>512</v>
      </c>
      <c r="B183" t="s">
        <v>73</v>
      </c>
      <c r="C183">
        <v>5574638</v>
      </c>
      <c r="D183" s="3">
        <f t="shared" si="9"/>
        <v>27873.19</v>
      </c>
      <c r="E183" s="2">
        <v>44437</v>
      </c>
      <c r="F183" s="2">
        <v>44441</v>
      </c>
      <c r="G183" s="21">
        <v>9.5138888888888884E-2</v>
      </c>
      <c r="H183" t="s">
        <v>433</v>
      </c>
      <c r="I183" t="s">
        <v>472</v>
      </c>
      <c r="J183" t="str">
        <f t="shared" si="7"/>
        <v>Nu</v>
      </c>
    </row>
    <row r="184" spans="1:10" x14ac:dyDescent="0.2">
      <c r="A184" t="s">
        <v>349</v>
      </c>
      <c r="B184" t="s">
        <v>350</v>
      </c>
      <c r="C184">
        <v>5557982</v>
      </c>
      <c r="D184" s="3">
        <f t="shared" si="9"/>
        <v>27789.91</v>
      </c>
      <c r="E184" s="2">
        <v>44351</v>
      </c>
      <c r="F184" s="2">
        <v>44441</v>
      </c>
      <c r="G184" s="21">
        <v>0.14444444444444446</v>
      </c>
      <c r="H184" t="s">
        <v>423</v>
      </c>
      <c r="I184" t="s">
        <v>469</v>
      </c>
      <c r="J184" t="str">
        <f t="shared" si="7"/>
        <v>Nu</v>
      </c>
    </row>
    <row r="185" spans="1:10" x14ac:dyDescent="0.2">
      <c r="A185" t="s">
        <v>394</v>
      </c>
      <c r="B185" t="s">
        <v>395</v>
      </c>
      <c r="C185">
        <v>5547450</v>
      </c>
      <c r="D185" s="3">
        <f t="shared" si="9"/>
        <v>27737.25</v>
      </c>
      <c r="E185" s="2">
        <v>44274</v>
      </c>
      <c r="F185" s="2">
        <v>44441</v>
      </c>
      <c r="G185" s="21">
        <v>0.13819444444444443</v>
      </c>
      <c r="H185" t="s">
        <v>433</v>
      </c>
      <c r="I185" t="s">
        <v>468</v>
      </c>
      <c r="J185" t="str">
        <f t="shared" si="7"/>
        <v>Da</v>
      </c>
    </row>
    <row r="186" spans="1:10" x14ac:dyDescent="0.2">
      <c r="A186" t="s">
        <v>224</v>
      </c>
      <c r="B186" t="s">
        <v>225</v>
      </c>
      <c r="C186">
        <v>5547420</v>
      </c>
      <c r="D186" s="3">
        <f t="shared" si="9"/>
        <v>27737.1</v>
      </c>
      <c r="E186" s="2">
        <v>44460</v>
      </c>
      <c r="F186" s="2">
        <v>44441</v>
      </c>
      <c r="G186" s="21">
        <v>0.15694444444444444</v>
      </c>
      <c r="H186" t="s">
        <v>423</v>
      </c>
      <c r="I186" t="s">
        <v>469</v>
      </c>
      <c r="J186" t="str">
        <f t="shared" si="7"/>
        <v>Nu</v>
      </c>
    </row>
    <row r="187" spans="1:10" x14ac:dyDescent="0.2">
      <c r="A187" t="s">
        <v>241</v>
      </c>
      <c r="B187" t="s">
        <v>242</v>
      </c>
      <c r="C187">
        <v>5520749</v>
      </c>
      <c r="D187" s="3">
        <f t="shared" si="9"/>
        <v>27603.744999999999</v>
      </c>
      <c r="E187" s="2">
        <v>44377</v>
      </c>
      <c r="F187" s="2">
        <v>44441</v>
      </c>
      <c r="G187" s="21">
        <v>0.16527777777777777</v>
      </c>
      <c r="H187" t="s">
        <v>423</v>
      </c>
      <c r="I187" t="s">
        <v>469</v>
      </c>
      <c r="J187" t="str">
        <f t="shared" si="7"/>
        <v>Nu</v>
      </c>
    </row>
    <row r="188" spans="1:10" x14ac:dyDescent="0.2">
      <c r="A188" t="s">
        <v>277</v>
      </c>
      <c r="B188" t="s">
        <v>69</v>
      </c>
      <c r="C188">
        <v>5502543</v>
      </c>
      <c r="D188" s="3">
        <f t="shared" si="9"/>
        <v>27512.714999999997</v>
      </c>
      <c r="E188" s="2">
        <v>44248</v>
      </c>
      <c r="F188" s="2">
        <v>44441</v>
      </c>
      <c r="G188" s="21">
        <v>0.15972222222222224</v>
      </c>
      <c r="H188" t="s">
        <v>423</v>
      </c>
      <c r="I188" t="s">
        <v>474</v>
      </c>
      <c r="J188" t="str">
        <f t="shared" si="7"/>
        <v>Nu</v>
      </c>
    </row>
    <row r="189" spans="1:10" x14ac:dyDescent="0.2">
      <c r="A189" t="s">
        <v>261</v>
      </c>
      <c r="B189" t="s">
        <v>262</v>
      </c>
      <c r="C189">
        <v>5477944</v>
      </c>
      <c r="D189" s="3">
        <f t="shared" si="9"/>
        <v>27389.72</v>
      </c>
      <c r="E189" s="2">
        <v>44259</v>
      </c>
      <c r="F189" s="2">
        <v>44441</v>
      </c>
      <c r="G189" s="21">
        <v>0.10833333333333334</v>
      </c>
      <c r="H189" t="s">
        <v>423</v>
      </c>
      <c r="I189" t="s">
        <v>469</v>
      </c>
      <c r="J189" t="str">
        <f t="shared" si="7"/>
        <v>Nu</v>
      </c>
    </row>
    <row r="190" spans="1:10" x14ac:dyDescent="0.2">
      <c r="A190" t="s">
        <v>216</v>
      </c>
      <c r="B190" t="s">
        <v>217</v>
      </c>
      <c r="C190">
        <v>5468079</v>
      </c>
      <c r="D190" s="3">
        <f t="shared" si="9"/>
        <v>27340.394999999997</v>
      </c>
      <c r="E190" s="2">
        <v>44316</v>
      </c>
      <c r="F190" s="2">
        <v>44441</v>
      </c>
      <c r="G190" s="21">
        <v>0.14305555555555557</v>
      </c>
      <c r="H190" t="s">
        <v>426</v>
      </c>
      <c r="I190" t="s">
        <v>420</v>
      </c>
      <c r="J190" t="str">
        <f t="shared" si="7"/>
        <v>Nu</v>
      </c>
    </row>
    <row r="191" spans="1:10" x14ac:dyDescent="0.2">
      <c r="A191" t="s">
        <v>396</v>
      </c>
      <c r="B191" t="s">
        <v>12</v>
      </c>
      <c r="C191">
        <v>5460982</v>
      </c>
      <c r="D191" s="3">
        <f t="shared" si="9"/>
        <v>27304.91</v>
      </c>
      <c r="E191" s="2">
        <v>44282</v>
      </c>
      <c r="F191" s="2">
        <v>44441</v>
      </c>
      <c r="G191" s="21">
        <v>0.12013888888888889</v>
      </c>
      <c r="H191" t="s">
        <v>422</v>
      </c>
      <c r="I191" t="s">
        <v>468</v>
      </c>
      <c r="J191" t="str">
        <f t="shared" si="7"/>
        <v>Nu</v>
      </c>
    </row>
    <row r="192" spans="1:10" x14ac:dyDescent="0.2">
      <c r="A192" t="s">
        <v>203</v>
      </c>
      <c r="B192" t="s">
        <v>204</v>
      </c>
      <c r="C192">
        <v>5459053</v>
      </c>
      <c r="D192" s="3">
        <f t="shared" si="9"/>
        <v>27295.264999999999</v>
      </c>
      <c r="E192" s="2">
        <v>44254</v>
      </c>
      <c r="F192" s="2">
        <v>44441</v>
      </c>
      <c r="G192" s="21">
        <v>0.15277777777777776</v>
      </c>
      <c r="H192" t="s">
        <v>424</v>
      </c>
      <c r="I192" t="s">
        <v>468</v>
      </c>
      <c r="J192" t="str">
        <f t="shared" si="7"/>
        <v>Nu</v>
      </c>
    </row>
    <row r="193" spans="1:10" x14ac:dyDescent="0.2">
      <c r="A193" t="s">
        <v>397</v>
      </c>
      <c r="B193" t="s">
        <v>398</v>
      </c>
      <c r="C193">
        <v>5452012</v>
      </c>
      <c r="D193" s="3">
        <f t="shared" si="9"/>
        <v>27260.059999999998</v>
      </c>
      <c r="E193" s="2">
        <v>44308</v>
      </c>
      <c r="F193" s="2">
        <v>44441</v>
      </c>
      <c r="G193" s="21">
        <v>0.15069444444444444</v>
      </c>
      <c r="H193" t="s">
        <v>423</v>
      </c>
      <c r="I193" t="s">
        <v>468</v>
      </c>
      <c r="J193" t="str">
        <f t="shared" si="7"/>
        <v>Nu</v>
      </c>
    </row>
    <row r="194" spans="1:10" x14ac:dyDescent="0.2">
      <c r="A194" t="s">
        <v>399</v>
      </c>
      <c r="B194" t="s">
        <v>389</v>
      </c>
      <c r="C194">
        <v>5430793</v>
      </c>
      <c r="D194" s="3">
        <f t="shared" si="9"/>
        <v>27153.964999999997</v>
      </c>
      <c r="E194" s="2">
        <v>44406</v>
      </c>
      <c r="F194" s="2">
        <v>44441</v>
      </c>
      <c r="G194" s="21">
        <v>0.14097222222222222</v>
      </c>
      <c r="H194" t="s">
        <v>422</v>
      </c>
      <c r="I194" t="s">
        <v>469</v>
      </c>
      <c r="J194" t="str">
        <f t="shared" ref="J194:J257" si="10">IF(ISNUMBER(SEARCH("with",A194)),"Da","Nu")</f>
        <v>Nu</v>
      </c>
    </row>
    <row r="195" spans="1:10" x14ac:dyDescent="0.2">
      <c r="A195" t="s">
        <v>275</v>
      </c>
      <c r="B195" t="s">
        <v>276</v>
      </c>
      <c r="C195">
        <v>5415878</v>
      </c>
      <c r="D195" s="3">
        <f t="shared" si="9"/>
        <v>27079.39</v>
      </c>
      <c r="E195" s="2">
        <v>44209</v>
      </c>
      <c r="F195" s="2">
        <v>44441</v>
      </c>
      <c r="G195" s="21">
        <v>0.15902777777777777</v>
      </c>
      <c r="H195" t="s">
        <v>426</v>
      </c>
      <c r="I195" t="s">
        <v>496</v>
      </c>
      <c r="J195" t="str">
        <f t="shared" si="10"/>
        <v>Nu</v>
      </c>
    </row>
    <row r="196" spans="1:10" x14ac:dyDescent="0.2">
      <c r="A196" t="s">
        <v>270</v>
      </c>
      <c r="B196" t="s">
        <v>271</v>
      </c>
      <c r="C196">
        <v>5408080</v>
      </c>
      <c r="D196" s="3">
        <f t="shared" si="9"/>
        <v>27040.400000000001</v>
      </c>
      <c r="E196" s="2">
        <v>44309</v>
      </c>
      <c r="F196" s="2">
        <v>44441</v>
      </c>
      <c r="G196" s="21">
        <v>0.16805555555555554</v>
      </c>
      <c r="H196" t="s">
        <v>423</v>
      </c>
      <c r="I196" t="s">
        <v>468</v>
      </c>
      <c r="J196" t="str">
        <f t="shared" si="10"/>
        <v>Nu</v>
      </c>
    </row>
    <row r="197" spans="1:10" x14ac:dyDescent="0.2">
      <c r="A197" t="s">
        <v>263</v>
      </c>
      <c r="B197" t="s">
        <v>213</v>
      </c>
      <c r="C197">
        <v>5406193</v>
      </c>
      <c r="D197" s="3">
        <f t="shared" si="9"/>
        <v>27030.965</v>
      </c>
      <c r="E197" s="2">
        <v>44256</v>
      </c>
      <c r="F197" s="2">
        <v>44441</v>
      </c>
      <c r="G197" s="21">
        <v>0.13749999999999998</v>
      </c>
      <c r="H197" t="s">
        <v>423</v>
      </c>
      <c r="I197" t="s">
        <v>487</v>
      </c>
      <c r="J197" t="str">
        <f t="shared" si="10"/>
        <v>Nu</v>
      </c>
    </row>
    <row r="198" spans="1:10" x14ac:dyDescent="0.2">
      <c r="A198" t="s">
        <v>400</v>
      </c>
      <c r="B198" t="s">
        <v>32</v>
      </c>
      <c r="C198">
        <v>5389195</v>
      </c>
      <c r="D198" s="3">
        <f t="shared" si="9"/>
        <v>26945.974999999999</v>
      </c>
      <c r="E198" s="2">
        <v>44307</v>
      </c>
      <c r="F198" s="2">
        <v>44441</v>
      </c>
      <c r="G198" s="21">
        <v>0.13541666666666666</v>
      </c>
      <c r="H198" t="s">
        <v>422</v>
      </c>
      <c r="I198" t="s">
        <v>472</v>
      </c>
      <c r="J198" t="str">
        <f t="shared" si="10"/>
        <v>Nu</v>
      </c>
    </row>
    <row r="199" spans="1:10" x14ac:dyDescent="0.2">
      <c r="A199" t="s">
        <v>461</v>
      </c>
      <c r="B199" t="s">
        <v>401</v>
      </c>
      <c r="C199">
        <v>5388870</v>
      </c>
      <c r="D199" s="3">
        <f t="shared" si="9"/>
        <v>26944.35</v>
      </c>
      <c r="E199" s="2">
        <v>44277</v>
      </c>
      <c r="F199" s="2">
        <v>44441</v>
      </c>
      <c r="G199" s="21">
        <v>0.23124999999999998</v>
      </c>
      <c r="H199" t="s">
        <v>423</v>
      </c>
      <c r="I199" t="s">
        <v>468</v>
      </c>
      <c r="J199" t="str">
        <f t="shared" si="10"/>
        <v>Da</v>
      </c>
    </row>
    <row r="200" spans="1:10" x14ac:dyDescent="0.2">
      <c r="A200" t="s">
        <v>455</v>
      </c>
      <c r="B200" t="s">
        <v>297</v>
      </c>
      <c r="C200">
        <v>5385078</v>
      </c>
      <c r="D200" s="3">
        <f t="shared" si="9"/>
        <v>26925.390000000003</v>
      </c>
      <c r="E200" s="2">
        <v>44371</v>
      </c>
      <c r="F200" s="2">
        <v>44441</v>
      </c>
      <c r="G200" s="21">
        <v>0.14097222222222222</v>
      </c>
      <c r="H200" t="s">
        <v>423</v>
      </c>
      <c r="I200" t="s">
        <v>468</v>
      </c>
      <c r="J200" t="str">
        <f t="shared" si="10"/>
        <v>Da</v>
      </c>
    </row>
    <row r="201" spans="1:10" x14ac:dyDescent="0.2">
      <c r="A201" t="s">
        <v>258</v>
      </c>
      <c r="B201" t="s">
        <v>23</v>
      </c>
      <c r="C201">
        <v>5363281</v>
      </c>
      <c r="D201" s="3">
        <f t="shared" si="9"/>
        <v>26816.404999999999</v>
      </c>
      <c r="E201" s="2">
        <v>44245</v>
      </c>
      <c r="F201" s="2">
        <v>44441</v>
      </c>
      <c r="G201" s="21">
        <v>0.11388888888888889</v>
      </c>
      <c r="H201" t="s">
        <v>418</v>
      </c>
      <c r="I201" t="s">
        <v>468</v>
      </c>
      <c r="J201" t="str">
        <f t="shared" si="10"/>
        <v>Nu</v>
      </c>
    </row>
    <row r="202" spans="1:10" x14ac:dyDescent="0.2">
      <c r="A202" t="s">
        <v>0</v>
      </c>
      <c r="B202" t="s">
        <v>1</v>
      </c>
      <c r="C202">
        <v>61385396</v>
      </c>
      <c r="D202" s="5">
        <f t="shared" ref="D202:D265" si="11">(C202/1000*5)</f>
        <v>306926.98</v>
      </c>
      <c r="E202" s="2">
        <f>VLOOKUP(A202,'2.09.2021'!A$3:'2.09.2021'!I$202,5,)</f>
        <v>44386</v>
      </c>
      <c r="F202" s="2">
        <v>44448</v>
      </c>
      <c r="G202" s="23">
        <f>VLOOKUP(A202,'2.09.2021'!A$3:'2.09.2021'!I$202,7,)</f>
        <v>9.7916666666666666E-2</v>
      </c>
      <c r="H202" t="str">
        <f>VLOOKUP(A202,'2.09.2021'!A$3:'2.09.2021'!I$202,8,)</f>
        <v>POP</v>
      </c>
      <c r="I202" t="str">
        <f>VLOOKUP(A202,'2.09.2021'!A$3:'2.09.2021'!I$202,9,)</f>
        <v>Australia</v>
      </c>
      <c r="J202" t="str">
        <f t="shared" si="10"/>
        <v>Da</v>
      </c>
    </row>
    <row r="203" spans="1:10" x14ac:dyDescent="0.2">
      <c r="A203" t="s">
        <v>436</v>
      </c>
      <c r="B203" t="s">
        <v>2</v>
      </c>
      <c r="C203">
        <v>53085371</v>
      </c>
      <c r="D203" s="5">
        <f t="shared" si="11"/>
        <v>265426.85499999998</v>
      </c>
      <c r="E203" s="2">
        <f>VLOOKUP(A203,'2.09.2021'!A$3:'2.09.2021'!I$202,5,)</f>
        <v>44400</v>
      </c>
      <c r="F203" s="2">
        <v>44448</v>
      </c>
      <c r="G203" s="23">
        <f>VLOOKUP(A203,'2.09.2021'!A$3:'2.09.2021'!I$202,7,)</f>
        <v>0.14722222222222223</v>
      </c>
      <c r="H203" t="str">
        <f>VLOOKUP(A203,'2.09.2021'!A$3:'2.09.2021'!I$202,8,)</f>
        <v>HIP-HOP/RAP</v>
      </c>
      <c r="I203" t="str">
        <f>VLOOKUP(A203,'2.09.2021'!A$3:'2.09.2021'!I$202,9,)</f>
        <v>SUA</v>
      </c>
      <c r="J203" t="str">
        <f t="shared" si="10"/>
        <v>Da</v>
      </c>
    </row>
    <row r="204" spans="1:10" x14ac:dyDescent="0.2">
      <c r="A204" t="s">
        <v>14</v>
      </c>
      <c r="B204" t="s">
        <v>2</v>
      </c>
      <c r="C204">
        <v>32546474</v>
      </c>
      <c r="D204" s="5">
        <f t="shared" si="11"/>
        <v>162732.37</v>
      </c>
      <c r="E204" s="2">
        <f>VLOOKUP(A204,'30.09.2021'!A$3:'30.09.2021'!I$202,5,)</f>
        <v>44316</v>
      </c>
      <c r="F204" s="2">
        <v>44448</v>
      </c>
      <c r="G204" s="23">
        <f>VLOOKUP(A204,'30.09.2021'!A$3:'30.09.2021'!I$202,7,)</f>
        <v>0.18124999999999999</v>
      </c>
      <c r="H204" t="str">
        <f>VLOOKUP(A204,'30.09.2021'!A$3:'30.09.2021'!I$202,8,)</f>
        <v>POP</v>
      </c>
      <c r="I204" t="str">
        <f>VLOOKUP(A204,'30.09.2021'!A$3:'30.09.2021'!I$202,9,)</f>
        <v>SUA</v>
      </c>
      <c r="J204" t="str">
        <f t="shared" si="10"/>
        <v>Nu</v>
      </c>
    </row>
    <row r="205" spans="1:10" x14ac:dyDescent="0.2">
      <c r="A205" t="s">
        <v>5</v>
      </c>
      <c r="B205" t="s">
        <v>6</v>
      </c>
      <c r="C205">
        <v>31103477</v>
      </c>
      <c r="D205" s="5">
        <f t="shared" si="11"/>
        <v>155517.38500000001</v>
      </c>
      <c r="E205" s="2">
        <f>VLOOKUP(A205,'2.09.2021'!A$3:'2.09.2021'!I$202,5,)</f>
        <v>44050</v>
      </c>
      <c r="F205" s="2">
        <v>44448</v>
      </c>
      <c r="G205" s="23">
        <f>VLOOKUP(A205,'2.09.2021'!A$3:'2.09.2021'!I$202,7,)</f>
        <v>0.16527777777777777</v>
      </c>
      <c r="H205" t="str">
        <f>VLOOKUP(A205,'2.09.2021'!A$3:'2.09.2021'!I$202,8,)</f>
        <v>POP</v>
      </c>
      <c r="I205" t="str">
        <f>VLOOKUP(A205,'2.09.2021'!A$3:'2.09.2021'!I$202,9,)</f>
        <v>Marea Britanie</v>
      </c>
      <c r="J205" t="str">
        <f t="shared" si="10"/>
        <v>Nu</v>
      </c>
    </row>
    <row r="206" spans="1:10" x14ac:dyDescent="0.2">
      <c r="A206" t="s">
        <v>9</v>
      </c>
      <c r="B206" t="s">
        <v>10</v>
      </c>
      <c r="C206">
        <v>30276896</v>
      </c>
      <c r="D206" s="5">
        <f t="shared" si="11"/>
        <v>151384.48000000001</v>
      </c>
      <c r="E206" s="2">
        <f>VLOOKUP(A206,'2.09.2021'!A$3:'2.09.2021'!I$202,5,)</f>
        <v>44358</v>
      </c>
      <c r="F206" s="2">
        <v>44448</v>
      </c>
      <c r="G206" s="23">
        <f>VLOOKUP(A206,'2.09.2021'!A$3:'2.09.2021'!I$202,7,)</f>
        <v>0.14722222222222223</v>
      </c>
      <c r="H206" t="str">
        <f>VLOOKUP(A206,'2.09.2021'!A$3:'2.09.2021'!I$202,8,)</f>
        <v>POP</v>
      </c>
      <c r="I206" t="str">
        <f>VLOOKUP(A206,'2.09.2021'!A$3:'2.09.2021'!I$202,9,)</f>
        <v>Marea Britanie</v>
      </c>
      <c r="J206" t="str">
        <f t="shared" si="10"/>
        <v>Nu</v>
      </c>
    </row>
    <row r="207" spans="1:10" x14ac:dyDescent="0.2">
      <c r="A207" t="s">
        <v>7</v>
      </c>
      <c r="B207" t="s">
        <v>8</v>
      </c>
      <c r="C207">
        <v>30119703</v>
      </c>
      <c r="D207" s="5">
        <f t="shared" si="11"/>
        <v>150598.51500000001</v>
      </c>
      <c r="E207" s="2">
        <f>VLOOKUP(A207,'2.09.2021'!A$3:'2.09.2021'!I$202,5,)</f>
        <v>44538</v>
      </c>
      <c r="F207" s="2">
        <v>44448</v>
      </c>
      <c r="G207" s="23">
        <f>VLOOKUP(A207,'2.09.2021'!A$3:'2.09.2021'!I$202,7,)</f>
        <v>0.19930555555555554</v>
      </c>
      <c r="H207" t="str">
        <f>VLOOKUP(A207,'2.09.2021'!A$3:'2.09.2021'!I$202,8,)</f>
        <v>LATIN URBAN</v>
      </c>
      <c r="I207" t="str">
        <f>VLOOKUP(A207,'2.09.2021'!A$3:'2.09.2021'!I$202,9,)</f>
        <v>Puerto Rico</v>
      </c>
      <c r="J207" t="str">
        <f t="shared" si="10"/>
        <v>Nu</v>
      </c>
    </row>
    <row r="208" spans="1:10" x14ac:dyDescent="0.2">
      <c r="A208" t="s">
        <v>11</v>
      </c>
      <c r="B208" t="s">
        <v>12</v>
      </c>
      <c r="C208">
        <v>29648304</v>
      </c>
      <c r="D208" s="5">
        <f t="shared" si="11"/>
        <v>148241.51999999999</v>
      </c>
      <c r="E208" s="2">
        <f>VLOOKUP(A208,'2.09.2021'!A$3:'2.09.2021'!I$202,5,)</f>
        <v>44374</v>
      </c>
      <c r="F208" s="2">
        <v>44448</v>
      </c>
      <c r="G208" s="23">
        <f>VLOOKUP(A208,'2.09.2021'!A$3:'2.09.2021'!I$202,7,)</f>
        <v>0.10069444444444443</v>
      </c>
      <c r="H208" t="str">
        <f>VLOOKUP(A208,'2.09.2021'!A$3:'2.09.2021'!I$202,8,)</f>
        <v>POP</v>
      </c>
      <c r="I208" t="str">
        <f>VLOOKUP(A208,'2.09.2021'!A$3:'2.09.2021'!I$202,9,)</f>
        <v>SUA</v>
      </c>
      <c r="J208" t="str">
        <f t="shared" si="10"/>
        <v>Nu</v>
      </c>
    </row>
    <row r="209" spans="1:10" x14ac:dyDescent="0.2">
      <c r="A209" t="s">
        <v>18</v>
      </c>
      <c r="B209" t="s">
        <v>2</v>
      </c>
      <c r="C209">
        <v>28933084</v>
      </c>
      <c r="D209" s="5">
        <f t="shared" si="11"/>
        <v>144665.41999999998</v>
      </c>
      <c r="E209" s="2">
        <f>VLOOKUP(A209,'2.09.2021'!A$3:'2.09.2021'!I$202,5,)</f>
        <v>44456</v>
      </c>
      <c r="F209" s="2">
        <v>44448</v>
      </c>
      <c r="G209" s="23">
        <f>VLOOKUP(A209,'2.09.2021'!A$3:'2.09.2021'!I$202,7,)</f>
        <v>9.5138888888888884E-2</v>
      </c>
      <c r="H209" t="str">
        <f>VLOOKUP(A209,'2.09.2021'!A$3:'2.09.2021'!I$202,8,)</f>
        <v>POP</v>
      </c>
      <c r="I209" t="str">
        <f>VLOOKUP(A209,'2.09.2021'!A$3:'2.09.2021'!I$202,9,)</f>
        <v>SUA</v>
      </c>
      <c r="J209" t="str">
        <f t="shared" si="10"/>
        <v>Nu</v>
      </c>
    </row>
    <row r="210" spans="1:10" x14ac:dyDescent="0.2">
      <c r="A210" t="s">
        <v>13</v>
      </c>
      <c r="B210" t="s">
        <v>10</v>
      </c>
      <c r="C210">
        <v>27138539</v>
      </c>
      <c r="D210" s="5">
        <f t="shared" si="11"/>
        <v>135692.69500000001</v>
      </c>
      <c r="E210" s="2">
        <f>VLOOKUP(A210,'16.09.2021'!A$3:'16.09.2021'!I$202,5,)</f>
        <v>44315</v>
      </c>
      <c r="F210" s="2">
        <v>44448</v>
      </c>
      <c r="G210" s="23">
        <f>VLOOKUP(A210,'16.09.2021'!A$3:'16.09.2021'!I$202,7,)</f>
        <v>0.10555555555555556</v>
      </c>
      <c r="H210" t="str">
        <f>VLOOKUP(A210,'16.09.2021'!A$3:'16.09.2021'!I$202,8,)</f>
        <v>POP</v>
      </c>
      <c r="I210" t="str">
        <f>VLOOKUP(A210,'16.09.2021'!A$3:'16.09.2021'!I$202,9,)</f>
        <v>Marea Britanie</v>
      </c>
      <c r="J210" t="str">
        <f t="shared" si="10"/>
        <v>Nu</v>
      </c>
    </row>
    <row r="211" spans="1:10" x14ac:dyDescent="0.2">
      <c r="A211" t="s">
        <v>15</v>
      </c>
      <c r="B211" t="s">
        <v>415</v>
      </c>
      <c r="C211">
        <v>26309445</v>
      </c>
      <c r="D211" s="5">
        <f t="shared" si="11"/>
        <v>131547.22500000001</v>
      </c>
      <c r="E211" s="2">
        <f>VLOOKUP(A211,'2.09.2021'!A$3:'2.09.2021'!I$202,5,)</f>
        <v>43077</v>
      </c>
      <c r="F211" s="2">
        <v>44448</v>
      </c>
      <c r="G211" s="23">
        <f>VLOOKUP(A211,'2.09.2021'!A$3:'2.09.2021'!I$202,7,)</f>
        <v>0.14652777777777778</v>
      </c>
      <c r="H211" t="str">
        <f>VLOOKUP(A211,'2.09.2021'!A$3:'2.09.2021'!I$202,8,)</f>
        <v>ROCK</v>
      </c>
      <c r="I211" t="str">
        <f>VLOOKUP(A211,'2.09.2021'!A$3:'2.09.2021'!I$202,9,)</f>
        <v>Italia</v>
      </c>
      <c r="J211" t="str">
        <f t="shared" si="10"/>
        <v>Nu</v>
      </c>
    </row>
    <row r="212" spans="1:10" x14ac:dyDescent="0.2">
      <c r="A212" t="s">
        <v>16</v>
      </c>
      <c r="B212" t="s">
        <v>17</v>
      </c>
      <c r="C212">
        <v>24943366</v>
      </c>
      <c r="D212" s="5">
        <f t="shared" si="11"/>
        <v>124716.83000000002</v>
      </c>
      <c r="E212" s="2">
        <f>VLOOKUP(A212,'2.09.2021'!A$3:'2.09.2021'!I$202,5,)</f>
        <v>44337</v>
      </c>
      <c r="F212" s="2">
        <v>44448</v>
      </c>
      <c r="G212" s="23">
        <f>VLOOKUP(A212,'2.09.2021'!A$3:'2.09.2021'!I$202,7,)</f>
        <v>0.12361111111111112</v>
      </c>
      <c r="H212" t="str">
        <f>VLOOKUP(A212,'2.09.2021'!A$3:'2.09.2021'!I$202,8,)</f>
        <v>POP</v>
      </c>
      <c r="I212" t="str">
        <f>VLOOKUP(A212,'2.09.2021'!A$3:'2.09.2021'!I$202,9,)</f>
        <v>SUA</v>
      </c>
      <c r="J212" t="str">
        <f t="shared" si="10"/>
        <v>Nu</v>
      </c>
    </row>
    <row r="213" spans="1:10" x14ac:dyDescent="0.2">
      <c r="A213" t="s">
        <v>19</v>
      </c>
      <c r="B213" t="s">
        <v>20</v>
      </c>
      <c r="C213">
        <v>23088866</v>
      </c>
      <c r="D213" s="5">
        <f t="shared" si="11"/>
        <v>115444.33000000002</v>
      </c>
      <c r="E213" s="2">
        <f>VLOOKUP(A213,'16.09.2021'!A$3:'16.09.2021'!I$202,5,)</f>
        <v>44460</v>
      </c>
      <c r="F213" s="2">
        <v>44448</v>
      </c>
      <c r="G213" s="23">
        <f>VLOOKUP(A213,'16.09.2021'!A$3:'16.09.2021'!I$202,7,)</f>
        <v>5.5555555555555552E-2</v>
      </c>
      <c r="H213" t="str">
        <f>VLOOKUP(A213,'16.09.2021'!A$3:'16.09.2021'!I$202,8,)</f>
        <v>HIP-HOP/RAP</v>
      </c>
      <c r="I213" t="str">
        <f>VLOOKUP(A213,'16.09.2021'!A$3:'16.09.2021'!I$202,9,)</f>
        <v>Canada</v>
      </c>
      <c r="J213" t="str">
        <f t="shared" si="10"/>
        <v>Da</v>
      </c>
    </row>
    <row r="214" spans="1:10" x14ac:dyDescent="0.2">
      <c r="A214" t="s">
        <v>21</v>
      </c>
      <c r="B214" t="s">
        <v>12</v>
      </c>
      <c r="C214">
        <v>22506534</v>
      </c>
      <c r="D214" s="5">
        <f t="shared" si="11"/>
        <v>112532.67</v>
      </c>
      <c r="E214" s="2">
        <f>VLOOKUP(A214,'2.09.2021'!A$3:'2.09.2021'!I$202,5,)</f>
        <v>44371</v>
      </c>
      <c r="F214" s="2">
        <v>44448</v>
      </c>
      <c r="G214" s="23">
        <f>VLOOKUP(A214,'2.09.2021'!A$3:'2.09.2021'!I$202,7,)</f>
        <v>0.14583333333333334</v>
      </c>
      <c r="H214" t="str">
        <f>VLOOKUP(A214,'2.09.2021'!A$3:'2.09.2021'!I$202,8,)</f>
        <v>POP</v>
      </c>
      <c r="I214" t="str">
        <f>VLOOKUP(A214,'2.09.2021'!A$3:'2.09.2021'!I$202,9,)</f>
        <v>SUA</v>
      </c>
      <c r="J214" t="str">
        <f t="shared" si="10"/>
        <v>Nu</v>
      </c>
    </row>
    <row r="215" spans="1:10" x14ac:dyDescent="0.2">
      <c r="A215" t="s">
        <v>30</v>
      </c>
      <c r="B215" t="s">
        <v>20</v>
      </c>
      <c r="C215">
        <v>20658947</v>
      </c>
      <c r="D215" s="5">
        <f t="shared" si="11"/>
        <v>103294.735</v>
      </c>
      <c r="E215" s="2">
        <f>VLOOKUP(A215,'16.09.2021'!A$3:'16.09.2021'!I$202,5,)</f>
        <v>44460</v>
      </c>
      <c r="F215" s="2">
        <v>44448</v>
      </c>
      <c r="G215" s="23">
        <f>VLOOKUP(A215,'16.09.2021'!A$3:'16.09.2021'!I$202,7,)</f>
        <v>0.14097222222222222</v>
      </c>
      <c r="H215" t="str">
        <f>VLOOKUP(A215,'16.09.2021'!A$3:'16.09.2021'!I$202,8,)</f>
        <v>hIP-HOP/RAP</v>
      </c>
      <c r="I215" t="str">
        <f>VLOOKUP(A215,'16.09.2021'!A$3:'16.09.2021'!I$202,9,)</f>
        <v>Canada</v>
      </c>
      <c r="J215" t="str">
        <f t="shared" si="10"/>
        <v>Da</v>
      </c>
    </row>
    <row r="216" spans="1:10" x14ac:dyDescent="0.2">
      <c r="A216" t="s">
        <v>437</v>
      </c>
      <c r="B216" t="s">
        <v>12</v>
      </c>
      <c r="C216">
        <v>19826752</v>
      </c>
      <c r="D216" s="5">
        <f t="shared" si="11"/>
        <v>99133.760000000009</v>
      </c>
      <c r="E216" s="2">
        <f>VLOOKUP(A216,'2.09.2021'!A$3:'2.09.2021'!I$202,5,)</f>
        <v>44295</v>
      </c>
      <c r="F216" s="2">
        <v>44448</v>
      </c>
      <c r="G216" s="23">
        <f>VLOOKUP(A216,'2.09.2021'!A$3:'2.09.2021'!I$202,7,)</f>
        <v>0.14444444444444446</v>
      </c>
      <c r="H216" t="str">
        <f>VLOOKUP(A216,'2.09.2021'!A$3:'2.09.2021'!I$202,8,)</f>
        <v>POP</v>
      </c>
      <c r="I216" t="str">
        <f>VLOOKUP(A216,'2.09.2021'!A$3:'2.09.2021'!I$202,9,)</f>
        <v>SUA</v>
      </c>
      <c r="J216" t="str">
        <f t="shared" si="10"/>
        <v>Da</v>
      </c>
    </row>
    <row r="217" spans="1:10" x14ac:dyDescent="0.2">
      <c r="A217" t="s">
        <v>22</v>
      </c>
      <c r="B217" t="s">
        <v>23</v>
      </c>
      <c r="C217">
        <v>19263184</v>
      </c>
      <c r="D217" s="5">
        <f t="shared" si="11"/>
        <v>96315.920000000013</v>
      </c>
      <c r="E217" s="2">
        <f>VLOOKUP(A217,'2.09.2021'!A$3:'2.09.2021'!I$202,5,)</f>
        <v>44407</v>
      </c>
      <c r="F217" s="2">
        <v>44448</v>
      </c>
      <c r="G217" s="23">
        <f>VLOOKUP(A217,'2.09.2021'!A$3:'2.09.2021'!I$202,7,)</f>
        <v>0.20694444444444446</v>
      </c>
      <c r="H217" t="str">
        <f>VLOOKUP(A217,'2.09.2021'!A$3:'2.09.2021'!I$202,8,)</f>
        <v>ALTERNATIVE</v>
      </c>
      <c r="I217" t="str">
        <f>VLOOKUP(A217,'2.09.2021'!A$3:'2.09.2021'!I$202,9,)</f>
        <v>SUA</v>
      </c>
      <c r="J217" t="str">
        <f t="shared" si="10"/>
        <v>Nu</v>
      </c>
    </row>
    <row r="218" spans="1:10" x14ac:dyDescent="0.2">
      <c r="A218" t="s">
        <v>28</v>
      </c>
      <c r="B218" t="s">
        <v>29</v>
      </c>
      <c r="C218">
        <v>18234742</v>
      </c>
      <c r="D218" s="5">
        <f t="shared" si="11"/>
        <v>91173.709999999992</v>
      </c>
      <c r="E218" s="2">
        <f>VLOOKUP(A218,'16.09.2021'!A$3:'16.09.2021'!I$202,5,)</f>
        <v>44460</v>
      </c>
      <c r="F218" s="2">
        <v>44448</v>
      </c>
      <c r="G218" s="23">
        <f>VLOOKUP(A218,'16.09.2021'!A$3:'16.09.2021'!I$202,7,)</f>
        <v>0.13958333333333334</v>
      </c>
      <c r="H218" t="str">
        <f>VLOOKUP(A218,'16.09.2021'!A$3:'16.09.2021'!I$202,8,)</f>
        <v>POP</v>
      </c>
      <c r="I218" t="str">
        <f>VLOOKUP(A218,'16.09.2021'!A$3:'16.09.2021'!I$202,9,)</f>
        <v>SUA</v>
      </c>
      <c r="J218" t="str">
        <f t="shared" si="10"/>
        <v>Nu</v>
      </c>
    </row>
    <row r="219" spans="1:10" x14ac:dyDescent="0.2">
      <c r="A219" t="s">
        <v>26</v>
      </c>
      <c r="B219" t="s">
        <v>27</v>
      </c>
      <c r="C219">
        <v>17171664</v>
      </c>
      <c r="D219" s="5">
        <f t="shared" si="11"/>
        <v>85858.32</v>
      </c>
      <c r="E219" s="2">
        <f>VLOOKUP(A219,'2.09.2021'!A$3:'2.09.2021'!I$202,5,)</f>
        <v>44421</v>
      </c>
      <c r="F219" s="2">
        <v>44448</v>
      </c>
      <c r="G219" s="23">
        <f>VLOOKUP(A219,'2.09.2021'!A$3:'2.09.2021'!I$202,7,)</f>
        <v>0.14027777777777778</v>
      </c>
      <c r="H219" t="str">
        <f>VLOOKUP(A219,'2.09.2021'!A$3:'2.09.2021'!I$202,8,)</f>
        <v>POP</v>
      </c>
      <c r="I219" t="str">
        <f>VLOOKUP(A219,'2.09.2021'!A$3:'2.09.2021'!I$202,9,)</f>
        <v>Marea Britanie</v>
      </c>
      <c r="J219" t="str">
        <f t="shared" si="10"/>
        <v>Nu</v>
      </c>
    </row>
    <row r="220" spans="1:10" x14ac:dyDescent="0.2">
      <c r="A220" t="s">
        <v>31</v>
      </c>
      <c r="B220" t="s">
        <v>32</v>
      </c>
      <c r="C220">
        <v>16613967</v>
      </c>
      <c r="D220" s="5">
        <f t="shared" si="11"/>
        <v>83069.835000000006</v>
      </c>
      <c r="E220" s="2">
        <f>VLOOKUP(A220,'2.09.2021'!A$3:'2.09.2021'!I$202,5,)</f>
        <v>44351</v>
      </c>
      <c r="F220" s="2">
        <v>44448</v>
      </c>
      <c r="G220" s="23">
        <f>VLOOKUP(A220,'2.09.2021'!A$3:'2.09.2021'!I$202,7,)</f>
        <v>0.14305555555555557</v>
      </c>
      <c r="H220" t="str">
        <f>VLOOKUP(A220,'2.09.2021'!A$3:'2.09.2021'!I$202,8,)</f>
        <v>LATIN URBAN</v>
      </c>
      <c r="I220" t="str">
        <f>VLOOKUP(A220,'2.09.2021'!A$3:'2.09.2021'!I$202,9,)</f>
        <v>Puerto Rico</v>
      </c>
      <c r="J220" t="str">
        <f t="shared" si="10"/>
        <v>Nu</v>
      </c>
    </row>
    <row r="221" spans="1:10" x14ac:dyDescent="0.2">
      <c r="A221" t="s">
        <v>33</v>
      </c>
      <c r="B221" t="s">
        <v>34</v>
      </c>
      <c r="C221">
        <v>16491457</v>
      </c>
      <c r="D221" s="5">
        <f t="shared" si="11"/>
        <v>82457.284999999989</v>
      </c>
      <c r="E221" s="2">
        <f>VLOOKUP(A221,'2.09.2021'!A$3:'2.09.2021'!I$202,5,)</f>
        <v>44338</v>
      </c>
      <c r="F221" s="2">
        <v>44448</v>
      </c>
      <c r="G221" s="23">
        <f>VLOOKUP(A221,'2.09.2021'!A$3:'2.09.2021'!I$202,7,)</f>
        <v>0.13819444444444443</v>
      </c>
      <c r="H221" t="str">
        <f>VLOOKUP(A221,'2.09.2021'!A$3:'2.09.2021'!I$202,8,)</f>
        <v>LATIN URBAN</v>
      </c>
      <c r="I221" t="str">
        <f>VLOOKUP(A221,'2.09.2021'!A$3:'2.09.2021'!I$202,9,)</f>
        <v>Puerto Rico</v>
      </c>
      <c r="J221" t="str">
        <f t="shared" si="10"/>
        <v>Nu</v>
      </c>
    </row>
    <row r="222" spans="1:10" x14ac:dyDescent="0.2">
      <c r="A222" t="s">
        <v>50</v>
      </c>
      <c r="B222" t="s">
        <v>20</v>
      </c>
      <c r="C222">
        <v>15925804</v>
      </c>
      <c r="D222" s="5">
        <f t="shared" si="11"/>
        <v>79629.02</v>
      </c>
      <c r="E222" s="2">
        <f>VLOOKUP(A222,'16.09.2021'!A$3:'16.09.2021'!I$202,5,)</f>
        <v>44460</v>
      </c>
      <c r="F222" s="2">
        <v>44448</v>
      </c>
      <c r="G222" s="23">
        <f>VLOOKUP(A222,'16.09.2021'!A$3:'16.09.2021'!I$202,7,)</f>
        <v>8.5416666666666655E-2</v>
      </c>
      <c r="H222" t="str">
        <f>VLOOKUP(A222,'16.09.2021'!A$3:'16.09.2021'!I$202,8,)</f>
        <v>hIP-HOP/RAP</v>
      </c>
      <c r="I222" t="str">
        <f>VLOOKUP(A222,'16.09.2021'!A$3:'16.09.2021'!I$202,9,)</f>
        <v>Canada</v>
      </c>
      <c r="J222" t="str">
        <f t="shared" si="10"/>
        <v>Da</v>
      </c>
    </row>
    <row r="223" spans="1:10" x14ac:dyDescent="0.2">
      <c r="A223" t="s">
        <v>35</v>
      </c>
      <c r="B223" t="s">
        <v>20</v>
      </c>
      <c r="C223">
        <v>15905936</v>
      </c>
      <c r="D223" s="5">
        <f t="shared" si="11"/>
        <v>79529.679999999993</v>
      </c>
      <c r="E223" s="2">
        <f>VLOOKUP(A223,'16.09.2021'!A$3:'16.09.2021'!I$202,5,)</f>
        <v>44460</v>
      </c>
      <c r="F223" s="2">
        <v>44448</v>
      </c>
      <c r="G223" s="23">
        <f>VLOOKUP(A223,'16.09.2021'!A$3:'16.09.2021'!I$202,7,)</f>
        <v>0.1673611111111111</v>
      </c>
      <c r="H223" t="str">
        <f>VLOOKUP(A223,'16.09.2021'!A$3:'16.09.2021'!I$202,8,)</f>
        <v>HIP-HOP/RAP</v>
      </c>
      <c r="I223" t="str">
        <f>VLOOKUP(A223,'16.09.2021'!A$3:'16.09.2021'!I$202,9,)</f>
        <v>Canada</v>
      </c>
      <c r="J223" t="str">
        <f t="shared" si="10"/>
        <v>Da</v>
      </c>
    </row>
    <row r="224" spans="1:10" x14ac:dyDescent="0.2">
      <c r="A224" t="s">
        <v>414</v>
      </c>
      <c r="B224" t="s">
        <v>36</v>
      </c>
      <c r="C224">
        <v>15694072</v>
      </c>
      <c r="D224" s="5">
        <f t="shared" si="11"/>
        <v>78470.36</v>
      </c>
      <c r="E224" s="2">
        <f>VLOOKUP(A224,'16.09.2021'!A$3:'16.09.2021'!I$202,5,)</f>
        <v>44411</v>
      </c>
      <c r="F224" s="2">
        <v>44448</v>
      </c>
      <c r="G224" s="23">
        <f>VLOOKUP(A224,'16.09.2021'!A$3:'16.09.2021'!I$202,7,)</f>
        <v>0.15972222222222224</v>
      </c>
      <c r="H224" t="str">
        <f>VLOOKUP(A224,'16.09.2021'!A$3:'16.09.2021'!I$202,8,)</f>
        <v>LATIN URBAN</v>
      </c>
      <c r="I224" t="str">
        <f>VLOOKUP(A224,'16.09.2021'!A$3:'16.09.2021'!I$202,9,)</f>
        <v>Republica Dominicană</v>
      </c>
      <c r="J224" t="str">
        <f t="shared" si="10"/>
        <v>Nu</v>
      </c>
    </row>
    <row r="225" spans="1:10" x14ac:dyDescent="0.2">
      <c r="A225" t="s">
        <v>39</v>
      </c>
      <c r="B225" t="s">
        <v>40</v>
      </c>
      <c r="C225">
        <v>15577524</v>
      </c>
      <c r="D225" s="5">
        <f t="shared" si="11"/>
        <v>77887.62</v>
      </c>
      <c r="E225" s="2">
        <f>VLOOKUP(A225,'16.09.2021'!A$3:'16.09.2021'!I$202,5,)</f>
        <v>44257</v>
      </c>
      <c r="F225" s="2">
        <v>44448</v>
      </c>
      <c r="G225" s="23">
        <f>VLOOKUP(A225,'16.09.2021'!A$3:'16.09.2021'!I$202,7,)</f>
        <v>0.1388888888888889</v>
      </c>
      <c r="H225" t="str">
        <f>VLOOKUP(A225,'16.09.2021'!A$3:'16.09.2021'!I$202,8,)</f>
        <v>HIP-HOP/RAP</v>
      </c>
      <c r="I225" t="str">
        <f>VLOOKUP(A225,'16.09.2021'!A$3:'16.09.2021'!I$202,9,)</f>
        <v>Tailanda</v>
      </c>
      <c r="J225" t="str">
        <f t="shared" si="10"/>
        <v>Nu</v>
      </c>
    </row>
    <row r="226" spans="1:10" x14ac:dyDescent="0.2">
      <c r="A226" t="s">
        <v>51</v>
      </c>
      <c r="B226" t="s">
        <v>52</v>
      </c>
      <c r="C226">
        <v>15167133</v>
      </c>
      <c r="D226" s="5">
        <f t="shared" si="11"/>
        <v>75835.664999999994</v>
      </c>
      <c r="E226" s="2">
        <f>VLOOKUP(A226,'2.09.2021'!A$3:'2.09.2021'!I$202,5,)</f>
        <v>44416</v>
      </c>
      <c r="F226" s="2">
        <v>44448</v>
      </c>
      <c r="G226" s="23">
        <f>VLOOKUP(A226,'2.09.2021'!A$3:'2.09.2021'!I$202,7,)</f>
        <v>0.16874999999999998</v>
      </c>
      <c r="H226" t="str">
        <f>VLOOKUP(A226,'2.09.2021'!A$3:'2.09.2021'!I$202,8,)</f>
        <v>HIP-HOP/RAP</v>
      </c>
      <c r="I226" t="str">
        <f>VLOOKUP(A226,'2.09.2021'!A$3:'2.09.2021'!I$202,9,)</f>
        <v>SUA</v>
      </c>
      <c r="J226" t="str">
        <f t="shared" si="10"/>
        <v>Nu</v>
      </c>
    </row>
    <row r="227" spans="1:10" x14ac:dyDescent="0.2">
      <c r="A227" t="s">
        <v>37</v>
      </c>
      <c r="B227" t="s">
        <v>17</v>
      </c>
      <c r="C227">
        <v>15165886</v>
      </c>
      <c r="D227" s="5">
        <f t="shared" si="11"/>
        <v>75829.430000000008</v>
      </c>
      <c r="E227" s="2">
        <f>VLOOKUP(A227,'2.09.2021'!A$3:'2.09.2021'!I$202,5,)</f>
        <v>44337</v>
      </c>
      <c r="F227" s="2">
        <v>44448</v>
      </c>
      <c r="G227" s="23">
        <f>VLOOKUP(A227,'2.09.2021'!A$3:'2.09.2021'!I$202,7,)</f>
        <v>0.15902777777777777</v>
      </c>
      <c r="H227" t="str">
        <f>VLOOKUP(A227,'2.09.2021'!A$3:'2.09.2021'!I$202,8,)</f>
        <v>POP</v>
      </c>
      <c r="I227" t="str">
        <f>VLOOKUP(A227,'2.09.2021'!A$3:'2.09.2021'!I$202,9,)</f>
        <v>SUA</v>
      </c>
      <c r="J227" t="str">
        <f t="shared" si="10"/>
        <v>Nu</v>
      </c>
    </row>
    <row r="228" spans="1:10" x14ac:dyDescent="0.2">
      <c r="A228" t="s">
        <v>439</v>
      </c>
      <c r="B228" t="s">
        <v>38</v>
      </c>
      <c r="C228">
        <v>15154174</v>
      </c>
      <c r="D228" s="5">
        <f t="shared" si="11"/>
        <v>75770.87000000001</v>
      </c>
      <c r="E228" s="2">
        <f>VLOOKUP(A228,'2.09.2021'!A$3:'2.09.2021'!I$202,5,)</f>
        <v>43917</v>
      </c>
      <c r="F228" s="2">
        <v>44448</v>
      </c>
      <c r="G228" s="23">
        <f>VLOOKUP(A228,'2.09.2021'!A$3:'2.09.2021'!I$202,7,)</f>
        <v>0.14097222222222222</v>
      </c>
      <c r="H228" t="str">
        <f>VLOOKUP(A228,'2.09.2021'!A$3:'2.09.2021'!I$202,8,)</f>
        <v>POP</v>
      </c>
      <c r="I228" t="str">
        <f>VLOOKUP(A228,'2.09.2021'!A$3:'2.09.2021'!I$202,9,)</f>
        <v>Marea Britanie</v>
      </c>
      <c r="J228" t="str">
        <f t="shared" si="10"/>
        <v>Da</v>
      </c>
    </row>
    <row r="229" spans="1:10" x14ac:dyDescent="0.2">
      <c r="A229" t="s">
        <v>41</v>
      </c>
      <c r="B229" t="s">
        <v>42</v>
      </c>
      <c r="C229">
        <v>14735208</v>
      </c>
      <c r="D229" s="5">
        <f t="shared" si="11"/>
        <v>73676.040000000008</v>
      </c>
      <c r="E229" s="2">
        <f>VLOOKUP(A229,'2.09.2021'!A$3:'2.09.2021'!I$202,5,)</f>
        <v>44379</v>
      </c>
      <c r="F229" s="2">
        <v>44448</v>
      </c>
      <c r="G229" s="23">
        <f>VLOOKUP(A229,'2.09.2021'!A$3:'2.09.2021'!I$202,7,)</f>
        <v>9.0277777777777776E-2</v>
      </c>
      <c r="H229" t="str">
        <f>VLOOKUP(A229,'2.09.2021'!A$3:'2.09.2021'!I$202,8,)</f>
        <v>LATIN URBAN</v>
      </c>
      <c r="I229" t="str">
        <f>VLOOKUP(A229,'2.09.2021'!A$3:'2.09.2021'!I$202,9,)</f>
        <v>Columbia</v>
      </c>
      <c r="J229" t="str">
        <f t="shared" si="10"/>
        <v>Nu</v>
      </c>
    </row>
    <row r="230" spans="1:10" x14ac:dyDescent="0.2">
      <c r="A230" t="s">
        <v>61</v>
      </c>
      <c r="B230" t="s">
        <v>62</v>
      </c>
      <c r="C230">
        <v>14592123</v>
      </c>
      <c r="D230" s="5">
        <f t="shared" si="11"/>
        <v>72960.614999999991</v>
      </c>
      <c r="E230" s="2">
        <f>VLOOKUP(A230,'30.09.2021'!A$3:'30.09.2021'!I$202,5,)</f>
        <v>44370</v>
      </c>
      <c r="F230" s="2">
        <v>44448</v>
      </c>
      <c r="G230" s="23">
        <f>VLOOKUP(A230,'30.09.2021'!A$3:'30.09.2021'!I$202,7,)</f>
        <v>0.11527777777777777</v>
      </c>
      <c r="H230" t="str">
        <f>VLOOKUP(A230,'30.09.2021'!A$3:'30.09.2021'!I$202,8,)</f>
        <v>POP</v>
      </c>
      <c r="I230" t="str">
        <f>VLOOKUP(A230,'30.09.2021'!A$3:'30.09.2021'!I$202,9,)</f>
        <v>SUA</v>
      </c>
      <c r="J230" t="str">
        <f t="shared" si="10"/>
        <v>Nu</v>
      </c>
    </row>
    <row r="231" spans="1:10" x14ac:dyDescent="0.2">
      <c r="A231" t="s">
        <v>440</v>
      </c>
      <c r="B231" t="s">
        <v>43</v>
      </c>
      <c r="C231">
        <v>14173474</v>
      </c>
      <c r="D231" s="5">
        <f t="shared" si="11"/>
        <v>70867.37</v>
      </c>
      <c r="E231" s="2">
        <f>VLOOKUP(A231,'2.09.2021'!A$3:'2.09.2021'!I$202,5,)</f>
        <v>44274</v>
      </c>
      <c r="F231" s="2">
        <v>44448</v>
      </c>
      <c r="G231" s="23">
        <f>VLOOKUP(A231,'2.09.2021'!A$3:'2.09.2021'!I$202,7,)</f>
        <v>0.13749999999999998</v>
      </c>
      <c r="H231" t="str">
        <f>VLOOKUP(A231,'2.09.2021'!A$3:'2.09.2021'!I$202,8,)</f>
        <v>POP</v>
      </c>
      <c r="I231" t="str">
        <f>VLOOKUP(A231,'2.09.2021'!A$3:'2.09.2021'!I$202,9,)</f>
        <v>Canada</v>
      </c>
      <c r="J231" t="str">
        <f t="shared" si="10"/>
        <v>Da</v>
      </c>
    </row>
    <row r="232" spans="1:10" x14ac:dyDescent="0.2">
      <c r="A232" t="s">
        <v>45</v>
      </c>
      <c r="B232" t="s">
        <v>46</v>
      </c>
      <c r="C232">
        <v>13898588</v>
      </c>
      <c r="D232" s="5">
        <f t="shared" si="11"/>
        <v>69492.94</v>
      </c>
      <c r="E232" s="2">
        <f>VLOOKUP(A232,'2.09.2021'!A$3:'2.09.2021'!I$202,5,)</f>
        <v>44414</v>
      </c>
      <c r="F232" s="2">
        <v>44448</v>
      </c>
      <c r="G232" s="23">
        <f>VLOOKUP(A232,'2.09.2021'!A$3:'2.09.2021'!I$202,7,)</f>
        <v>0.15277777777777776</v>
      </c>
      <c r="H232" t="str">
        <f>VLOOKUP(A232,'2.09.2021'!A$3:'2.09.2021'!I$202,8,)</f>
        <v>R&amp;B/SOUL</v>
      </c>
      <c r="I232" t="str">
        <f>VLOOKUP(A232,'2.09.2021'!A$3:'2.09.2021'!I$202,9,)</f>
        <v>Canada</v>
      </c>
      <c r="J232" t="str">
        <f t="shared" si="10"/>
        <v>Nu</v>
      </c>
    </row>
    <row r="233" spans="1:10" x14ac:dyDescent="0.2">
      <c r="A233" t="s">
        <v>24</v>
      </c>
      <c r="B233" t="s">
        <v>25</v>
      </c>
      <c r="C233">
        <v>13833060</v>
      </c>
      <c r="D233" s="5">
        <f t="shared" si="11"/>
        <v>69165.3</v>
      </c>
      <c r="E233" s="2">
        <f>VLOOKUP(A233,'30.09.2021'!A$3:'30.09.2021'!I$202,5,)</f>
        <v>44337</v>
      </c>
      <c r="F233" s="2">
        <v>44448</v>
      </c>
      <c r="G233" s="23">
        <f>VLOOKUP(A233,'30.09.2021'!A$3:'30.09.2021'!I$202,7,)</f>
        <v>0.1013888888888889</v>
      </c>
      <c r="H233" t="str">
        <f>VLOOKUP(A233,'30.09.2021'!A$3:'30.09.2021'!I$202,8,)</f>
        <v>AFROBEATS</v>
      </c>
      <c r="I233" t="str">
        <f>VLOOKUP(A233,'30.09.2021'!A$3:'30.09.2021'!I$202,9,)</f>
        <v>Africa</v>
      </c>
      <c r="J233" t="str">
        <f t="shared" si="10"/>
        <v>Nu</v>
      </c>
    </row>
    <row r="234" spans="1:10" x14ac:dyDescent="0.2">
      <c r="A234" t="s">
        <v>417</v>
      </c>
      <c r="B234" t="s">
        <v>42</v>
      </c>
      <c r="C234">
        <v>13614671</v>
      </c>
      <c r="D234" s="5">
        <f t="shared" si="11"/>
        <v>68073.354999999996</v>
      </c>
      <c r="E234" s="2">
        <f>VLOOKUP(A234,'2.09.2021'!A$3:'2.09.2021'!I$202,5,)</f>
        <v>44344</v>
      </c>
      <c r="F234" s="2">
        <v>44448</v>
      </c>
      <c r="G234" s="23">
        <f>VLOOKUP(A234,'2.09.2021'!A$3:'2.09.2021'!I$202,7,)</f>
        <v>0.15069444444444444</v>
      </c>
      <c r="H234" t="str">
        <f>VLOOKUP(A234,'2.09.2021'!A$3:'2.09.2021'!I$202,8,)</f>
        <v>LATIN URBAN</v>
      </c>
      <c r="I234" t="str">
        <f>VLOOKUP(A234,'2.09.2021'!A$3:'2.09.2021'!I$202,9,)</f>
        <v>Columbia</v>
      </c>
      <c r="J234" t="str">
        <f t="shared" si="10"/>
        <v>Nu</v>
      </c>
    </row>
    <row r="235" spans="1:10" x14ac:dyDescent="0.2">
      <c r="A235" t="s">
        <v>47</v>
      </c>
      <c r="B235" t="s">
        <v>48</v>
      </c>
      <c r="C235">
        <v>13473188</v>
      </c>
      <c r="D235" s="5">
        <f t="shared" si="11"/>
        <v>67365.94</v>
      </c>
      <c r="E235" s="2">
        <f>VLOOKUP(A235,'30.09.2021'!A$3:'30.09.2021'!I$202,5,)</f>
        <v>44347</v>
      </c>
      <c r="F235" s="2">
        <v>44448</v>
      </c>
      <c r="G235" s="23">
        <f>VLOOKUP(A235,'30.09.2021'!A$3:'30.09.2021'!I$202,7,)</f>
        <v>0.15625</v>
      </c>
      <c r="H235" t="str">
        <f>VLOOKUP(A235,'30.09.2021'!A$3:'30.09.2021'!I$202,8,)</f>
        <v>POP</v>
      </c>
      <c r="I235" t="str">
        <f>VLOOKUP(A235,'30.09.2021'!A$3:'30.09.2021'!I$202,9,)</f>
        <v>SUA</v>
      </c>
      <c r="J235" t="str">
        <f t="shared" si="10"/>
        <v>Nu</v>
      </c>
    </row>
    <row r="236" spans="1:10" x14ac:dyDescent="0.2">
      <c r="A236" t="s">
        <v>53</v>
      </c>
      <c r="B236" t="s">
        <v>415</v>
      </c>
      <c r="C236">
        <v>13194771</v>
      </c>
      <c r="D236" s="5">
        <f t="shared" si="11"/>
        <v>65973.85500000001</v>
      </c>
      <c r="E236" s="2">
        <f>VLOOKUP(A236,'2.09.2021'!A$3:'2.09.2021'!I$202,5,)</f>
        <v>44274</v>
      </c>
      <c r="F236" s="2">
        <v>44448</v>
      </c>
      <c r="G236" s="23">
        <f>VLOOKUP(A236,'2.09.2021'!A$3:'2.09.2021'!I$202,7,)</f>
        <v>0.12013888888888889</v>
      </c>
      <c r="H236" t="str">
        <f>VLOOKUP(A236,'2.09.2021'!A$3:'2.09.2021'!I$202,8,)</f>
        <v>ROCK</v>
      </c>
      <c r="I236" t="str">
        <f>VLOOKUP(A236,'2.09.2021'!A$3:'2.09.2021'!I$202,9,)</f>
        <v>Italia</v>
      </c>
      <c r="J236" t="str">
        <f t="shared" si="10"/>
        <v>Nu</v>
      </c>
    </row>
    <row r="237" spans="1:10" x14ac:dyDescent="0.2">
      <c r="A237" t="s">
        <v>49</v>
      </c>
      <c r="B237" t="s">
        <v>46</v>
      </c>
      <c r="C237">
        <v>13014956</v>
      </c>
      <c r="D237" s="5">
        <f t="shared" si="11"/>
        <v>65074.78</v>
      </c>
      <c r="E237" s="2">
        <f>VLOOKUP(A237,'2.09.2021'!A$3:'2.09.2021'!I$202,5,)</f>
        <v>43798</v>
      </c>
      <c r="F237" s="2">
        <v>44448</v>
      </c>
      <c r="G237" s="23">
        <f>VLOOKUP(A237,'2.09.2021'!A$3:'2.09.2021'!I$202,7,)</f>
        <v>0.13958333333333334</v>
      </c>
      <c r="H237" t="str">
        <f>VLOOKUP(A237,'2.09.2021'!A$3:'2.09.2021'!I$202,8,)</f>
        <v>R&amp;B/SOUL</v>
      </c>
      <c r="I237" t="str">
        <f>VLOOKUP(A237,'2.09.2021'!A$3:'2.09.2021'!I$202,9,)</f>
        <v>Canada</v>
      </c>
      <c r="J237" t="str">
        <f t="shared" si="10"/>
        <v>Nu</v>
      </c>
    </row>
    <row r="238" spans="1:10" x14ac:dyDescent="0.2">
      <c r="A238" t="s">
        <v>56</v>
      </c>
      <c r="B238" t="s">
        <v>46</v>
      </c>
      <c r="C238">
        <v>12579776</v>
      </c>
      <c r="D238" s="5">
        <f t="shared" si="11"/>
        <v>62898.879999999997</v>
      </c>
      <c r="E238" s="2">
        <f>VLOOKUP(A238,'2.09.2021'!A$3:'2.09.2021'!I$202,5,)</f>
        <v>43910</v>
      </c>
      <c r="F238" s="2">
        <v>44448</v>
      </c>
      <c r="G238" s="23">
        <f>VLOOKUP(A238,'2.09.2021'!A$3:'2.09.2021'!I$202,7,)</f>
        <v>0.14930555555555555</v>
      </c>
      <c r="H238" t="str">
        <f>VLOOKUP(A238,'2.09.2021'!A$3:'2.09.2021'!I$202,8,)</f>
        <v>R&amp;B/SOUL</v>
      </c>
      <c r="I238" t="str">
        <f>VLOOKUP(A238,'2.09.2021'!A$3:'2.09.2021'!I$202,9,)</f>
        <v>Canada</v>
      </c>
      <c r="J238" t="str">
        <f t="shared" si="10"/>
        <v>Da</v>
      </c>
    </row>
    <row r="239" spans="1:10" x14ac:dyDescent="0.2">
      <c r="A239" t="s">
        <v>447</v>
      </c>
      <c r="B239" t="s">
        <v>2</v>
      </c>
      <c r="C239">
        <v>12520878</v>
      </c>
      <c r="D239" s="5">
        <f t="shared" si="11"/>
        <v>62604.39</v>
      </c>
      <c r="E239" s="2">
        <f>VLOOKUP(A239,'30.09.2021'!A$3:'30.09.2021'!I$202,5,)</f>
        <v>44476</v>
      </c>
      <c r="F239" s="2">
        <v>44448</v>
      </c>
      <c r="G239" s="23">
        <f>VLOOKUP(A239,'30.09.2021'!A$3:'30.09.2021'!I$202,7,)</f>
        <v>0.22430555555555556</v>
      </c>
      <c r="H239" t="str">
        <f>VLOOKUP(A239,'30.09.2021'!A$3:'30.09.2021'!I$202,8,)</f>
        <v>HIP-HOP/RAP</v>
      </c>
      <c r="I239" t="str">
        <f>VLOOKUP(A239,'30.09.2021'!A$3:'30.09.2021'!I$202,9,)</f>
        <v>SUA</v>
      </c>
      <c r="J239" t="str">
        <f t="shared" si="10"/>
        <v>Da</v>
      </c>
    </row>
    <row r="240" spans="1:10" x14ac:dyDescent="0.2">
      <c r="A240">
        <v>2055</v>
      </c>
      <c r="B240" t="s">
        <v>60</v>
      </c>
      <c r="C240">
        <v>12485782</v>
      </c>
      <c r="D240" s="5">
        <f t="shared" si="11"/>
        <v>62428.909999999996</v>
      </c>
      <c r="E240" s="2">
        <f>VLOOKUP(A240,'2.09.2021'!A$3:'2.09.2021'!I$202,5,)</f>
        <v>44300</v>
      </c>
      <c r="F240" s="2">
        <v>44448</v>
      </c>
      <c r="G240" s="23">
        <f>VLOOKUP(A240,'2.09.2021'!A$3:'2.09.2021'!I$202,7,)</f>
        <v>8.5416666666666655E-2</v>
      </c>
      <c r="H240" t="str">
        <f>VLOOKUP(A240,'2.09.2021'!A$3:'2.09.2021'!I$202,8,)</f>
        <v>HIP-HOP/RAP</v>
      </c>
      <c r="I240" t="str">
        <f>VLOOKUP(A240,'2.09.2021'!A$3:'2.09.2021'!I$202,9,)</f>
        <v>Jamaica</v>
      </c>
      <c r="J240" t="str">
        <f t="shared" si="10"/>
        <v>Nu</v>
      </c>
    </row>
    <row r="241" spans="1:10" x14ac:dyDescent="0.2">
      <c r="A241" t="s">
        <v>57</v>
      </c>
      <c r="B241" t="s">
        <v>17</v>
      </c>
      <c r="C241">
        <v>11952143</v>
      </c>
      <c r="D241" s="5">
        <f t="shared" si="11"/>
        <v>59760.714999999997</v>
      </c>
      <c r="E241" s="2">
        <f>VLOOKUP(A241,'2.09.2021'!A$3:'2.09.2021'!I$202,5,)</f>
        <v>44204</v>
      </c>
      <c r="F241" s="2">
        <v>44448</v>
      </c>
      <c r="G241" s="23">
        <f>VLOOKUP(A241,'2.09.2021'!A$3:'2.09.2021'!I$202,7,)</f>
        <v>0.16805555555555554</v>
      </c>
      <c r="H241" t="str">
        <f>VLOOKUP(A241,'2.09.2021'!A$3:'2.09.2021'!I$202,8,)</f>
        <v>POP</v>
      </c>
      <c r="I241" t="str">
        <f>VLOOKUP(A241,'2.09.2021'!A$3:'2.09.2021'!I$202,9,)</f>
        <v>SUA</v>
      </c>
      <c r="J241" t="str">
        <f t="shared" si="10"/>
        <v>Nu</v>
      </c>
    </row>
    <row r="242" spans="1:10" x14ac:dyDescent="0.2">
      <c r="A242" t="s">
        <v>65</v>
      </c>
      <c r="B242" t="s">
        <v>12</v>
      </c>
      <c r="C242">
        <v>11866242</v>
      </c>
      <c r="D242" s="5">
        <f t="shared" si="11"/>
        <v>59331.21</v>
      </c>
      <c r="E242" s="2">
        <f>VLOOKUP(A242,'2.09.2021'!A$3:'2.09.2021'!I$202,5,)</f>
        <v>44372</v>
      </c>
      <c r="F242" s="2">
        <v>44448</v>
      </c>
      <c r="G242" s="23">
        <f>VLOOKUP(A242,'2.09.2021'!A$3:'2.09.2021'!I$202,7,)</f>
        <v>9.5833333333333326E-2</v>
      </c>
      <c r="H242" t="str">
        <f>VLOOKUP(A242,'2.09.2021'!A$3:'2.09.2021'!I$202,8,)</f>
        <v>POP</v>
      </c>
      <c r="I242" t="str">
        <f>VLOOKUP(A242,'2.09.2021'!A$3:'2.09.2021'!I$202,9,)</f>
        <v>SUA</v>
      </c>
      <c r="J242" t="str">
        <f t="shared" si="10"/>
        <v>Nu</v>
      </c>
    </row>
    <row r="243" spans="1:10" x14ac:dyDescent="0.2">
      <c r="A243" t="s">
        <v>58</v>
      </c>
      <c r="B243" t="s">
        <v>59</v>
      </c>
      <c r="C243">
        <v>11353821</v>
      </c>
      <c r="D243" s="5">
        <f t="shared" si="11"/>
        <v>56769.104999999996</v>
      </c>
      <c r="E243" s="2">
        <f>VLOOKUP(A243,'2.09.2021'!A$3:'2.09.2021'!I$202,5,)</f>
        <v>44320</v>
      </c>
      <c r="F243" s="2">
        <v>44448</v>
      </c>
      <c r="G243" s="23">
        <f>VLOOKUP(A243,'2.09.2021'!A$3:'2.09.2021'!I$202,7,)</f>
        <v>0.14097222222222222</v>
      </c>
      <c r="H243" t="str">
        <f>VLOOKUP(A243,'2.09.2021'!A$3:'2.09.2021'!I$202,8,)</f>
        <v>R&amp;B/SOUL</v>
      </c>
      <c r="I243" t="str">
        <f>VLOOKUP(A243,'2.09.2021'!A$3:'2.09.2021'!I$202,9,)</f>
        <v>Olanda</v>
      </c>
      <c r="J243" t="str">
        <f t="shared" si="10"/>
        <v>Nu</v>
      </c>
    </row>
    <row r="244" spans="1:10" x14ac:dyDescent="0.2">
      <c r="A244" t="s">
        <v>427</v>
      </c>
      <c r="B244" t="s">
        <v>34</v>
      </c>
      <c r="C244">
        <v>11285718</v>
      </c>
      <c r="D244" s="5">
        <f t="shared" si="11"/>
        <v>56428.590000000004</v>
      </c>
      <c r="E244" s="2">
        <f>VLOOKUP(A244,'2.09.2021'!A$3:'2.09.2021'!I$202,5,)</f>
        <v>44372</v>
      </c>
      <c r="F244" s="2">
        <v>44448</v>
      </c>
      <c r="G244" s="23">
        <f>VLOOKUP(A244,'2.09.2021'!A$3:'2.09.2021'!I$202,7,)</f>
        <v>0.11388888888888889</v>
      </c>
      <c r="H244" t="str">
        <f>VLOOKUP(A244,'2.09.2021'!A$3:'2.09.2021'!I$202,8,)</f>
        <v>LATIN URBAN</v>
      </c>
      <c r="I244" t="str">
        <f>VLOOKUP(A244,'2.09.2021'!A$3:'2.09.2021'!I$202,9,)</f>
        <v>Puerto Rico</v>
      </c>
      <c r="J244" t="str">
        <f t="shared" si="10"/>
        <v>Nu</v>
      </c>
    </row>
    <row r="245" spans="1:10" x14ac:dyDescent="0.2">
      <c r="A245" t="s">
        <v>63</v>
      </c>
      <c r="B245" t="s">
        <v>64</v>
      </c>
      <c r="C245">
        <v>11265184</v>
      </c>
      <c r="D245" s="5">
        <f t="shared" si="11"/>
        <v>56325.919999999998</v>
      </c>
      <c r="E245" s="2">
        <f>VLOOKUP(A245,'30.09.2021'!A$3:'30.09.2021'!I$202,5,)</f>
        <v>44370</v>
      </c>
      <c r="F245" s="2">
        <v>44448</v>
      </c>
      <c r="G245" s="23">
        <f>VLOOKUP(A245,'30.09.2021'!A$3:'30.09.2021'!I$202,7,)</f>
        <v>9.930555555555555E-2</v>
      </c>
      <c r="H245" t="str">
        <f>VLOOKUP(A245,'30.09.2021'!A$3:'30.09.2021'!I$202,8,)</f>
        <v>LATIN URBAN</v>
      </c>
      <c r="I245" t="str">
        <f>VLOOKUP(A245,'30.09.2021'!A$3:'30.09.2021'!I$202,9,)</f>
        <v>Puerto Rico</v>
      </c>
      <c r="J245" t="str">
        <f t="shared" si="10"/>
        <v>Nu</v>
      </c>
    </row>
    <row r="246" spans="1:10" x14ac:dyDescent="0.2">
      <c r="A246" t="s">
        <v>74</v>
      </c>
      <c r="B246" t="s">
        <v>17</v>
      </c>
      <c r="C246">
        <v>11066776</v>
      </c>
      <c r="D246" s="5">
        <f t="shared" si="11"/>
        <v>55333.88</v>
      </c>
      <c r="E246" s="2">
        <f>VLOOKUP(A246,'2.09.2021'!A$3:'2.09.2021'!I$202,5,)</f>
        <v>44337</v>
      </c>
      <c r="F246" s="2">
        <v>44448</v>
      </c>
      <c r="G246" s="23">
        <f>VLOOKUP(A246,'2.09.2021'!A$3:'2.09.2021'!I$202,7,)</f>
        <v>0.14930555555555555</v>
      </c>
      <c r="H246" t="str">
        <f>VLOOKUP(A246,'2.09.2021'!A$3:'2.09.2021'!I$202,8,)</f>
        <v>POP</v>
      </c>
      <c r="I246" t="str">
        <f>VLOOKUP(A246,'2.09.2021'!A$3:'2.09.2021'!I$202,9,)</f>
        <v>SUA</v>
      </c>
      <c r="J246" t="str">
        <f t="shared" si="10"/>
        <v>Nu</v>
      </c>
    </row>
    <row r="247" spans="1:10" x14ac:dyDescent="0.2">
      <c r="A247" t="s">
        <v>77</v>
      </c>
      <c r="B247" t="s">
        <v>78</v>
      </c>
      <c r="C247">
        <v>11002366</v>
      </c>
      <c r="D247" s="5">
        <f t="shared" si="11"/>
        <v>55011.83</v>
      </c>
      <c r="E247" s="2">
        <f>VLOOKUP(A247,'30.09.2021'!A$3:'30.09.2021'!I$202,5,)</f>
        <v>44435</v>
      </c>
      <c r="F247" s="2">
        <v>44448</v>
      </c>
      <c r="G247" s="23">
        <f>VLOOKUP(A247,'30.09.2021'!A$3:'30.09.2021'!I$202,7,)</f>
        <v>0.13194444444444445</v>
      </c>
      <c r="H247" t="str">
        <f>VLOOKUP(A247,'30.09.2021'!A$3:'30.09.2021'!I$202,8,)</f>
        <v>POP</v>
      </c>
      <c r="I247" t="str">
        <f>VLOOKUP(A247,'30.09.2021'!A$3:'30.09.2021'!I$202,9,)</f>
        <v>Mexic</v>
      </c>
      <c r="J247" t="str">
        <f t="shared" si="10"/>
        <v>Nu</v>
      </c>
    </row>
    <row r="248" spans="1:10" x14ac:dyDescent="0.2">
      <c r="A248" t="s">
        <v>79</v>
      </c>
      <c r="B248" t="s">
        <v>80</v>
      </c>
      <c r="C248">
        <v>10790268</v>
      </c>
      <c r="D248" s="5">
        <f t="shared" si="11"/>
        <v>53951.34</v>
      </c>
      <c r="E248" s="2">
        <f>VLOOKUP(A248,'2.09.2021'!A$3:'2.09.2021'!I$202,5,)</f>
        <v>44435</v>
      </c>
      <c r="F248" s="2">
        <v>44448</v>
      </c>
      <c r="G248" s="23">
        <f>VLOOKUP(A248,'2.09.2021'!A$3:'2.09.2021'!I$202,7,)</f>
        <v>0.17500000000000002</v>
      </c>
      <c r="H248" t="str">
        <f>VLOOKUP(A248,'2.09.2021'!A$3:'2.09.2021'!I$202,8,)</f>
        <v>HIP-HOP/RAP</v>
      </c>
      <c r="I248" t="str">
        <f>VLOOKUP(A248,'2.09.2021'!A$3:'2.09.2021'!I$202,9,)</f>
        <v>SUA</v>
      </c>
      <c r="J248" t="str">
        <f t="shared" si="10"/>
        <v>Da</v>
      </c>
    </row>
    <row r="249" spans="1:10" x14ac:dyDescent="0.2">
      <c r="A249" t="s">
        <v>70</v>
      </c>
      <c r="B249" t="s">
        <v>71</v>
      </c>
      <c r="C249">
        <v>10781878</v>
      </c>
      <c r="D249" s="5">
        <f t="shared" si="11"/>
        <v>53909.39</v>
      </c>
      <c r="E249" s="2">
        <f>VLOOKUP(A249,'2.09.2021'!A$3:'2.09.2021'!I$202,5,)</f>
        <v>44371</v>
      </c>
      <c r="F249" s="2">
        <v>44448</v>
      </c>
      <c r="G249" s="23">
        <f>VLOOKUP(A249,'2.09.2021'!A$3:'2.09.2021'!I$202,7,)</f>
        <v>0.18124999999999999</v>
      </c>
      <c r="H249" t="str">
        <f>VLOOKUP(A249,'2.09.2021'!A$3:'2.09.2021'!I$202,8,)</f>
        <v>LATIN URBAN</v>
      </c>
      <c r="I249" t="str">
        <f>VLOOKUP(A249,'2.09.2021'!A$3:'2.09.2021'!I$202,9,)</f>
        <v>Puerto Rico</v>
      </c>
      <c r="J249" t="str">
        <f t="shared" si="10"/>
        <v>Nu</v>
      </c>
    </row>
    <row r="250" spans="1:10" x14ac:dyDescent="0.2">
      <c r="A250" t="s">
        <v>72</v>
      </c>
      <c r="B250" t="s">
        <v>73</v>
      </c>
      <c r="C250">
        <v>10771882</v>
      </c>
      <c r="D250" s="5">
        <f t="shared" si="11"/>
        <v>53859.409999999996</v>
      </c>
      <c r="E250" s="2">
        <f>VLOOKUP(A250,'2.09.2021'!A$3:'2.09.2021'!I$202,5,)</f>
        <v>44385</v>
      </c>
      <c r="F250" s="2">
        <v>44448</v>
      </c>
      <c r="G250" s="23">
        <f>VLOOKUP(A250,'2.09.2021'!A$3:'2.09.2021'!I$202,7,)</f>
        <v>0.18958333333333333</v>
      </c>
      <c r="H250" t="str">
        <f>VLOOKUP(A250,'2.09.2021'!A$3:'2.09.2021'!I$202,8,)</f>
        <v>LATIN</v>
      </c>
      <c r="I250" t="str">
        <f>VLOOKUP(A250,'2.09.2021'!A$3:'2.09.2021'!I$202,9,)</f>
        <v>Puerto Rico</v>
      </c>
      <c r="J250" t="str">
        <f t="shared" si="10"/>
        <v>Nu</v>
      </c>
    </row>
    <row r="251" spans="1:10" x14ac:dyDescent="0.2">
      <c r="A251" t="s">
        <v>457</v>
      </c>
      <c r="B251" t="s">
        <v>2</v>
      </c>
      <c r="C251">
        <v>10550949</v>
      </c>
      <c r="D251" s="5">
        <f t="shared" si="11"/>
        <v>52754.745000000003</v>
      </c>
      <c r="E251" s="2">
        <v>44328</v>
      </c>
      <c r="F251" s="2">
        <v>44448</v>
      </c>
      <c r="G251" s="23">
        <v>0.14097222222222222</v>
      </c>
      <c r="H251" t="s">
        <v>423</v>
      </c>
      <c r="I251" t="s">
        <v>468</v>
      </c>
      <c r="J251" t="str">
        <f t="shared" si="10"/>
        <v>Da</v>
      </c>
    </row>
    <row r="252" spans="1:10" x14ac:dyDescent="0.2">
      <c r="A252" t="s">
        <v>68</v>
      </c>
      <c r="B252" t="s">
        <v>69</v>
      </c>
      <c r="C252">
        <v>10490056</v>
      </c>
      <c r="D252" s="5">
        <f t="shared" si="11"/>
        <v>52450.28</v>
      </c>
      <c r="E252" s="2">
        <f>VLOOKUP(A252,'2.09.2021'!A$3:'2.09.2021'!I$202,5,)</f>
        <v>44385</v>
      </c>
      <c r="F252" s="2">
        <v>44448</v>
      </c>
      <c r="G252" s="23">
        <f>VLOOKUP(A252,'2.09.2021'!A$3:'2.09.2021'!I$202,7,)</f>
        <v>0.13958333333333334</v>
      </c>
      <c r="H252" t="str">
        <f>VLOOKUP(A252,'2.09.2021'!A$3:'2.09.2021'!I$202,8,)</f>
        <v>LATIN URBAN</v>
      </c>
      <c r="I252" t="str">
        <f>VLOOKUP(A252,'2.09.2021'!A$3:'2.09.2021'!I$202,9,)</f>
        <v>Columbia</v>
      </c>
      <c r="J252" t="str">
        <f t="shared" si="10"/>
        <v>Nu</v>
      </c>
    </row>
    <row r="253" spans="1:10" x14ac:dyDescent="0.2">
      <c r="A253" t="s">
        <v>54</v>
      </c>
      <c r="B253" t="s">
        <v>55</v>
      </c>
      <c r="C253">
        <v>10212971</v>
      </c>
      <c r="D253" s="5">
        <f t="shared" si="11"/>
        <v>51064.854999999996</v>
      </c>
      <c r="E253" s="2">
        <f>VLOOKUP(A253,'2.09.2021'!A$3:'2.09.2021'!I$202,5,)</f>
        <v>44337</v>
      </c>
      <c r="F253" s="2">
        <v>44448</v>
      </c>
      <c r="G253" s="23">
        <f>VLOOKUP(A253,'2.09.2021'!A$3:'2.09.2021'!I$202,7,)</f>
        <v>0.11388888888888889</v>
      </c>
      <c r="H253" t="str">
        <f>VLOOKUP(A253,'2.09.2021'!A$3:'2.09.2021'!I$202,8,)</f>
        <v>K-POP</v>
      </c>
      <c r="I253" t="str">
        <f>VLOOKUP(A253,'2.09.2021'!A$3:'2.09.2021'!I$202,9,)</f>
        <v>Korea de Sud</v>
      </c>
      <c r="J253" t="str">
        <f t="shared" si="10"/>
        <v>Nu</v>
      </c>
    </row>
    <row r="254" spans="1:10" x14ac:dyDescent="0.2">
      <c r="A254" t="s">
        <v>66</v>
      </c>
      <c r="B254" t="s">
        <v>67</v>
      </c>
      <c r="C254">
        <v>9999678</v>
      </c>
      <c r="D254" s="5">
        <f t="shared" si="11"/>
        <v>49998.39</v>
      </c>
      <c r="E254" s="2">
        <f>VLOOKUP(A254,'30.09.2021'!A$3:'30.09.2021'!I$202,5,)</f>
        <v>44366</v>
      </c>
      <c r="F254" s="2">
        <v>44448</v>
      </c>
      <c r="G254" s="23">
        <f>VLOOKUP(A254,'30.09.2021'!A$3:'30.09.2021'!I$202,7,)</f>
        <v>0.24930555555555556</v>
      </c>
      <c r="H254" t="str">
        <f>VLOOKUP(A254,'30.09.2021'!A$3:'30.09.2021'!I$202,8,)</f>
        <v>POP</v>
      </c>
      <c r="I254" t="str">
        <f>VLOOKUP(A254,'30.09.2021'!A$3:'30.09.2021'!I$202,9,)</f>
        <v>Belgia</v>
      </c>
      <c r="J254" t="str">
        <f t="shared" si="10"/>
        <v>Nu</v>
      </c>
    </row>
    <row r="255" spans="1:10" x14ac:dyDescent="0.2">
      <c r="A255" t="s">
        <v>441</v>
      </c>
      <c r="B255" t="s">
        <v>76</v>
      </c>
      <c r="C255">
        <v>9869162</v>
      </c>
      <c r="D255" s="5">
        <f t="shared" si="11"/>
        <v>49345.81</v>
      </c>
      <c r="E255" s="2">
        <f>VLOOKUP(A255,'2.09.2021'!A$3:'2.09.2021'!I$202,5,)</f>
        <v>44370</v>
      </c>
      <c r="F255" s="2">
        <v>44448</v>
      </c>
      <c r="G255" s="23">
        <f>VLOOKUP(A255,'2.09.2021'!A$3:'2.09.2021'!I$202,7,)</f>
        <v>0.18124999999999999</v>
      </c>
      <c r="H255" t="str">
        <f>VLOOKUP(A255,'2.09.2021'!A$3:'2.09.2021'!I$202,8,)</f>
        <v>ROCK</v>
      </c>
      <c r="I255" t="str">
        <f>VLOOKUP(A255,'2.09.2021'!A$3:'2.09.2021'!I$202,9,)</f>
        <v>Marea Britanie</v>
      </c>
      <c r="J255" t="str">
        <f t="shared" si="10"/>
        <v>Da</v>
      </c>
    </row>
    <row r="256" spans="1:10" x14ac:dyDescent="0.2">
      <c r="A256" t="s">
        <v>91</v>
      </c>
      <c r="B256" t="s">
        <v>92</v>
      </c>
      <c r="C256">
        <v>9813362</v>
      </c>
      <c r="D256" s="5">
        <f t="shared" si="11"/>
        <v>49066.81</v>
      </c>
      <c r="E256" s="2">
        <f>VLOOKUP(A256,'2.09.2021'!A$3:'2.09.2021'!I$202,5,)</f>
        <v>44276</v>
      </c>
      <c r="F256" s="2">
        <v>44448</v>
      </c>
      <c r="G256" s="23">
        <f>VLOOKUP(A256,'2.09.2021'!A$3:'2.09.2021'!I$202,7,)</f>
        <v>0.17500000000000002</v>
      </c>
      <c r="H256" t="str">
        <f>VLOOKUP(A256,'2.09.2021'!A$3:'2.09.2021'!I$202,8,)</f>
        <v>POP</v>
      </c>
      <c r="I256" t="str">
        <f>VLOOKUP(A256,'2.09.2021'!A$3:'2.09.2021'!I$202,9,)</f>
        <v>Marea Britanie</v>
      </c>
      <c r="J256" t="str">
        <f t="shared" si="10"/>
        <v>Nu</v>
      </c>
    </row>
    <row r="257" spans="1:10" x14ac:dyDescent="0.2">
      <c r="A257" t="s">
        <v>83</v>
      </c>
      <c r="B257" t="s">
        <v>84</v>
      </c>
      <c r="C257">
        <v>9777591</v>
      </c>
      <c r="D257" s="5">
        <f t="shared" si="11"/>
        <v>48887.955000000002</v>
      </c>
      <c r="E257" s="2">
        <f>VLOOKUP(A257,'2.09.2021'!A$3:'2.09.2021'!I$202,5,)</f>
        <v>43812</v>
      </c>
      <c r="F257" s="2">
        <v>44448</v>
      </c>
      <c r="G257" s="23">
        <f>VLOOKUP(A257,'2.09.2021'!A$3:'2.09.2021'!I$202,7,)</f>
        <v>0.12013888888888889</v>
      </c>
      <c r="H257" t="str">
        <f>VLOOKUP(A257,'2.09.2021'!A$3:'2.09.2021'!I$202,8,)</f>
        <v>POP</v>
      </c>
      <c r="I257" t="str">
        <f>VLOOKUP(A257,'2.09.2021'!A$3:'2.09.2021'!I$202,9,)</f>
        <v>Marea Britanie</v>
      </c>
      <c r="J257" t="str">
        <f t="shared" si="10"/>
        <v>Nu</v>
      </c>
    </row>
    <row r="258" spans="1:10" x14ac:dyDescent="0.2">
      <c r="A258" t="s">
        <v>356</v>
      </c>
      <c r="B258" t="s">
        <v>2</v>
      </c>
      <c r="C258">
        <v>9615847</v>
      </c>
      <c r="D258" s="5">
        <f t="shared" si="11"/>
        <v>48079.235000000001</v>
      </c>
      <c r="E258" s="2">
        <v>44328</v>
      </c>
      <c r="F258" s="2">
        <v>44448</v>
      </c>
      <c r="G258" s="23">
        <v>0.11319444444444444</v>
      </c>
      <c r="H258" t="s">
        <v>423</v>
      </c>
      <c r="I258" t="s">
        <v>468</v>
      </c>
      <c r="J258" t="str">
        <f t="shared" ref="J258:J321" si="12">IF(ISNUMBER(SEARCH("with",A258)),"Da","Nu")</f>
        <v>Nu</v>
      </c>
    </row>
    <row r="259" spans="1:10" x14ac:dyDescent="0.2">
      <c r="A259" t="s">
        <v>81</v>
      </c>
      <c r="B259" t="s">
        <v>82</v>
      </c>
      <c r="C259">
        <v>9402674</v>
      </c>
      <c r="D259" s="5">
        <f t="shared" si="11"/>
        <v>47013.37</v>
      </c>
      <c r="E259" s="2">
        <f>VLOOKUP(A259,'2.09.2021'!A$3:'2.09.2021'!I$202,5,)</f>
        <v>44400</v>
      </c>
      <c r="F259" s="2">
        <v>44448</v>
      </c>
      <c r="G259" s="23">
        <f>VLOOKUP(A259,'2.09.2021'!A$3:'2.09.2021'!I$202,7,)</f>
        <v>0.11388888888888889</v>
      </c>
      <c r="H259" t="str">
        <f>VLOOKUP(A259,'2.09.2021'!A$3:'2.09.2021'!I$202,8,)</f>
        <v>POP</v>
      </c>
      <c r="I259" t="str">
        <f>VLOOKUP(A259,'2.09.2021'!A$3:'2.09.2021'!I$202,9,)</f>
        <v>Cuba</v>
      </c>
      <c r="J259" t="str">
        <f t="shared" si="12"/>
        <v>Nu</v>
      </c>
    </row>
    <row r="260" spans="1:10" x14ac:dyDescent="0.2">
      <c r="A260" t="s">
        <v>87</v>
      </c>
      <c r="B260" t="s">
        <v>88</v>
      </c>
      <c r="C260">
        <v>9368376</v>
      </c>
      <c r="D260" s="5">
        <f t="shared" si="11"/>
        <v>46841.880000000005</v>
      </c>
      <c r="E260" s="2">
        <f>VLOOKUP(A260,'2.09.2021'!A$3:'2.09.2021'!I$202,5,)</f>
        <v>44260</v>
      </c>
      <c r="F260" s="2">
        <v>44448</v>
      </c>
      <c r="G260" s="23">
        <f>VLOOKUP(A260,'2.09.2021'!A$3:'2.09.2021'!I$202,7,)</f>
        <v>0.16805555555555554</v>
      </c>
      <c r="H260" t="str">
        <f>VLOOKUP(A260,'2.09.2021'!A$3:'2.09.2021'!I$202,8,)</f>
        <v>R&amp;B/SOUL</v>
      </c>
      <c r="I260" t="str">
        <f>VLOOKUP(A260,'2.09.2021'!A$3:'2.09.2021'!I$202,9,)</f>
        <v>Puerto Rico</v>
      </c>
      <c r="J260" t="str">
        <f t="shared" si="12"/>
        <v>Nu</v>
      </c>
    </row>
    <row r="261" spans="1:10" x14ac:dyDescent="0.2">
      <c r="A261" t="s">
        <v>438</v>
      </c>
      <c r="B261" t="s">
        <v>25</v>
      </c>
      <c r="C261">
        <v>9338021</v>
      </c>
      <c r="D261" s="5">
        <f t="shared" si="11"/>
        <v>46690.105000000003</v>
      </c>
      <c r="E261" s="2">
        <f>VLOOKUP(A261,'30.09.2021'!A$3:'30.09.2021'!I$202,5,)</f>
        <v>44437</v>
      </c>
      <c r="F261" s="2">
        <v>44448</v>
      </c>
      <c r="G261" s="23">
        <f>VLOOKUP(A261,'30.09.2021'!A$3:'30.09.2021'!I$202,7,)</f>
        <v>0.18124999999999999</v>
      </c>
      <c r="H261" t="str">
        <f>VLOOKUP(A261,'30.09.2021'!A$3:'30.09.2021'!I$202,8,)</f>
        <v>AFROBEATS</v>
      </c>
      <c r="I261" t="str">
        <f>VLOOKUP(A261,'30.09.2021'!A$3:'30.09.2021'!I$202,9,)</f>
        <v>Africa</v>
      </c>
      <c r="J261" t="str">
        <f t="shared" si="12"/>
        <v>Da</v>
      </c>
    </row>
    <row r="262" spans="1:10" x14ac:dyDescent="0.2">
      <c r="A262" t="s">
        <v>143</v>
      </c>
      <c r="B262" t="s">
        <v>20</v>
      </c>
      <c r="C262">
        <v>9273584</v>
      </c>
      <c r="D262" s="5">
        <f t="shared" si="11"/>
        <v>46367.920000000006</v>
      </c>
      <c r="E262" s="2">
        <f>VLOOKUP(A262,'30.09.2021'!A$3:'30.09.2021'!I$202,5,)</f>
        <v>44476</v>
      </c>
      <c r="F262" s="2">
        <v>44448</v>
      </c>
      <c r="G262" s="23">
        <f>VLOOKUP(A262,'30.09.2021'!A$3:'30.09.2021'!I$202,7,)</f>
        <v>0.35625000000000001</v>
      </c>
      <c r="H262" t="str">
        <f>VLOOKUP(A262,'30.09.2021'!A$3:'30.09.2021'!I$202,8,)</f>
        <v>HIP-HOP/RAP</v>
      </c>
      <c r="I262" t="str">
        <f>VLOOKUP(A262,'30.09.2021'!A$3:'30.09.2021'!I$202,9,)</f>
        <v>Canada</v>
      </c>
      <c r="J262" t="str">
        <f t="shared" si="12"/>
        <v>Nu</v>
      </c>
    </row>
    <row r="263" spans="1:10" x14ac:dyDescent="0.2">
      <c r="A263" t="s">
        <v>93</v>
      </c>
      <c r="B263" t="s">
        <v>94</v>
      </c>
      <c r="C263">
        <v>9230616</v>
      </c>
      <c r="D263" s="5">
        <f t="shared" si="11"/>
        <v>46153.08</v>
      </c>
      <c r="E263" s="2">
        <f>VLOOKUP(A263,'2.09.2021'!A$3:'2.09.2021'!I$202,5,)</f>
        <v>44386</v>
      </c>
      <c r="F263" s="2">
        <v>44448</v>
      </c>
      <c r="G263" s="23">
        <f>VLOOKUP(A263,'2.09.2021'!A$3:'2.09.2021'!I$202,7,)</f>
        <v>0.13333333333333333</v>
      </c>
      <c r="H263" t="str">
        <f>VLOOKUP(A263,'2.09.2021'!A$3:'2.09.2021'!I$202,8,)</f>
        <v>RHYTHM &amp; BLUES</v>
      </c>
      <c r="I263" t="str">
        <f>VLOOKUP(A263,'2.09.2021'!A$3:'2.09.2021'!I$202,9,)</f>
        <v>Argentina</v>
      </c>
      <c r="J263" t="str">
        <f t="shared" si="12"/>
        <v>Nu</v>
      </c>
    </row>
    <row r="264" spans="1:10" x14ac:dyDescent="0.2">
      <c r="A264" t="s">
        <v>85</v>
      </c>
      <c r="B264" t="s">
        <v>86</v>
      </c>
      <c r="C264">
        <v>9201753</v>
      </c>
      <c r="D264" s="5">
        <f t="shared" si="11"/>
        <v>46008.764999999999</v>
      </c>
      <c r="E264" s="2">
        <f>VLOOKUP(A264,'2.09.2021'!A$3:'2.09.2021'!I$202,5,)</f>
        <v>44230</v>
      </c>
      <c r="F264" s="2">
        <v>44448</v>
      </c>
      <c r="G264" s="23">
        <f>VLOOKUP(A264,'2.09.2021'!A$3:'2.09.2021'!I$202,7,)</f>
        <v>9.5833333333333326E-2</v>
      </c>
      <c r="H264" t="str">
        <f>VLOOKUP(A264,'2.09.2021'!A$3:'2.09.2021'!I$202,8,)</f>
        <v>R&amp;B/SOUL</v>
      </c>
      <c r="I264" t="str">
        <f>VLOOKUP(A264,'2.09.2021'!A$3:'2.09.2021'!I$202,9,)</f>
        <v>SUA</v>
      </c>
      <c r="J264" t="str">
        <f t="shared" si="12"/>
        <v>Nu</v>
      </c>
    </row>
    <row r="265" spans="1:10" x14ac:dyDescent="0.2">
      <c r="A265" t="s">
        <v>95</v>
      </c>
      <c r="B265" t="s">
        <v>17</v>
      </c>
      <c r="C265">
        <v>9167057</v>
      </c>
      <c r="D265" s="5">
        <f t="shared" si="11"/>
        <v>45835.285000000003</v>
      </c>
      <c r="E265" s="2">
        <f>VLOOKUP(A265,'2.09.2021'!A$3:'2.09.2021'!I$202,5,)</f>
        <v>44337</v>
      </c>
      <c r="F265" s="2">
        <v>44448</v>
      </c>
      <c r="G265" s="23">
        <f>VLOOKUP(A265,'2.09.2021'!A$3:'2.09.2021'!I$202,7,)</f>
        <v>0.12152777777777778</v>
      </c>
      <c r="H265" t="str">
        <f>VLOOKUP(A265,'2.09.2021'!A$3:'2.09.2021'!I$202,8,)</f>
        <v>POP</v>
      </c>
      <c r="I265" t="str">
        <f>VLOOKUP(A265,'2.09.2021'!A$3:'2.09.2021'!I$202,9,)</f>
        <v>SUA</v>
      </c>
      <c r="J265" t="str">
        <f t="shared" si="12"/>
        <v>Nu</v>
      </c>
    </row>
    <row r="266" spans="1:10" x14ac:dyDescent="0.2">
      <c r="A266" t="s">
        <v>442</v>
      </c>
      <c r="B266" t="s">
        <v>98</v>
      </c>
      <c r="C266">
        <v>9162592</v>
      </c>
      <c r="D266" s="5">
        <f t="shared" ref="D266:D329" si="13">(C266/1000*5)</f>
        <v>45812.960000000006</v>
      </c>
      <c r="E266" s="2">
        <f>VLOOKUP(A266,'2.09.2021'!A$3:'2.09.2021'!I$202,5,)</f>
        <v>44336</v>
      </c>
      <c r="F266" s="2">
        <v>44448</v>
      </c>
      <c r="G266" s="23">
        <f>VLOOKUP(A266,'2.09.2021'!A$3:'2.09.2021'!I$202,7,)</f>
        <v>9.5138888888888884E-2</v>
      </c>
      <c r="H266" t="str">
        <f>VLOOKUP(A266,'2.09.2021'!A$3:'2.09.2021'!I$202,8,)</f>
        <v>HIP-HOP/RAP</v>
      </c>
      <c r="I266" t="str">
        <f>VLOOKUP(A266,'2.09.2021'!A$3:'2.09.2021'!I$202,9,)</f>
        <v>SUA</v>
      </c>
      <c r="J266" t="str">
        <f t="shared" si="12"/>
        <v>Da</v>
      </c>
    </row>
    <row r="267" spans="1:10" x14ac:dyDescent="0.2">
      <c r="A267" t="s">
        <v>96</v>
      </c>
      <c r="B267" t="s">
        <v>97</v>
      </c>
      <c r="C267">
        <v>9066520</v>
      </c>
      <c r="D267" s="5">
        <f t="shared" si="13"/>
        <v>45332.600000000006</v>
      </c>
      <c r="E267" s="2">
        <f>VLOOKUP(A267,'2.09.2021'!A$3:'2.09.2021'!I$202,5,)</f>
        <v>43083</v>
      </c>
      <c r="F267" s="2">
        <v>44448</v>
      </c>
      <c r="G267" s="23">
        <f>VLOOKUP(A267,'2.09.2021'!A$3:'2.09.2021'!I$202,7,)</f>
        <v>0.1673611111111111</v>
      </c>
      <c r="H267" t="str">
        <f>VLOOKUP(A267,'2.09.2021'!A$3:'2.09.2021'!I$202,8,)</f>
        <v>ELECTRONIC</v>
      </c>
      <c r="I267" t="str">
        <f>VLOOKUP(A267,'2.09.2021'!A$3:'2.09.2021'!I$202,9,)</f>
        <v>Australia</v>
      </c>
      <c r="J267" t="str">
        <f t="shared" si="12"/>
        <v>Nu</v>
      </c>
    </row>
    <row r="268" spans="1:10" x14ac:dyDescent="0.2">
      <c r="A268" t="s">
        <v>357</v>
      </c>
      <c r="B268" t="s">
        <v>2</v>
      </c>
      <c r="C268">
        <v>9056136</v>
      </c>
      <c r="D268" s="5">
        <f t="shared" si="13"/>
        <v>45280.68</v>
      </c>
      <c r="E268" s="2">
        <v>44328</v>
      </c>
      <c r="F268" s="2">
        <v>44448</v>
      </c>
      <c r="G268" s="23">
        <v>0.14097222222222222</v>
      </c>
      <c r="H268" t="s">
        <v>502</v>
      </c>
      <c r="I268" t="s">
        <v>468</v>
      </c>
      <c r="J268" t="str">
        <f t="shared" si="12"/>
        <v>Nu</v>
      </c>
    </row>
    <row r="269" spans="1:10" x14ac:dyDescent="0.2">
      <c r="A269" t="s">
        <v>430</v>
      </c>
      <c r="B269" t="s">
        <v>32</v>
      </c>
      <c r="C269">
        <v>8997854</v>
      </c>
      <c r="D269" s="5">
        <f t="shared" si="13"/>
        <v>44989.27</v>
      </c>
      <c r="E269" s="2">
        <f>VLOOKUP(A269,'2.09.2021'!A$3:'2.09.2021'!I$202,5,)</f>
        <v>44134</v>
      </c>
      <c r="F269" s="2">
        <v>44448</v>
      </c>
      <c r="G269" s="23">
        <f>VLOOKUP(A269,'2.09.2021'!A$3:'2.09.2021'!I$202,7,)</f>
        <v>0.1423611111111111</v>
      </c>
      <c r="H269" t="str">
        <f>VLOOKUP(A269,'2.09.2021'!A$3:'2.09.2021'!I$202,8,)</f>
        <v>LATIN</v>
      </c>
      <c r="I269" t="str">
        <f>VLOOKUP(A269,'2.09.2021'!A$3:'2.09.2021'!I$202,9,)</f>
        <v>Puerto Rico</v>
      </c>
      <c r="J269" t="str">
        <f t="shared" si="12"/>
        <v>Nu</v>
      </c>
    </row>
    <row r="270" spans="1:10" x14ac:dyDescent="0.2">
      <c r="A270" t="s">
        <v>101</v>
      </c>
      <c r="B270" t="s">
        <v>102</v>
      </c>
      <c r="C270">
        <v>8972367</v>
      </c>
      <c r="D270" s="5">
        <f t="shared" si="13"/>
        <v>44861.834999999999</v>
      </c>
      <c r="E270" s="2">
        <f>VLOOKUP(A270,'2.09.2021'!A$3:'2.09.2021'!I$202,5,)</f>
        <v>44306</v>
      </c>
      <c r="F270" s="2">
        <v>44448</v>
      </c>
      <c r="G270" s="23">
        <f>VLOOKUP(A270,'2.09.2021'!A$3:'2.09.2021'!I$202,7,)</f>
        <v>0.15347222222222223</v>
      </c>
      <c r="H270" t="str">
        <f>VLOOKUP(A270,'2.09.2021'!A$3:'2.09.2021'!I$202,8,)</f>
        <v>DANCE</v>
      </c>
      <c r="I270" t="str">
        <f>VLOOKUP(A270,'2.09.2021'!A$3:'2.09.2021'!I$202,9,)</f>
        <v>SUA</v>
      </c>
      <c r="J270" t="str">
        <f t="shared" si="12"/>
        <v>Nu</v>
      </c>
    </row>
    <row r="271" spans="1:10" x14ac:dyDescent="0.2">
      <c r="A271" t="s">
        <v>100</v>
      </c>
      <c r="B271" t="s">
        <v>42</v>
      </c>
      <c r="C271">
        <v>8922665</v>
      </c>
      <c r="D271" s="5">
        <f t="shared" si="13"/>
        <v>44613.325000000004</v>
      </c>
      <c r="E271" s="2">
        <f>VLOOKUP(A271,'30.09.2021'!A$3:'30.09.2021'!I$202,5,)</f>
        <v>44229</v>
      </c>
      <c r="F271" s="2">
        <v>44448</v>
      </c>
      <c r="G271" s="23">
        <f>VLOOKUP(A271,'30.09.2021'!A$3:'30.09.2021'!I$202,7,)</f>
        <v>0.10555555555555556</v>
      </c>
      <c r="H271" t="str">
        <f>VLOOKUP(A271,'30.09.2021'!A$3:'30.09.2021'!I$202,8,)</f>
        <v>LATIN URBAN</v>
      </c>
      <c r="I271" t="str">
        <f>VLOOKUP(A271,'30.09.2021'!A$3:'30.09.2021'!I$202,9,)</f>
        <v>Columbia</v>
      </c>
      <c r="J271" t="str">
        <f t="shared" si="12"/>
        <v>Nu</v>
      </c>
    </row>
    <row r="272" spans="1:10" x14ac:dyDescent="0.2">
      <c r="A272" t="s">
        <v>358</v>
      </c>
      <c r="B272" t="s">
        <v>2</v>
      </c>
      <c r="C272">
        <v>8726024</v>
      </c>
      <c r="D272" s="5">
        <f t="shared" si="13"/>
        <v>43630.119999999995</v>
      </c>
      <c r="E272" s="2">
        <v>44328</v>
      </c>
      <c r="F272" s="2">
        <v>44448</v>
      </c>
      <c r="G272" s="23">
        <v>0.1673611111111111</v>
      </c>
      <c r="H272" t="s">
        <v>502</v>
      </c>
      <c r="I272" t="s">
        <v>468</v>
      </c>
      <c r="J272" t="str">
        <f t="shared" si="12"/>
        <v>Nu</v>
      </c>
    </row>
    <row r="273" spans="1:10" x14ac:dyDescent="0.2">
      <c r="A273" t="s">
        <v>75</v>
      </c>
      <c r="B273" t="s">
        <v>55</v>
      </c>
      <c r="C273">
        <v>8686128</v>
      </c>
      <c r="D273" s="5">
        <f t="shared" si="13"/>
        <v>43430.64</v>
      </c>
      <c r="E273" s="2">
        <f>VLOOKUP(A273,'2.09.2021'!A$3:'2.09.2021'!I$202,5,)</f>
        <v>44386</v>
      </c>
      <c r="F273" s="2">
        <v>44448</v>
      </c>
      <c r="G273" s="23">
        <f>VLOOKUP(A273,'2.09.2021'!A$3:'2.09.2021'!I$202,7,)</f>
        <v>0.12986111111111112</v>
      </c>
      <c r="H273" t="str">
        <f>VLOOKUP(A273,'2.09.2021'!A$3:'2.09.2021'!I$202,8,)</f>
        <v>K-POP</v>
      </c>
      <c r="I273" t="str">
        <f>VLOOKUP(A273,'2.09.2021'!A$3:'2.09.2021'!I$202,9,)</f>
        <v>Korea de Sud</v>
      </c>
      <c r="J273" t="str">
        <f t="shared" si="12"/>
        <v>Nu</v>
      </c>
    </row>
    <row r="274" spans="1:10" x14ac:dyDescent="0.2">
      <c r="A274" t="s">
        <v>103</v>
      </c>
      <c r="B274" t="s">
        <v>104</v>
      </c>
      <c r="C274">
        <v>8611134</v>
      </c>
      <c r="D274" s="5">
        <f t="shared" si="13"/>
        <v>43055.67</v>
      </c>
      <c r="E274" s="2">
        <f>VLOOKUP(A274,'2.09.2021'!A$3:'2.09.2021'!I$202,5,)</f>
        <v>44229</v>
      </c>
      <c r="F274" s="2">
        <v>44448</v>
      </c>
      <c r="G274" s="23">
        <f>VLOOKUP(A274,'2.09.2021'!A$3:'2.09.2021'!I$202,7,)</f>
        <v>0.14097222222222222</v>
      </c>
      <c r="H274" t="str">
        <f>VLOOKUP(A274,'2.09.2021'!A$3:'2.09.2021'!I$202,8,)</f>
        <v>POP</v>
      </c>
      <c r="I274" t="str">
        <f>VLOOKUP(A274,'2.09.2021'!A$3:'2.09.2021'!I$202,9,)</f>
        <v>SUA</v>
      </c>
      <c r="J274" t="str">
        <f t="shared" si="12"/>
        <v>Nu</v>
      </c>
    </row>
    <row r="275" spans="1:10" x14ac:dyDescent="0.2">
      <c r="A275" t="s">
        <v>112</v>
      </c>
      <c r="B275" t="s">
        <v>113</v>
      </c>
      <c r="C275">
        <v>8459196</v>
      </c>
      <c r="D275" s="5">
        <f t="shared" si="13"/>
        <v>42295.979999999996</v>
      </c>
      <c r="E275" s="2">
        <f>VLOOKUP(A275,'2.09.2021'!A$3:'2.09.2021'!I$202,5,)</f>
        <v>44238</v>
      </c>
      <c r="F275" s="2">
        <v>44448</v>
      </c>
      <c r="G275" s="23">
        <f>VLOOKUP(A275,'2.09.2021'!A$3:'2.09.2021'!I$202,7,)</f>
        <v>0.20625000000000002</v>
      </c>
      <c r="H275" t="str">
        <f>VLOOKUP(A275,'2.09.2021'!A$3:'2.09.2021'!I$202,8,)</f>
        <v>LATIN URBAN</v>
      </c>
      <c r="I275" t="str">
        <f>VLOOKUP(A275,'2.09.2021'!A$3:'2.09.2021'!I$202,9,)</f>
        <v>Columbia</v>
      </c>
      <c r="J275" t="str">
        <f t="shared" si="12"/>
        <v>Nu</v>
      </c>
    </row>
    <row r="276" spans="1:10" x14ac:dyDescent="0.2">
      <c r="A276" t="s">
        <v>105</v>
      </c>
      <c r="B276" t="s">
        <v>106</v>
      </c>
      <c r="C276">
        <v>8388161</v>
      </c>
      <c r="D276" s="5">
        <f t="shared" si="13"/>
        <v>41940.805</v>
      </c>
      <c r="E276" s="2">
        <f>VLOOKUP(A276,'2.09.2021'!A$3:'2.09.2021'!I$202,5,)</f>
        <v>44377</v>
      </c>
      <c r="F276" s="2">
        <v>44448</v>
      </c>
      <c r="G276" s="23">
        <f>VLOOKUP(A276,'2.09.2021'!A$3:'2.09.2021'!I$202,7,)</f>
        <v>0.14444444444444446</v>
      </c>
      <c r="H276" t="str">
        <f>VLOOKUP(A276,'2.09.2021'!A$3:'2.09.2021'!I$202,8,)</f>
        <v>HIP-HOP/RAP</v>
      </c>
      <c r="I276" t="str">
        <f>VLOOKUP(A276,'2.09.2021'!A$3:'2.09.2021'!I$202,9,)</f>
        <v>Scoția</v>
      </c>
      <c r="J276" t="str">
        <f t="shared" si="12"/>
        <v>Nu</v>
      </c>
    </row>
    <row r="277" spans="1:10" x14ac:dyDescent="0.2">
      <c r="A277" t="s">
        <v>107</v>
      </c>
      <c r="B277" t="s">
        <v>108</v>
      </c>
      <c r="C277">
        <v>8387045</v>
      </c>
      <c r="D277" s="5">
        <f t="shared" si="13"/>
        <v>41935.224999999999</v>
      </c>
      <c r="E277" s="2">
        <f>VLOOKUP(A277,'2.09.2021'!A$3:'2.09.2021'!I$202,5,)</f>
        <v>44466</v>
      </c>
      <c r="F277" s="2">
        <v>44448</v>
      </c>
      <c r="G277" s="23">
        <f>VLOOKUP(A277,'2.09.2021'!A$3:'2.09.2021'!I$202,7,)</f>
        <v>0.16805555555555554</v>
      </c>
      <c r="H277" t="str">
        <f>VLOOKUP(A277,'2.09.2021'!A$3:'2.09.2021'!I$202,8,)</f>
        <v>ROCK</v>
      </c>
      <c r="I277" t="str">
        <f>VLOOKUP(A277,'2.09.2021'!A$3:'2.09.2021'!I$202,9,)</f>
        <v>SUA</v>
      </c>
      <c r="J277" t="str">
        <f t="shared" si="12"/>
        <v>Da</v>
      </c>
    </row>
    <row r="278" spans="1:10" x14ac:dyDescent="0.2">
      <c r="A278" t="s">
        <v>114</v>
      </c>
      <c r="B278" t="s">
        <v>115</v>
      </c>
      <c r="C278">
        <v>8365898</v>
      </c>
      <c r="D278" s="5">
        <f t="shared" si="13"/>
        <v>41829.49</v>
      </c>
      <c r="E278" s="2">
        <f>VLOOKUP(A278,'2.09.2021'!A$3:'2.09.2021'!I$202,5,)</f>
        <v>44352</v>
      </c>
      <c r="F278" s="2">
        <v>44448</v>
      </c>
      <c r="G278" s="23">
        <f>VLOOKUP(A278,'2.09.2021'!A$3:'2.09.2021'!I$202,7,)</f>
        <v>0.11388888888888889</v>
      </c>
      <c r="H278" t="str">
        <f>VLOOKUP(A278,'2.09.2021'!A$3:'2.09.2021'!I$202,8,)</f>
        <v>HIP-HOP/RAP</v>
      </c>
      <c r="I278" t="str">
        <f>VLOOKUP(A278,'2.09.2021'!A$3:'2.09.2021'!I$202,9,)</f>
        <v>Norvegia</v>
      </c>
      <c r="J278" t="str">
        <f t="shared" si="12"/>
        <v>Nu</v>
      </c>
    </row>
    <row r="279" spans="1:10" x14ac:dyDescent="0.2">
      <c r="A279" t="s">
        <v>109</v>
      </c>
      <c r="B279" t="s">
        <v>38</v>
      </c>
      <c r="C279">
        <v>8314881</v>
      </c>
      <c r="D279" s="5">
        <f t="shared" si="13"/>
        <v>41574.404999999999</v>
      </c>
      <c r="E279" s="2">
        <f>VLOOKUP(A279,'2.09.2021'!A$3:'2.09.2021'!I$202,5,)</f>
        <v>44248</v>
      </c>
      <c r="F279" s="2">
        <v>44448</v>
      </c>
      <c r="G279" s="23">
        <f>VLOOKUP(A279,'2.09.2021'!A$3:'2.09.2021'!I$202,7,)</f>
        <v>0.1173611111111111</v>
      </c>
      <c r="H279" t="str">
        <f>VLOOKUP(A279,'2.09.2021'!A$3:'2.09.2021'!I$202,8,)</f>
        <v>K-POP</v>
      </c>
      <c r="I279" t="str">
        <f>VLOOKUP(A279,'2.09.2021'!A$3:'2.09.2021'!I$202,9,)</f>
        <v>Marea Britanie</v>
      </c>
      <c r="J279" t="str">
        <f t="shared" si="12"/>
        <v>Nu</v>
      </c>
    </row>
    <row r="280" spans="1:10" x14ac:dyDescent="0.2">
      <c r="A280" t="s">
        <v>99</v>
      </c>
      <c r="B280" t="s">
        <v>55</v>
      </c>
      <c r="C280">
        <v>8302656</v>
      </c>
      <c r="D280" s="5">
        <f t="shared" si="13"/>
        <v>41513.280000000006</v>
      </c>
      <c r="E280" s="2">
        <f>VLOOKUP(A280,'2.09.2021'!A$3:'2.09.2021'!I$202,5,)</f>
        <v>44459</v>
      </c>
      <c r="F280" s="2">
        <v>44448</v>
      </c>
      <c r="G280" s="23">
        <f>VLOOKUP(A280,'2.09.2021'!A$3:'2.09.2021'!I$202,7,)</f>
        <v>9.7916666666666666E-2</v>
      </c>
      <c r="H280" t="str">
        <f>VLOOKUP(A280,'2.09.2021'!A$3:'2.09.2021'!I$202,8,)</f>
        <v>K-POP</v>
      </c>
      <c r="I280" t="str">
        <f>VLOOKUP(A280,'2.09.2021'!A$3:'2.09.2021'!I$202,9,)</f>
        <v>Korea de Sud</v>
      </c>
      <c r="J280" t="str">
        <f t="shared" si="12"/>
        <v>Nu</v>
      </c>
    </row>
    <row r="281" spans="1:10" x14ac:dyDescent="0.2">
      <c r="A281" t="s">
        <v>458</v>
      </c>
      <c r="B281" t="s">
        <v>2</v>
      </c>
      <c r="C281">
        <v>8266667</v>
      </c>
      <c r="D281" s="5">
        <f t="shared" si="13"/>
        <v>41333.334999999999</v>
      </c>
      <c r="E281" s="2">
        <v>44328</v>
      </c>
      <c r="F281" s="2">
        <v>44448</v>
      </c>
      <c r="G281" s="23">
        <v>0.15625</v>
      </c>
      <c r="H281" t="s">
        <v>423</v>
      </c>
      <c r="I281" t="s">
        <v>468</v>
      </c>
      <c r="J281" t="str">
        <f t="shared" si="12"/>
        <v>Da</v>
      </c>
    </row>
    <row r="282" spans="1:10" x14ac:dyDescent="0.2">
      <c r="A282" t="s">
        <v>443</v>
      </c>
      <c r="B282" t="s">
        <v>116</v>
      </c>
      <c r="C282">
        <v>8262943</v>
      </c>
      <c r="D282" s="5">
        <f t="shared" si="13"/>
        <v>41314.714999999997</v>
      </c>
      <c r="E282" s="2">
        <f>VLOOKUP(A282,'2.09.2021'!A$3:'2.09.2021'!I$202,5,)</f>
        <v>44211</v>
      </c>
      <c r="F282" s="2">
        <v>44448</v>
      </c>
      <c r="G282" s="23">
        <f>VLOOKUP(A282,'2.09.2021'!A$3:'2.09.2021'!I$202,7,)</f>
        <v>0.1173611111111111</v>
      </c>
      <c r="H282" t="str">
        <f>VLOOKUP(A282,'2.09.2021'!A$3:'2.09.2021'!I$202,8,)</f>
        <v>DANCE</v>
      </c>
      <c r="I282" t="str">
        <f>VLOOKUP(A282,'2.09.2021'!A$3:'2.09.2021'!I$202,9,)</f>
        <v>Marea Britanie</v>
      </c>
      <c r="J282" t="str">
        <f t="shared" si="12"/>
        <v>Da</v>
      </c>
    </row>
    <row r="283" spans="1:10" x14ac:dyDescent="0.2">
      <c r="A283" t="s">
        <v>431</v>
      </c>
      <c r="B283" t="s">
        <v>111</v>
      </c>
      <c r="C283">
        <v>8239521</v>
      </c>
      <c r="D283" s="5">
        <f t="shared" si="13"/>
        <v>41197.605000000003</v>
      </c>
      <c r="E283" s="2">
        <f>VLOOKUP(A283,'2.09.2021'!A$3:'2.09.2021'!I$202,5,)</f>
        <v>44317</v>
      </c>
      <c r="F283" s="2">
        <v>44448</v>
      </c>
      <c r="G283" s="23">
        <f>VLOOKUP(A283,'2.09.2021'!A$3:'2.09.2021'!I$202,7,)</f>
        <v>0.11458333333333333</v>
      </c>
      <c r="H283" t="str">
        <f>VLOOKUP(A283,'2.09.2021'!A$3:'2.09.2021'!I$202,8,)</f>
        <v>LATIN URBAN</v>
      </c>
      <c r="I283" t="str">
        <f>VLOOKUP(A283,'2.09.2021'!A$3:'2.09.2021'!I$202,9,)</f>
        <v>Argentina</v>
      </c>
      <c r="J283" t="str">
        <f t="shared" si="12"/>
        <v>Nu</v>
      </c>
    </row>
    <row r="284" spans="1:10" x14ac:dyDescent="0.2">
      <c r="A284" t="s">
        <v>145</v>
      </c>
      <c r="B284" t="s">
        <v>52</v>
      </c>
      <c r="C284">
        <v>8228741</v>
      </c>
      <c r="D284" s="5">
        <f t="shared" si="13"/>
        <v>41143.705000000002</v>
      </c>
      <c r="E284" s="2">
        <f>VLOOKUP(A284,'2.09.2021'!A$3:'2.09.2021'!I$202,5,)</f>
        <v>44437</v>
      </c>
      <c r="F284" s="2">
        <v>44448</v>
      </c>
      <c r="G284" s="23">
        <f>VLOOKUP(A284,'2.09.2021'!A$3:'2.09.2021'!I$202,7,)</f>
        <v>0.10833333333333334</v>
      </c>
      <c r="H284" t="str">
        <f>VLOOKUP(A284,'2.09.2021'!A$3:'2.09.2021'!I$202,8,)</f>
        <v>HIP-HOP/RAP</v>
      </c>
      <c r="I284" t="str">
        <f>VLOOKUP(A284,'2.09.2021'!A$3:'2.09.2021'!I$202,9,)</f>
        <v>SUA</v>
      </c>
      <c r="J284" t="str">
        <f t="shared" si="12"/>
        <v>Nu</v>
      </c>
    </row>
    <row r="285" spans="1:10" x14ac:dyDescent="0.2">
      <c r="A285" t="s">
        <v>359</v>
      </c>
      <c r="B285" t="s">
        <v>2</v>
      </c>
      <c r="C285">
        <v>8200216</v>
      </c>
      <c r="D285" s="5">
        <f t="shared" si="13"/>
        <v>41001.08</v>
      </c>
      <c r="E285" s="2">
        <v>44328</v>
      </c>
      <c r="F285" s="2">
        <v>44448</v>
      </c>
      <c r="G285" s="23">
        <v>8.9583333333333334E-2</v>
      </c>
      <c r="H285" t="s">
        <v>423</v>
      </c>
      <c r="I285" t="s">
        <v>468</v>
      </c>
      <c r="J285" t="str">
        <f t="shared" si="12"/>
        <v>Nu</v>
      </c>
    </row>
    <row r="286" spans="1:10" x14ac:dyDescent="0.2">
      <c r="A286" t="s">
        <v>127</v>
      </c>
      <c r="B286" t="s">
        <v>12</v>
      </c>
      <c r="C286">
        <v>8167885</v>
      </c>
      <c r="D286" s="5">
        <f t="shared" si="13"/>
        <v>40839.425000000003</v>
      </c>
      <c r="E286" s="2">
        <f>VLOOKUP(A286,'2.09.2021'!A$3:'2.09.2021'!I$202,5,)</f>
        <v>44372</v>
      </c>
      <c r="F286" s="2">
        <v>44448</v>
      </c>
      <c r="G286" s="23">
        <f>VLOOKUP(A286,'2.09.2021'!A$3:'2.09.2021'!I$202,7,)</f>
        <v>0.12083333333333333</v>
      </c>
      <c r="H286" t="str">
        <f>VLOOKUP(A286,'2.09.2021'!A$3:'2.09.2021'!I$202,8,)</f>
        <v>POP</v>
      </c>
      <c r="I286" t="str">
        <f>VLOOKUP(A286,'2.09.2021'!A$3:'2.09.2021'!I$202,9,)</f>
        <v>SUA</v>
      </c>
      <c r="J286" t="str">
        <f t="shared" si="12"/>
        <v>Nu</v>
      </c>
    </row>
    <row r="287" spans="1:10" x14ac:dyDescent="0.2">
      <c r="A287" t="s">
        <v>119</v>
      </c>
      <c r="B287" t="s">
        <v>120</v>
      </c>
      <c r="C287">
        <v>8097836</v>
      </c>
      <c r="D287" s="5">
        <f t="shared" si="13"/>
        <v>40489.18</v>
      </c>
      <c r="E287" s="2">
        <f>VLOOKUP(A287,'2.09.2021'!A$3:'2.09.2021'!I$202,5,)</f>
        <v>44438</v>
      </c>
      <c r="F287" s="2">
        <v>44448</v>
      </c>
      <c r="G287" s="23">
        <f>VLOOKUP(A287,'2.09.2021'!A$3:'2.09.2021'!I$202,7,)</f>
        <v>0.16874999999999998</v>
      </c>
      <c r="H287" t="str">
        <f>VLOOKUP(A287,'2.09.2021'!A$3:'2.09.2021'!I$202,8,)</f>
        <v>POP</v>
      </c>
      <c r="I287" t="str">
        <f>VLOOKUP(A287,'2.09.2021'!A$3:'2.09.2021'!I$202,9,)</f>
        <v>Australia</v>
      </c>
      <c r="J287" t="str">
        <f t="shared" si="12"/>
        <v>Nu</v>
      </c>
    </row>
    <row r="288" spans="1:10" x14ac:dyDescent="0.2">
      <c r="A288" t="s">
        <v>117</v>
      </c>
      <c r="B288" t="s">
        <v>118</v>
      </c>
      <c r="C288">
        <v>8010126</v>
      </c>
      <c r="D288" s="5">
        <f t="shared" si="13"/>
        <v>40050.630000000005</v>
      </c>
      <c r="E288" s="2">
        <f>VLOOKUP(A288,'2.09.2021'!A$3:'2.09.2021'!I$202,5,)</f>
        <v>44287</v>
      </c>
      <c r="F288" s="2">
        <v>44448</v>
      </c>
      <c r="G288" s="23">
        <f>VLOOKUP(A288,'2.09.2021'!A$3:'2.09.2021'!I$202,7,)</f>
        <v>0.22291666666666665</v>
      </c>
      <c r="H288" t="str">
        <f>VLOOKUP(A288,'2.09.2021'!A$3:'2.09.2021'!I$202,8,)</f>
        <v>LATIN URBAN</v>
      </c>
      <c r="I288" t="str">
        <f>VLOOKUP(A288,'2.09.2021'!A$3:'2.09.2021'!I$202,9,)</f>
        <v>Puerto Rico</v>
      </c>
      <c r="J288" t="str">
        <f t="shared" si="12"/>
        <v>Nu</v>
      </c>
    </row>
    <row r="289" spans="1:10" x14ac:dyDescent="0.2">
      <c r="A289" t="s">
        <v>125</v>
      </c>
      <c r="B289" t="s">
        <v>17</v>
      </c>
      <c r="C289">
        <v>7855715</v>
      </c>
      <c r="D289" s="5">
        <f t="shared" si="13"/>
        <v>39278.574999999997</v>
      </c>
      <c r="E289" s="2">
        <f>VLOOKUP(A289,'2.09.2021'!A$3:'2.09.2021'!I$202,5,)</f>
        <v>44337</v>
      </c>
      <c r="F289" s="2">
        <v>44448</v>
      </c>
      <c r="G289" s="23">
        <f>VLOOKUP(A289,'2.09.2021'!A$3:'2.09.2021'!I$202,7,)</f>
        <v>0.12013888888888889</v>
      </c>
      <c r="H289" t="str">
        <f>VLOOKUP(A289,'2.09.2021'!A$3:'2.09.2021'!I$202,8,)</f>
        <v>POP</v>
      </c>
      <c r="I289" t="str">
        <f>VLOOKUP(A289,'2.09.2021'!A$3:'2.09.2021'!I$202,9,)</f>
        <v>SUA</v>
      </c>
      <c r="J289" t="str">
        <f t="shared" si="12"/>
        <v>Nu</v>
      </c>
    </row>
    <row r="290" spans="1:10" x14ac:dyDescent="0.2">
      <c r="A290" t="s">
        <v>122</v>
      </c>
      <c r="B290" t="s">
        <v>59</v>
      </c>
      <c r="C290">
        <v>7738475</v>
      </c>
      <c r="D290" s="5">
        <f t="shared" si="13"/>
        <v>38692.375</v>
      </c>
      <c r="E290" s="2">
        <f>VLOOKUP(A290,'2.09.2021'!A$3:'2.09.2021'!I$202,5,)</f>
        <v>44336</v>
      </c>
      <c r="F290" s="2">
        <v>44448</v>
      </c>
      <c r="G290" s="23">
        <f>VLOOKUP(A290,'2.09.2021'!A$3:'2.09.2021'!I$202,7,)</f>
        <v>0.12152777777777778</v>
      </c>
      <c r="H290" t="str">
        <f>VLOOKUP(A290,'2.09.2021'!A$3:'2.09.2021'!I$202,8,)</f>
        <v>DANCE</v>
      </c>
      <c r="I290" t="str">
        <f>VLOOKUP(A290,'2.09.2021'!A$3:'2.09.2021'!I$202,9,)</f>
        <v>Olanda</v>
      </c>
      <c r="J290" t="str">
        <f t="shared" si="12"/>
        <v>Nu</v>
      </c>
    </row>
    <row r="291" spans="1:10" x14ac:dyDescent="0.2">
      <c r="A291" t="s">
        <v>444</v>
      </c>
      <c r="B291" t="s">
        <v>121</v>
      </c>
      <c r="C291">
        <v>7699384</v>
      </c>
      <c r="D291" s="5">
        <f t="shared" si="13"/>
        <v>38496.92</v>
      </c>
      <c r="E291" s="2">
        <f>VLOOKUP(A291,'2.09.2021'!A$3:'2.09.2021'!I$202,5,)</f>
        <v>43945</v>
      </c>
      <c r="F291" s="2">
        <v>44448</v>
      </c>
      <c r="G291" s="23">
        <f>VLOOKUP(A291,'2.09.2021'!A$3:'2.09.2021'!I$202,7,)</f>
        <v>9.0277777777777776E-2</v>
      </c>
      <c r="H291" t="str">
        <f>VLOOKUP(A291,'2.09.2021'!A$3:'2.09.2021'!I$202,8,)</f>
        <v>R&amp;B/SOUL</v>
      </c>
      <c r="I291" t="str">
        <f>VLOOKUP(A291,'2.09.2021'!A$3:'2.09.2021'!I$202,9,)</f>
        <v>Canada</v>
      </c>
      <c r="J291" t="str">
        <f t="shared" si="12"/>
        <v>Da</v>
      </c>
    </row>
    <row r="292" spans="1:10" x14ac:dyDescent="0.2">
      <c r="A292" t="s">
        <v>446</v>
      </c>
      <c r="B292" t="s">
        <v>25</v>
      </c>
      <c r="C292">
        <v>7698403</v>
      </c>
      <c r="D292" s="5">
        <f t="shared" si="13"/>
        <v>38492.014999999999</v>
      </c>
      <c r="E292" s="2">
        <f>VLOOKUP(A292,'30.09.2021'!A$3:'30.09.2021'!I$202,5,)</f>
        <v>44245</v>
      </c>
      <c r="F292" s="2">
        <v>44448</v>
      </c>
      <c r="G292" s="23">
        <f>VLOOKUP(A292,'30.09.2021'!A$3:'30.09.2021'!I$202,7,)</f>
        <v>0.18263888888888891</v>
      </c>
      <c r="H292" t="str">
        <f>VLOOKUP(A292,'30.09.2021'!A$3:'30.09.2021'!I$202,8,)</f>
        <v>RHYTHM &amp; BLUES</v>
      </c>
      <c r="I292" t="str">
        <f>VLOOKUP(A292,'30.09.2021'!A$3:'30.09.2021'!I$202,9,)</f>
        <v>Africa</v>
      </c>
      <c r="J292" t="str">
        <f t="shared" si="12"/>
        <v>Da</v>
      </c>
    </row>
    <row r="293" spans="1:10" x14ac:dyDescent="0.2">
      <c r="A293" t="s">
        <v>126</v>
      </c>
      <c r="B293" t="s">
        <v>38</v>
      </c>
      <c r="C293">
        <v>7695070</v>
      </c>
      <c r="D293" s="5">
        <f t="shared" si="13"/>
        <v>38475.35</v>
      </c>
      <c r="E293" s="2">
        <f>VLOOKUP(A293,'2.09.2021'!A$3:'2.09.2021'!I$202,5,)</f>
        <v>44259</v>
      </c>
      <c r="F293" s="2">
        <v>44448</v>
      </c>
      <c r="G293" s="23">
        <f>VLOOKUP(A293,'2.09.2021'!A$3:'2.09.2021'!I$202,7,)</f>
        <v>0.14027777777777778</v>
      </c>
      <c r="H293" t="str">
        <f>VLOOKUP(A293,'2.09.2021'!A$3:'2.09.2021'!I$202,8,)</f>
        <v>ELECTRONIC</v>
      </c>
      <c r="I293" t="str">
        <f>VLOOKUP(A293,'2.09.2021'!A$3:'2.09.2021'!I$202,9,)</f>
        <v>Marea Britanie</v>
      </c>
      <c r="J293" t="str">
        <f t="shared" si="12"/>
        <v>Nu</v>
      </c>
    </row>
    <row r="294" spans="1:10" x14ac:dyDescent="0.2">
      <c r="A294" t="s">
        <v>89</v>
      </c>
      <c r="B294" t="s">
        <v>90</v>
      </c>
      <c r="C294">
        <v>7686075</v>
      </c>
      <c r="D294" s="5">
        <f t="shared" si="13"/>
        <v>38430.375</v>
      </c>
      <c r="E294" s="2">
        <f>VLOOKUP(A294,'30.09.2021'!A$3:'30.09.2021'!I$202,5,)</f>
        <v>44339</v>
      </c>
      <c r="F294" s="2">
        <v>44448</v>
      </c>
      <c r="G294" s="23">
        <f>VLOOKUP(A294,'30.09.2021'!A$3:'30.09.2021'!I$202,7,)</f>
        <v>0.14097222222222222</v>
      </c>
      <c r="H294" t="str">
        <f>VLOOKUP(A294,'30.09.2021'!A$3:'30.09.2021'!I$202,8,)</f>
        <v>LATIN URBAN</v>
      </c>
      <c r="I294" t="str">
        <f>VLOOKUP(A294,'30.09.2021'!A$3:'30.09.2021'!I$202,9,)</f>
        <v>Puerto Rico</v>
      </c>
      <c r="J294" t="str">
        <f t="shared" si="12"/>
        <v>Nu</v>
      </c>
    </row>
    <row r="295" spans="1:10" x14ac:dyDescent="0.2">
      <c r="A295" t="s">
        <v>459</v>
      </c>
      <c r="B295" t="s">
        <v>2</v>
      </c>
      <c r="C295">
        <v>7632690</v>
      </c>
      <c r="D295" s="5">
        <f t="shared" si="13"/>
        <v>38163.449999999997</v>
      </c>
      <c r="E295" s="2">
        <v>44328</v>
      </c>
      <c r="F295" s="2">
        <v>44448</v>
      </c>
      <c r="G295" s="23">
        <v>9.930555555555555E-2</v>
      </c>
      <c r="H295" t="s">
        <v>423</v>
      </c>
      <c r="I295" t="s">
        <v>468</v>
      </c>
      <c r="J295" t="str">
        <f t="shared" si="12"/>
        <v>Da</v>
      </c>
    </row>
    <row r="296" spans="1:10" x14ac:dyDescent="0.2">
      <c r="A296" t="s">
        <v>133</v>
      </c>
      <c r="B296" t="s">
        <v>17</v>
      </c>
      <c r="C296">
        <v>7620617</v>
      </c>
      <c r="D296" s="5">
        <f t="shared" si="13"/>
        <v>38103.084999999999</v>
      </c>
      <c r="E296" s="2">
        <f>VLOOKUP(A296,'2.09.2021'!A$3:'2.09.2021'!I$202,5,)</f>
        <v>44346</v>
      </c>
      <c r="F296" s="2">
        <v>44448</v>
      </c>
      <c r="G296" s="23">
        <f>VLOOKUP(A296,'2.09.2021'!A$3:'2.09.2021'!I$202,7,)</f>
        <v>0.14930555555555555</v>
      </c>
      <c r="H296" t="str">
        <f>VLOOKUP(A296,'2.09.2021'!A$3:'2.09.2021'!I$202,8,)</f>
        <v>ALTERNATIVE</v>
      </c>
      <c r="I296" t="str">
        <f>VLOOKUP(A296,'2.09.2021'!A$3:'2.09.2021'!I$202,9,)</f>
        <v>SUA</v>
      </c>
      <c r="J296" t="str">
        <f t="shared" si="12"/>
        <v>Nu</v>
      </c>
    </row>
    <row r="297" spans="1:10" x14ac:dyDescent="0.2">
      <c r="A297" t="s">
        <v>134</v>
      </c>
      <c r="B297" t="s">
        <v>135</v>
      </c>
      <c r="C297">
        <v>7619310</v>
      </c>
      <c r="D297" s="5">
        <f t="shared" si="13"/>
        <v>38096.550000000003</v>
      </c>
      <c r="E297" s="2">
        <f>VLOOKUP(A297,'2.09.2021'!A$3:'2.09.2021'!I$202,5,)</f>
        <v>44386</v>
      </c>
      <c r="F297" s="2">
        <v>44448</v>
      </c>
      <c r="G297" s="23">
        <f>VLOOKUP(A297,'2.09.2021'!A$3:'2.09.2021'!I$202,7,)</f>
        <v>0.14444444444444446</v>
      </c>
      <c r="H297" t="str">
        <f>VLOOKUP(A297,'2.09.2021'!A$3:'2.09.2021'!I$202,8,)</f>
        <v>LATIN URBAN</v>
      </c>
      <c r="I297" t="str">
        <f>VLOOKUP(A297,'2.09.2021'!A$3:'2.09.2021'!I$202,9,)</f>
        <v>Panama</v>
      </c>
      <c r="J297" t="str">
        <f t="shared" si="12"/>
        <v>Nu</v>
      </c>
    </row>
    <row r="298" spans="1:10" x14ac:dyDescent="0.2">
      <c r="A298" t="s">
        <v>128</v>
      </c>
      <c r="B298" t="s">
        <v>129</v>
      </c>
      <c r="C298">
        <v>7601818</v>
      </c>
      <c r="D298" s="5">
        <f t="shared" si="13"/>
        <v>38009.090000000004</v>
      </c>
      <c r="E298" s="2">
        <f>VLOOKUP(A298,'30.09.2021'!A$3:'30.09.2021'!I$202,5,)</f>
        <v>44339</v>
      </c>
      <c r="F298" s="2">
        <v>44448</v>
      </c>
      <c r="G298" s="23">
        <f>VLOOKUP(A298,'30.09.2021'!A$3:'30.09.2021'!I$202,7,)</f>
        <v>0.11458333333333333</v>
      </c>
      <c r="H298" t="str">
        <f>VLOOKUP(A298,'30.09.2021'!A$3:'30.09.2021'!I$202,8,)</f>
        <v>POP</v>
      </c>
      <c r="I298" t="str">
        <f>VLOOKUP(A298,'30.09.2021'!A$3:'30.09.2021'!I$202,9,)</f>
        <v>SUA</v>
      </c>
      <c r="J298" t="str">
        <f t="shared" si="12"/>
        <v>Nu</v>
      </c>
    </row>
    <row r="299" spans="1:10" x14ac:dyDescent="0.2">
      <c r="A299" t="s">
        <v>178</v>
      </c>
      <c r="B299" t="s">
        <v>52</v>
      </c>
      <c r="C299">
        <v>7499273</v>
      </c>
      <c r="D299" s="5">
        <f t="shared" si="13"/>
        <v>37496.364999999998</v>
      </c>
      <c r="E299" s="2">
        <f>VLOOKUP(A299,'2.09.2021'!A$3:'2.09.2021'!I$202,5,)</f>
        <v>44437</v>
      </c>
      <c r="F299" s="2">
        <v>44448</v>
      </c>
      <c r="G299" s="23">
        <f>VLOOKUP(A299,'2.09.2021'!A$3:'2.09.2021'!I$202,7,)</f>
        <v>0.23541666666666669</v>
      </c>
      <c r="H299" t="str">
        <f>VLOOKUP(A299,'2.09.2021'!A$3:'2.09.2021'!I$202,8,)</f>
        <v>HIP-HOP/RAP</v>
      </c>
      <c r="I299" t="str">
        <f>VLOOKUP(A299,'2.09.2021'!A$3:'2.09.2021'!I$202,9,)</f>
        <v>SUA</v>
      </c>
      <c r="J299" t="str">
        <f t="shared" si="12"/>
        <v>Nu</v>
      </c>
    </row>
    <row r="300" spans="1:10" x14ac:dyDescent="0.2">
      <c r="A300" t="s">
        <v>137</v>
      </c>
      <c r="B300" t="s">
        <v>138</v>
      </c>
      <c r="C300">
        <v>7490488</v>
      </c>
      <c r="D300" s="5">
        <f t="shared" si="13"/>
        <v>37452.44</v>
      </c>
      <c r="E300" s="2">
        <f>VLOOKUP(A300,'2.09.2021'!A$3:'2.09.2021'!I$202,5,)</f>
        <v>44428</v>
      </c>
      <c r="F300" s="2">
        <v>44448</v>
      </c>
      <c r="G300" s="23">
        <f>VLOOKUP(A300,'2.09.2021'!A$3:'2.09.2021'!I$202,7,)</f>
        <v>0.1277777777777778</v>
      </c>
      <c r="H300" t="str">
        <f>VLOOKUP(A300,'2.09.2021'!A$3:'2.09.2021'!I$202,8,)</f>
        <v>POP</v>
      </c>
      <c r="I300" t="str">
        <f>VLOOKUP(A300,'2.09.2021'!A$3:'2.09.2021'!I$202,9,)</f>
        <v>Canada</v>
      </c>
      <c r="J300" t="str">
        <f t="shared" si="12"/>
        <v>Nu</v>
      </c>
    </row>
    <row r="301" spans="1:10" x14ac:dyDescent="0.2">
      <c r="A301" t="s">
        <v>44</v>
      </c>
      <c r="B301" t="s">
        <v>40</v>
      </c>
      <c r="C301">
        <v>7486441</v>
      </c>
      <c r="D301" s="5">
        <f t="shared" si="13"/>
        <v>37432.205000000002</v>
      </c>
      <c r="E301" s="2">
        <f>VLOOKUP(A301,'30.09.2021'!A$3:'30.09.2021'!I$202,5,)</f>
        <v>44445</v>
      </c>
      <c r="F301" s="2">
        <v>44448</v>
      </c>
      <c r="G301" s="23">
        <f>VLOOKUP(A301,'30.09.2021'!A$3:'30.09.2021'!I$202,7,)</f>
        <v>9.8611111111111108E-2</v>
      </c>
      <c r="H301" t="str">
        <f>VLOOKUP(A301,'30.09.2021'!A$3:'30.09.2021'!I$202,8,)</f>
        <v>POP</v>
      </c>
      <c r="I301" t="str">
        <f>VLOOKUP(A301,'30.09.2021'!A$3:'30.09.2021'!I$202,9,)</f>
        <v>Canada</v>
      </c>
      <c r="J301" t="str">
        <f t="shared" si="12"/>
        <v>Nu</v>
      </c>
    </row>
    <row r="302" spans="1:10" x14ac:dyDescent="0.2">
      <c r="A302" t="s">
        <v>139</v>
      </c>
      <c r="B302" t="s">
        <v>46</v>
      </c>
      <c r="C302">
        <v>7408114</v>
      </c>
      <c r="D302" s="5">
        <f t="shared" si="13"/>
        <v>37040.57</v>
      </c>
      <c r="E302" s="2">
        <f>VLOOKUP(A302,'2.09.2021'!A$3:'2.09.2021'!I$202,5,)</f>
        <v>44209</v>
      </c>
      <c r="F302" s="2">
        <v>44448</v>
      </c>
      <c r="G302" s="23">
        <f>VLOOKUP(A302,'2.09.2021'!A$3:'2.09.2021'!I$202,7,)</f>
        <v>0.16874999999999998</v>
      </c>
      <c r="H302" t="str">
        <f>VLOOKUP(A302,'2.09.2021'!A$3:'2.09.2021'!I$202,8,)</f>
        <v>ELECTRONIC</v>
      </c>
      <c r="I302" t="str">
        <f>VLOOKUP(A302,'2.09.2021'!A$3:'2.09.2021'!I$202,9,)</f>
        <v>Canada</v>
      </c>
      <c r="J302" t="str">
        <f t="shared" si="12"/>
        <v>Nu</v>
      </c>
    </row>
    <row r="303" spans="1:10" x14ac:dyDescent="0.2">
      <c r="A303" t="s">
        <v>445</v>
      </c>
      <c r="B303" t="s">
        <v>140</v>
      </c>
      <c r="C303">
        <v>7276769</v>
      </c>
      <c r="D303" s="5">
        <f t="shared" si="13"/>
        <v>36383.845000000001</v>
      </c>
      <c r="E303" s="2">
        <f>VLOOKUP(A303,'2.09.2021'!A$3:'2.09.2021'!I$202,5,)</f>
        <v>44389</v>
      </c>
      <c r="F303" s="2">
        <v>44448</v>
      </c>
      <c r="G303" s="23">
        <f>VLOOKUP(A303,'2.09.2021'!A$3:'2.09.2021'!I$202,7,)</f>
        <v>0.20694444444444446</v>
      </c>
      <c r="H303" t="str">
        <f>VLOOKUP(A303,'2.09.2021'!A$3:'2.09.2021'!I$202,8,)</f>
        <v>ALTERNATIVE</v>
      </c>
      <c r="I303" t="str">
        <f>VLOOKUP(A303,'2.09.2021'!A$3:'2.09.2021'!I$202,9,)</f>
        <v>SUA</v>
      </c>
      <c r="J303" t="str">
        <f t="shared" si="12"/>
        <v>Da</v>
      </c>
    </row>
    <row r="304" spans="1:10" x14ac:dyDescent="0.2">
      <c r="A304" t="s">
        <v>150</v>
      </c>
      <c r="B304" t="s">
        <v>151</v>
      </c>
      <c r="C304">
        <v>7252496</v>
      </c>
      <c r="D304" s="5">
        <f t="shared" si="13"/>
        <v>36262.480000000003</v>
      </c>
      <c r="E304" s="2">
        <f>VLOOKUP(A304,'2.09.2021'!A$3:'2.09.2021'!I$202,5,)</f>
        <v>44244</v>
      </c>
      <c r="F304" s="2">
        <v>44448</v>
      </c>
      <c r="G304" s="23">
        <f>VLOOKUP(A304,'2.09.2021'!A$3:'2.09.2021'!I$202,7,)</f>
        <v>0.1173611111111111</v>
      </c>
      <c r="H304" t="str">
        <f>VLOOKUP(A304,'2.09.2021'!A$3:'2.09.2021'!I$202,8,)</f>
        <v>LATIN URBAN</v>
      </c>
      <c r="I304" t="str">
        <f>VLOOKUP(A304,'2.09.2021'!A$3:'2.09.2021'!I$202,9,)</f>
        <v>Brazilia</v>
      </c>
      <c r="J304" t="str">
        <f t="shared" si="12"/>
        <v>Nu</v>
      </c>
    </row>
    <row r="305" spans="1:10" x14ac:dyDescent="0.2">
      <c r="A305" t="s">
        <v>360</v>
      </c>
      <c r="B305" t="s">
        <v>2</v>
      </c>
      <c r="C305">
        <v>7187013</v>
      </c>
      <c r="D305" s="5">
        <f t="shared" si="13"/>
        <v>35935.065000000002</v>
      </c>
      <c r="E305" s="2">
        <v>44328</v>
      </c>
      <c r="F305" s="2">
        <v>44448</v>
      </c>
      <c r="G305" s="23">
        <v>0.11666666666666665</v>
      </c>
      <c r="H305" t="s">
        <v>423</v>
      </c>
      <c r="I305" t="s">
        <v>468</v>
      </c>
      <c r="J305" t="str">
        <f t="shared" si="12"/>
        <v>Nu</v>
      </c>
    </row>
    <row r="306" spans="1:10" x14ac:dyDescent="0.2">
      <c r="A306" t="s">
        <v>130</v>
      </c>
      <c r="B306" t="s">
        <v>23</v>
      </c>
      <c r="C306">
        <v>7184315</v>
      </c>
      <c r="D306" s="5">
        <f t="shared" si="13"/>
        <v>35921.574999999997</v>
      </c>
      <c r="E306" s="2">
        <f>VLOOKUP(A306,'2.09.2021'!A$3:'2.09.2021'!I$202,5,)</f>
        <v>44385</v>
      </c>
      <c r="F306" s="2">
        <v>44448</v>
      </c>
      <c r="G306" s="23">
        <f>VLOOKUP(A306,'2.09.2021'!A$3:'2.09.2021'!I$202,7,)</f>
        <v>0.16805555555555554</v>
      </c>
      <c r="H306" t="str">
        <f>VLOOKUP(A306,'2.09.2021'!A$3:'2.09.2021'!I$202,8,)</f>
        <v>LATIN URBAN</v>
      </c>
      <c r="I306" t="str">
        <f>VLOOKUP(A306,'2.09.2021'!A$3:'2.09.2021'!I$202,9,)</f>
        <v>SUA</v>
      </c>
      <c r="J306" t="str">
        <f t="shared" si="12"/>
        <v>Da</v>
      </c>
    </row>
    <row r="307" spans="1:10" x14ac:dyDescent="0.2">
      <c r="A307" t="s">
        <v>136</v>
      </c>
      <c r="B307" t="s">
        <v>10</v>
      </c>
      <c r="C307">
        <v>7070755</v>
      </c>
      <c r="D307" s="5">
        <f t="shared" si="13"/>
        <v>35353.775000000001</v>
      </c>
      <c r="E307" s="2">
        <f>VLOOKUP(A307,'2.09.2021'!A$3:'2.09.2021'!I$202,5,)</f>
        <v>44240</v>
      </c>
      <c r="F307" s="2">
        <v>44448</v>
      </c>
      <c r="G307" s="23">
        <f>VLOOKUP(A307,'2.09.2021'!A$3:'2.09.2021'!I$202,7,)</f>
        <v>0.13958333333333334</v>
      </c>
      <c r="H307" t="str">
        <f>VLOOKUP(A307,'2.09.2021'!A$3:'2.09.2021'!I$202,8,)</f>
        <v>POP</v>
      </c>
      <c r="I307" t="str">
        <f>VLOOKUP(A307,'2.09.2021'!A$3:'2.09.2021'!I$202,9,)</f>
        <v>Marea Britanie</v>
      </c>
      <c r="J307" t="str">
        <f t="shared" si="12"/>
        <v>Nu</v>
      </c>
    </row>
    <row r="308" spans="1:10" x14ac:dyDescent="0.2">
      <c r="A308" t="s">
        <v>148</v>
      </c>
      <c r="B308" t="s">
        <v>149</v>
      </c>
      <c r="C308">
        <v>7063041</v>
      </c>
      <c r="D308" s="5">
        <f t="shared" si="13"/>
        <v>35315.205000000002</v>
      </c>
      <c r="E308" s="2">
        <f>VLOOKUP(A308,'2.09.2021'!A$3:'2.09.2021'!I$202,5,)</f>
        <v>44309</v>
      </c>
      <c r="F308" s="2">
        <v>44448</v>
      </c>
      <c r="G308" s="23">
        <f>VLOOKUP(A308,'2.09.2021'!A$3:'2.09.2021'!I$202,7,)</f>
        <v>0.19930555555555554</v>
      </c>
      <c r="H308" t="str">
        <f>VLOOKUP(A308,'2.09.2021'!A$3:'2.09.2021'!I$202,8,)</f>
        <v>K-POP</v>
      </c>
      <c r="I308" t="str">
        <f>VLOOKUP(A308,'2.09.2021'!A$3:'2.09.2021'!I$202,9,)</f>
        <v>SUA</v>
      </c>
      <c r="J308" t="str">
        <f t="shared" si="12"/>
        <v>Nu</v>
      </c>
    </row>
    <row r="309" spans="1:10" x14ac:dyDescent="0.2">
      <c r="A309" t="s">
        <v>155</v>
      </c>
      <c r="B309" t="s">
        <v>156</v>
      </c>
      <c r="C309">
        <v>7040590</v>
      </c>
      <c r="D309" s="5">
        <f t="shared" si="13"/>
        <v>35202.949999999997</v>
      </c>
      <c r="E309" s="2">
        <f>VLOOKUP(A309,'2.09.2021'!A$3:'2.09.2021'!I$202,5,)</f>
        <v>44245</v>
      </c>
      <c r="F309" s="2">
        <v>44448</v>
      </c>
      <c r="G309" s="23">
        <f>VLOOKUP(A309,'2.09.2021'!A$3:'2.09.2021'!I$202,7,)</f>
        <v>0.10069444444444443</v>
      </c>
      <c r="H309" t="str">
        <f>VLOOKUP(A309,'2.09.2021'!A$3:'2.09.2021'!I$202,8,)</f>
        <v>RHYTHM &amp; BLUES</v>
      </c>
      <c r="I309" t="str">
        <f>VLOOKUP(A309,'2.09.2021'!A$3:'2.09.2021'!I$202,9,)</f>
        <v>SUA</v>
      </c>
      <c r="J309" t="str">
        <f t="shared" si="12"/>
        <v>Nu</v>
      </c>
    </row>
    <row r="310" spans="1:10" x14ac:dyDescent="0.2">
      <c r="A310" t="s">
        <v>247</v>
      </c>
      <c r="B310" t="s">
        <v>20</v>
      </c>
      <c r="C310">
        <v>6994162</v>
      </c>
      <c r="D310" s="5">
        <f t="shared" si="13"/>
        <v>34970.81</v>
      </c>
      <c r="E310" s="2">
        <v>44328</v>
      </c>
      <c r="F310" s="2">
        <v>44448</v>
      </c>
      <c r="G310" s="23">
        <v>0.11458333333333333</v>
      </c>
      <c r="H310" t="s">
        <v>423</v>
      </c>
      <c r="I310" t="s">
        <v>420</v>
      </c>
      <c r="J310" t="str">
        <f t="shared" si="12"/>
        <v>Nu</v>
      </c>
    </row>
    <row r="311" spans="1:10" x14ac:dyDescent="0.2">
      <c r="A311" t="s">
        <v>165</v>
      </c>
      <c r="B311" t="s">
        <v>166</v>
      </c>
      <c r="C311">
        <v>6957330</v>
      </c>
      <c r="D311" s="5">
        <f t="shared" si="13"/>
        <v>34786.65</v>
      </c>
      <c r="E311" s="2">
        <f>VLOOKUP(A311,'2.09.2021'!A$3:'2.09.2021'!I$202,5,)</f>
        <v>44406</v>
      </c>
      <c r="F311" s="2">
        <v>44448</v>
      </c>
      <c r="G311" s="23">
        <f>VLOOKUP(A311,'2.09.2021'!A$3:'2.09.2021'!I$202,7,)</f>
        <v>0.14652777777777778</v>
      </c>
      <c r="H311" t="str">
        <f>VLOOKUP(A311,'2.09.2021'!A$3:'2.09.2021'!I$202,8,)</f>
        <v>LATIN</v>
      </c>
      <c r="I311" t="str">
        <f>VLOOKUP(A311,'2.09.2021'!A$3:'2.09.2021'!I$202,9,)</f>
        <v>India</v>
      </c>
      <c r="J311" t="str">
        <f t="shared" si="12"/>
        <v>Nu</v>
      </c>
    </row>
    <row r="312" spans="1:10" x14ac:dyDescent="0.2">
      <c r="A312" t="s">
        <v>146</v>
      </c>
      <c r="B312" t="s">
        <v>147</v>
      </c>
      <c r="C312">
        <v>6942462</v>
      </c>
      <c r="D312" s="5">
        <f t="shared" si="13"/>
        <v>34712.310000000005</v>
      </c>
      <c r="E312" s="2">
        <f>VLOOKUP(A312,'2.09.2021'!A$3:'2.09.2021'!I$202,5,)</f>
        <v>44370</v>
      </c>
      <c r="F312" s="2">
        <v>44448</v>
      </c>
      <c r="G312" s="23">
        <f>VLOOKUP(A312,'2.09.2021'!A$3:'2.09.2021'!I$202,7,)</f>
        <v>0.15972222222222224</v>
      </c>
      <c r="H312" t="str">
        <f>VLOOKUP(A312,'2.09.2021'!A$3:'2.09.2021'!I$202,8,)</f>
        <v>HIP-HOP/RAP</v>
      </c>
      <c r="I312" t="str">
        <f>VLOOKUP(A312,'2.09.2021'!A$3:'2.09.2021'!I$202,9,)</f>
        <v>SUA</v>
      </c>
      <c r="J312" t="str">
        <f t="shared" si="12"/>
        <v>Nu</v>
      </c>
    </row>
    <row r="313" spans="1:10" x14ac:dyDescent="0.2">
      <c r="A313" t="s">
        <v>152</v>
      </c>
      <c r="B313" t="s">
        <v>106</v>
      </c>
      <c r="C313">
        <v>6933137</v>
      </c>
      <c r="D313" s="5">
        <f t="shared" si="13"/>
        <v>34665.684999999998</v>
      </c>
      <c r="E313" s="2">
        <f>VLOOKUP(A313,'2.09.2021'!A$3:'2.09.2021'!I$202,5,)</f>
        <v>44226</v>
      </c>
      <c r="F313" s="2">
        <v>44448</v>
      </c>
      <c r="G313" s="23">
        <f>VLOOKUP(A313,'2.09.2021'!A$3:'2.09.2021'!I$202,7,)</f>
        <v>0.13541666666666666</v>
      </c>
      <c r="H313" t="str">
        <f>VLOOKUP(A313,'2.09.2021'!A$3:'2.09.2021'!I$202,8,)</f>
        <v>HIP-HOP/RAP</v>
      </c>
      <c r="I313" t="str">
        <f>VLOOKUP(A313,'2.09.2021'!A$3:'2.09.2021'!I$202,9,)</f>
        <v>Scoția</v>
      </c>
      <c r="J313" t="str">
        <f t="shared" si="12"/>
        <v>Nu</v>
      </c>
    </row>
    <row r="314" spans="1:10" x14ac:dyDescent="0.2">
      <c r="A314" t="s">
        <v>157</v>
      </c>
      <c r="B314" t="s">
        <v>158</v>
      </c>
      <c r="C314">
        <v>6863297</v>
      </c>
      <c r="D314" s="5">
        <f t="shared" si="13"/>
        <v>34316.485000000001</v>
      </c>
      <c r="E314" s="2">
        <f>VLOOKUP(A314,'2.09.2021'!A$3:'2.09.2021'!I$202,5,)</f>
        <v>44245</v>
      </c>
      <c r="F314" s="2">
        <v>44448</v>
      </c>
      <c r="G314" s="23">
        <f>VLOOKUP(A314,'2.09.2021'!A$3:'2.09.2021'!I$202,7,)</f>
        <v>0.14305555555555557</v>
      </c>
      <c r="H314" t="str">
        <f>VLOOKUP(A314,'2.09.2021'!A$3:'2.09.2021'!I$202,8,)</f>
        <v>POP</v>
      </c>
      <c r="I314" t="str">
        <f>VLOOKUP(A314,'2.09.2021'!A$3:'2.09.2021'!I$202,9,)</f>
        <v>SUA</v>
      </c>
      <c r="J314" t="str">
        <f t="shared" si="12"/>
        <v>Nu</v>
      </c>
    </row>
    <row r="315" spans="1:10" x14ac:dyDescent="0.2">
      <c r="A315" t="s">
        <v>153</v>
      </c>
      <c r="B315" t="s">
        <v>154</v>
      </c>
      <c r="C315">
        <v>6848856</v>
      </c>
      <c r="D315" s="5">
        <f t="shared" si="13"/>
        <v>34244.28</v>
      </c>
      <c r="E315" s="2">
        <f>VLOOKUP(A315,'2.09.2021'!A$3:'2.09.2021'!I$202,5,)</f>
        <v>44307</v>
      </c>
      <c r="F315" s="2">
        <v>44448</v>
      </c>
      <c r="G315" s="23">
        <f>VLOOKUP(A315,'2.09.2021'!A$3:'2.09.2021'!I$202,7,)</f>
        <v>0.15069444444444444</v>
      </c>
      <c r="H315" t="str">
        <f>VLOOKUP(A315,'2.09.2021'!A$3:'2.09.2021'!I$202,8,)</f>
        <v>POP</v>
      </c>
      <c r="I315" t="str">
        <f>VLOOKUP(A315,'2.09.2021'!A$3:'2.09.2021'!I$202,9,)</f>
        <v>SUA</v>
      </c>
      <c r="J315" t="str">
        <f t="shared" si="12"/>
        <v>Nu</v>
      </c>
    </row>
    <row r="316" spans="1:10" x14ac:dyDescent="0.2">
      <c r="A316" t="s">
        <v>161</v>
      </c>
      <c r="B316" t="s">
        <v>162</v>
      </c>
      <c r="C316">
        <v>6746723</v>
      </c>
      <c r="D316" s="5">
        <f t="shared" si="13"/>
        <v>33733.614999999998</v>
      </c>
      <c r="E316" s="2">
        <f>VLOOKUP(A316,'2.09.2021'!A$3:'2.09.2021'!I$202,5,)</f>
        <v>44408</v>
      </c>
      <c r="F316" s="2">
        <v>44448</v>
      </c>
      <c r="G316" s="23">
        <f>VLOOKUP(A316,'2.09.2021'!A$3:'2.09.2021'!I$202,7,)</f>
        <v>0.15277777777777776</v>
      </c>
      <c r="H316" t="str">
        <f>VLOOKUP(A316,'2.09.2021'!A$3:'2.09.2021'!I$202,8,)</f>
        <v>HIP-HOP/RAP</v>
      </c>
      <c r="I316" t="str">
        <f>VLOOKUP(A316,'2.09.2021'!A$3:'2.09.2021'!I$202,9,)</f>
        <v>Australia</v>
      </c>
      <c r="J316" t="str">
        <f t="shared" si="12"/>
        <v>Nu</v>
      </c>
    </row>
    <row r="317" spans="1:10" x14ac:dyDescent="0.2">
      <c r="A317" t="s">
        <v>163</v>
      </c>
      <c r="B317" t="s">
        <v>164</v>
      </c>
      <c r="C317">
        <v>6619255</v>
      </c>
      <c r="D317" s="5">
        <f t="shared" si="13"/>
        <v>33096.275000000001</v>
      </c>
      <c r="E317" s="2">
        <f>VLOOKUP(A317,'2.09.2021'!A$3:'2.09.2021'!I$202,5,)</f>
        <v>44412</v>
      </c>
      <c r="F317" s="2">
        <v>44448</v>
      </c>
      <c r="G317" s="23">
        <f>VLOOKUP(A317,'2.09.2021'!A$3:'2.09.2021'!I$202,7,)</f>
        <v>0.10069444444444443</v>
      </c>
      <c r="H317" t="str">
        <f>VLOOKUP(A317,'2.09.2021'!A$3:'2.09.2021'!I$202,8,)</f>
        <v>HIP-HOP/RAP</v>
      </c>
      <c r="I317" t="str">
        <f>VLOOKUP(A317,'2.09.2021'!A$3:'2.09.2021'!I$202,9,)</f>
        <v>SUA</v>
      </c>
      <c r="J317" t="str">
        <f t="shared" si="12"/>
        <v>Nu</v>
      </c>
    </row>
    <row r="318" spans="1:10" x14ac:dyDescent="0.2">
      <c r="A318" t="s">
        <v>179</v>
      </c>
      <c r="B318" t="s">
        <v>180</v>
      </c>
      <c r="C318">
        <v>6616894</v>
      </c>
      <c r="D318" s="5">
        <f t="shared" si="13"/>
        <v>33084.47</v>
      </c>
      <c r="E318" s="2">
        <f>VLOOKUP(A318,'2.09.2021'!A$3:'2.09.2021'!I$202,5,)</f>
        <v>44303</v>
      </c>
      <c r="F318" s="2">
        <v>44448</v>
      </c>
      <c r="G318" s="23">
        <f>VLOOKUP(A318,'2.09.2021'!A$3:'2.09.2021'!I$202,7,)</f>
        <v>0.15902777777777777</v>
      </c>
      <c r="H318" t="str">
        <f>VLOOKUP(A318,'2.09.2021'!A$3:'2.09.2021'!I$202,8,)</f>
        <v>HIP-HOP/RAP</v>
      </c>
      <c r="I318" t="str">
        <f>VLOOKUP(A318,'2.09.2021'!A$3:'2.09.2021'!I$202,9,)</f>
        <v>Olanda</v>
      </c>
      <c r="J318" t="str">
        <f t="shared" si="12"/>
        <v>Nu</v>
      </c>
    </row>
    <row r="319" spans="1:10" x14ac:dyDescent="0.2">
      <c r="A319" t="s">
        <v>168</v>
      </c>
      <c r="B319" t="s">
        <v>158</v>
      </c>
      <c r="C319">
        <v>6548663</v>
      </c>
      <c r="D319" s="5">
        <f t="shared" si="13"/>
        <v>32743.314999999999</v>
      </c>
      <c r="E319" s="2">
        <f>VLOOKUP(A319,'2.09.2021'!A$3:'2.09.2021'!I$202,5,)</f>
        <v>44464</v>
      </c>
      <c r="F319" s="2">
        <v>44448</v>
      </c>
      <c r="G319" s="23">
        <f>VLOOKUP(A319,'2.09.2021'!A$3:'2.09.2021'!I$202,7,)</f>
        <v>0.12361111111111112</v>
      </c>
      <c r="H319" t="str">
        <f>VLOOKUP(A319,'2.09.2021'!A$3:'2.09.2021'!I$202,8,)</f>
        <v>LATIN URBAN</v>
      </c>
      <c r="I319" t="str">
        <f>VLOOKUP(A319,'2.09.2021'!A$3:'2.09.2021'!I$202,9,)</f>
        <v>SUA</v>
      </c>
      <c r="J319" t="str">
        <f t="shared" si="12"/>
        <v>Nu</v>
      </c>
    </row>
    <row r="320" spans="1:10" x14ac:dyDescent="0.2">
      <c r="A320" t="s">
        <v>170</v>
      </c>
      <c r="B320" t="s">
        <v>171</v>
      </c>
      <c r="C320">
        <v>6536464</v>
      </c>
      <c r="D320" s="5">
        <f t="shared" si="13"/>
        <v>32682.32</v>
      </c>
      <c r="E320" s="2">
        <f>VLOOKUP(A320,'2.09.2021'!A$3:'2.09.2021'!I$202,5,)</f>
        <v>44446</v>
      </c>
      <c r="F320" s="2">
        <v>44448</v>
      </c>
      <c r="G320" s="23">
        <f>VLOOKUP(A320,'2.09.2021'!A$3:'2.09.2021'!I$202,7,)</f>
        <v>9.5138888888888884E-2</v>
      </c>
      <c r="H320" t="str">
        <f>VLOOKUP(A320,'2.09.2021'!A$3:'2.09.2021'!I$202,8,)</f>
        <v>ALTERNATIVE</v>
      </c>
      <c r="I320" t="str">
        <f>VLOOKUP(A320,'2.09.2021'!A$3:'2.09.2021'!I$202,9,)</f>
        <v>SUA</v>
      </c>
      <c r="J320" t="str">
        <f t="shared" si="12"/>
        <v>Nu</v>
      </c>
    </row>
    <row r="321" spans="1:10" x14ac:dyDescent="0.2">
      <c r="A321" t="s">
        <v>144</v>
      </c>
      <c r="B321" t="s">
        <v>23</v>
      </c>
      <c r="C321">
        <v>6521881</v>
      </c>
      <c r="D321" s="5">
        <f t="shared" si="13"/>
        <v>32609.405000000002</v>
      </c>
      <c r="E321" s="2">
        <v>44337</v>
      </c>
      <c r="F321" s="2">
        <v>44448</v>
      </c>
      <c r="G321" s="23">
        <v>0.16388888888888889</v>
      </c>
      <c r="H321" t="s">
        <v>434</v>
      </c>
      <c r="I321" t="s">
        <v>468</v>
      </c>
      <c r="J321" t="str">
        <f t="shared" si="12"/>
        <v>Nu</v>
      </c>
    </row>
    <row r="322" spans="1:10" x14ac:dyDescent="0.2">
      <c r="A322" t="s">
        <v>181</v>
      </c>
      <c r="B322" t="s">
        <v>42</v>
      </c>
      <c r="C322">
        <v>6486425</v>
      </c>
      <c r="D322" s="5">
        <f t="shared" si="13"/>
        <v>32432.125</v>
      </c>
      <c r="E322" s="2">
        <f>VLOOKUP(A322,'2.09.2021'!A$3:'2.09.2021'!I$202,5,)</f>
        <v>44316</v>
      </c>
      <c r="F322" s="2">
        <v>44448</v>
      </c>
      <c r="G322" s="23">
        <f>VLOOKUP(A322,'2.09.2021'!A$3:'2.09.2021'!I$202,7,)</f>
        <v>0.12013888888888889</v>
      </c>
      <c r="H322" t="str">
        <f>VLOOKUP(A322,'2.09.2021'!A$3:'2.09.2021'!I$202,8,)</f>
        <v>ELECTRONIC</v>
      </c>
      <c r="I322" t="str">
        <f>VLOOKUP(A322,'2.09.2021'!A$3:'2.09.2021'!I$202,9,)</f>
        <v>Columbia</v>
      </c>
      <c r="J322" t="str">
        <f t="shared" ref="J322:J385" si="14">IF(ISNUMBER(SEARCH("with",A322)),"Da","Nu")</f>
        <v>Nu</v>
      </c>
    </row>
    <row r="323" spans="1:10" x14ac:dyDescent="0.2">
      <c r="A323" t="s">
        <v>172</v>
      </c>
      <c r="B323" t="s">
        <v>173</v>
      </c>
      <c r="C323">
        <v>6455273</v>
      </c>
      <c r="D323" s="5">
        <f t="shared" si="13"/>
        <v>32276.365000000002</v>
      </c>
      <c r="E323" s="2">
        <f>VLOOKUP(A323,'2.09.2021'!A$3:'2.09.2021'!I$202,5,)</f>
        <v>44227</v>
      </c>
      <c r="F323" s="2">
        <v>44448</v>
      </c>
      <c r="G323" s="23">
        <f>VLOOKUP(A323,'2.09.2021'!A$3:'2.09.2021'!I$202,7,)</f>
        <v>0.23124999999999998</v>
      </c>
      <c r="H323" t="str">
        <f>VLOOKUP(A323,'2.09.2021'!A$3:'2.09.2021'!I$202,8,)</f>
        <v>HIP-HOP/RAP</v>
      </c>
      <c r="I323" t="str">
        <f>VLOOKUP(A323,'2.09.2021'!A$3:'2.09.2021'!I$202,9,)</f>
        <v>SUA</v>
      </c>
      <c r="J323" t="str">
        <f t="shared" si="14"/>
        <v>Nu</v>
      </c>
    </row>
    <row r="324" spans="1:10" x14ac:dyDescent="0.2">
      <c r="A324" t="s">
        <v>176</v>
      </c>
      <c r="B324" t="s">
        <v>177</v>
      </c>
      <c r="C324">
        <v>6452194</v>
      </c>
      <c r="D324" s="5">
        <f t="shared" si="13"/>
        <v>32260.97</v>
      </c>
      <c r="E324" s="2">
        <f>VLOOKUP(A324,'30.09.2021'!A$3:'30.09.2021'!I$202,5,)</f>
        <v>44391</v>
      </c>
      <c r="F324" s="2">
        <v>44448</v>
      </c>
      <c r="G324" s="23">
        <f>VLOOKUP(A324,'30.09.2021'!A$3:'30.09.2021'!I$202,7,)</f>
        <v>0.14097222222222222</v>
      </c>
      <c r="H324" t="str">
        <f>VLOOKUP(A324,'30.09.2021'!A$3:'30.09.2021'!I$202,8,)</f>
        <v>LATIN</v>
      </c>
      <c r="I324" t="str">
        <f>VLOOKUP(A324,'30.09.2021'!A$3:'30.09.2021'!I$202,9,)</f>
        <v>Columbia</v>
      </c>
      <c r="J324" t="str">
        <f t="shared" si="14"/>
        <v>Nu</v>
      </c>
    </row>
    <row r="325" spans="1:10" x14ac:dyDescent="0.2">
      <c r="A325" t="s">
        <v>186</v>
      </c>
      <c r="B325" t="s">
        <v>38</v>
      </c>
      <c r="C325">
        <v>6389281</v>
      </c>
      <c r="D325" s="5">
        <f t="shared" si="13"/>
        <v>31946.404999999999</v>
      </c>
      <c r="E325" s="2">
        <f>VLOOKUP(A325,'2.09.2021'!A$3:'2.09.2021'!I$202,5,)</f>
        <v>44315</v>
      </c>
      <c r="F325" s="2">
        <v>44448</v>
      </c>
      <c r="G325" s="23">
        <f>VLOOKUP(A325,'2.09.2021'!A$3:'2.09.2021'!I$202,7,)</f>
        <v>0.14097222222222222</v>
      </c>
      <c r="H325" t="str">
        <f>VLOOKUP(A325,'2.09.2021'!A$3:'2.09.2021'!I$202,8,)</f>
        <v>LATIN URBAN</v>
      </c>
      <c r="I325" t="str">
        <f>VLOOKUP(A325,'2.09.2021'!A$3:'2.09.2021'!I$202,9,)</f>
        <v>Marea Britanie</v>
      </c>
      <c r="J325" t="str">
        <f t="shared" si="14"/>
        <v>Nu</v>
      </c>
    </row>
    <row r="326" spans="1:10" x14ac:dyDescent="0.2">
      <c r="A326" t="s">
        <v>208</v>
      </c>
      <c r="B326" t="s">
        <v>209</v>
      </c>
      <c r="C326">
        <v>6384423</v>
      </c>
      <c r="D326" s="5">
        <f t="shared" si="13"/>
        <v>31922.114999999998</v>
      </c>
      <c r="E326" s="2">
        <f>VLOOKUP(A326,'2.09.2021'!A$3:'2.09.2021'!I$202,5,)</f>
        <v>44452</v>
      </c>
      <c r="F326" s="2">
        <v>44448</v>
      </c>
      <c r="G326" s="23">
        <f>VLOOKUP(A326,'2.09.2021'!A$3:'2.09.2021'!I$202,7,)</f>
        <v>0.13819444444444443</v>
      </c>
      <c r="H326" t="str">
        <f>VLOOKUP(A326,'2.09.2021'!A$3:'2.09.2021'!I$202,8,)</f>
        <v>HIP-HOP/RAP</v>
      </c>
      <c r="I326" t="str">
        <f>VLOOKUP(A326,'2.09.2021'!A$3:'2.09.2021'!I$202,9,)</f>
        <v>Brazilia</v>
      </c>
      <c r="J326" t="str">
        <f t="shared" si="14"/>
        <v>Nu</v>
      </c>
    </row>
    <row r="327" spans="1:10" x14ac:dyDescent="0.2">
      <c r="A327" t="s">
        <v>169</v>
      </c>
      <c r="B327" t="s">
        <v>10</v>
      </c>
      <c r="C327">
        <v>6363090</v>
      </c>
      <c r="D327" s="5">
        <f t="shared" si="13"/>
        <v>31815.45</v>
      </c>
      <c r="E327" s="2">
        <f>VLOOKUP(A327,'2.09.2021'!A$3:'2.09.2021'!I$202,5,)</f>
        <v>44309</v>
      </c>
      <c r="F327" s="2">
        <v>44448</v>
      </c>
      <c r="G327" s="23">
        <f>VLOOKUP(A327,'2.09.2021'!A$3:'2.09.2021'!I$202,7,)</f>
        <v>0.1076388888888889</v>
      </c>
      <c r="H327" t="str">
        <f>VLOOKUP(A327,'2.09.2021'!A$3:'2.09.2021'!I$202,8,)</f>
        <v>LATIN URBAN</v>
      </c>
      <c r="I327" t="str">
        <f>VLOOKUP(A327,'2.09.2021'!A$3:'2.09.2021'!I$202,9,)</f>
        <v>Marea Britanie</v>
      </c>
      <c r="J327" t="str">
        <f t="shared" si="14"/>
        <v>Nu</v>
      </c>
    </row>
    <row r="328" spans="1:10" x14ac:dyDescent="0.2">
      <c r="A328" t="s">
        <v>205</v>
      </c>
      <c r="B328" t="s">
        <v>206</v>
      </c>
      <c r="C328">
        <v>6306282</v>
      </c>
      <c r="D328" s="5">
        <f t="shared" si="13"/>
        <v>31531.41</v>
      </c>
      <c r="E328" s="2">
        <f>VLOOKUP(A328,'2.09.2021'!A$3:'2.09.2021'!I$202,5,)</f>
        <v>44308</v>
      </c>
      <c r="F328" s="2">
        <v>44448</v>
      </c>
      <c r="G328" s="23">
        <f>VLOOKUP(A328,'2.09.2021'!A$3:'2.09.2021'!I$202,7,)</f>
        <v>0.14722222222222223</v>
      </c>
      <c r="H328" t="str">
        <f>VLOOKUP(A328,'2.09.2021'!A$3:'2.09.2021'!I$202,8,)</f>
        <v>HIP-HOP/RAP</v>
      </c>
      <c r="I328" t="str">
        <f>VLOOKUP(A328,'2.09.2021'!A$3:'2.09.2021'!I$202,9,)</f>
        <v>India</v>
      </c>
      <c r="J328" t="str">
        <f t="shared" si="14"/>
        <v>Nu</v>
      </c>
    </row>
    <row r="329" spans="1:10" x14ac:dyDescent="0.2">
      <c r="A329" t="s">
        <v>194</v>
      </c>
      <c r="B329" t="s">
        <v>12</v>
      </c>
      <c r="C329">
        <v>6272070</v>
      </c>
      <c r="D329" s="5">
        <f t="shared" si="13"/>
        <v>31360.35</v>
      </c>
      <c r="E329" s="2">
        <f>VLOOKUP(A329,'2.09.2021'!A$3:'2.09.2021'!I$202,5,)</f>
        <v>44262</v>
      </c>
      <c r="F329" s="2">
        <v>44448</v>
      </c>
      <c r="G329" s="23">
        <f>VLOOKUP(A329,'2.09.2021'!A$3:'2.09.2021'!I$202,7,)</f>
        <v>0.10833333333333334</v>
      </c>
      <c r="H329" t="str">
        <f>VLOOKUP(A329,'2.09.2021'!A$3:'2.09.2021'!I$202,8,)</f>
        <v>LATIN URBAN</v>
      </c>
      <c r="I329" t="str">
        <f>VLOOKUP(A329,'2.09.2021'!A$3:'2.09.2021'!I$202,9,)</f>
        <v>SUA</v>
      </c>
      <c r="J329" t="str">
        <f t="shared" si="14"/>
        <v>Nu</v>
      </c>
    </row>
    <row r="330" spans="1:10" x14ac:dyDescent="0.2">
      <c r="A330" t="s">
        <v>159</v>
      </c>
      <c r="B330" t="s">
        <v>160</v>
      </c>
      <c r="C330">
        <v>6254740</v>
      </c>
      <c r="D330" s="5">
        <f t="shared" ref="D330:D393" si="15">(C330/1000*5)</f>
        <v>31273.699999999997</v>
      </c>
      <c r="E330" s="2">
        <f>VLOOKUP(A330,'2.09.2021'!A$3:'2.09.2021'!I$202,5,)</f>
        <v>44329</v>
      </c>
      <c r="F330" s="2">
        <v>44448</v>
      </c>
      <c r="G330" s="23">
        <f>VLOOKUP(A330,'2.09.2021'!A$3:'2.09.2021'!I$202,7,)</f>
        <v>0.14930555555555555</v>
      </c>
      <c r="H330" t="str">
        <f>VLOOKUP(A330,'2.09.2021'!A$3:'2.09.2021'!I$202,8,)</f>
        <v>RHYTHM &amp; BLUES</v>
      </c>
      <c r="I330" t="str">
        <f>VLOOKUP(A330,'2.09.2021'!A$3:'2.09.2021'!I$202,9,)</f>
        <v>SUA</v>
      </c>
      <c r="J330" t="str">
        <f t="shared" si="14"/>
        <v>Nu</v>
      </c>
    </row>
    <row r="331" spans="1:10" x14ac:dyDescent="0.2">
      <c r="A331" t="s">
        <v>197</v>
      </c>
      <c r="B331" t="s">
        <v>1</v>
      </c>
      <c r="C331">
        <v>6253444</v>
      </c>
      <c r="D331" s="5">
        <f t="shared" si="15"/>
        <v>31267.22</v>
      </c>
      <c r="E331" s="2">
        <f>VLOOKUP(A331,'2.09.2021'!A$3:'2.09.2021'!I$202,5,)</f>
        <v>44243</v>
      </c>
      <c r="F331" s="2">
        <v>44448</v>
      </c>
      <c r="G331" s="23">
        <f>VLOOKUP(A331,'2.09.2021'!A$3:'2.09.2021'!I$202,7,)</f>
        <v>0.11388888888888889</v>
      </c>
      <c r="H331" t="str">
        <f>VLOOKUP(A331,'2.09.2021'!A$3:'2.09.2021'!I$202,8,)</f>
        <v>LATIN URBAN</v>
      </c>
      <c r="I331" t="str">
        <f>VLOOKUP(A331,'2.09.2021'!A$3:'2.09.2021'!I$202,9,)</f>
        <v>Australia</v>
      </c>
      <c r="J331" t="str">
        <f t="shared" si="14"/>
        <v>Da</v>
      </c>
    </row>
    <row r="332" spans="1:10" x14ac:dyDescent="0.2">
      <c r="A332" t="s">
        <v>184</v>
      </c>
      <c r="B332" t="s">
        <v>185</v>
      </c>
      <c r="C332">
        <v>6234893</v>
      </c>
      <c r="D332" s="5">
        <f t="shared" si="15"/>
        <v>31174.465</v>
      </c>
      <c r="E332" s="2">
        <f>VLOOKUP(A332,'2.09.2021'!A$3:'2.09.2021'!I$202,5,)</f>
        <v>44321</v>
      </c>
      <c r="F332" s="2">
        <v>44448</v>
      </c>
      <c r="G332" s="23">
        <f>VLOOKUP(A332,'2.09.2021'!A$3:'2.09.2021'!I$202,7,)</f>
        <v>0.16805555555555554</v>
      </c>
      <c r="H332" t="str">
        <f>VLOOKUP(A332,'2.09.2021'!A$3:'2.09.2021'!I$202,8,)</f>
        <v>HIP-HOP/RAP</v>
      </c>
      <c r="I332" t="str">
        <f>VLOOKUP(A332,'2.09.2021'!A$3:'2.09.2021'!I$202,9,)</f>
        <v>SUA</v>
      </c>
      <c r="J332" t="str">
        <f t="shared" si="14"/>
        <v>Nu</v>
      </c>
    </row>
    <row r="333" spans="1:10" x14ac:dyDescent="0.2">
      <c r="A333" t="s">
        <v>218</v>
      </c>
      <c r="B333" t="s">
        <v>219</v>
      </c>
      <c r="C333">
        <v>6216701</v>
      </c>
      <c r="D333" s="5">
        <f t="shared" si="15"/>
        <v>31083.505000000001</v>
      </c>
      <c r="E333" s="2">
        <f>VLOOKUP(A333,'2.09.2021'!A$3:'2.09.2021'!I$202,5,)</f>
        <v>44320</v>
      </c>
      <c r="F333" s="2">
        <v>44448</v>
      </c>
      <c r="G333" s="23">
        <f>VLOOKUP(A333,'2.09.2021'!A$3:'2.09.2021'!I$202,7,)</f>
        <v>0.18958333333333333</v>
      </c>
      <c r="H333" t="str">
        <f>VLOOKUP(A333,'2.09.2021'!A$3:'2.09.2021'!I$202,8,)</f>
        <v>POP</v>
      </c>
      <c r="I333" t="str">
        <f>VLOOKUP(A333,'2.09.2021'!A$3:'2.09.2021'!I$202,9,)</f>
        <v>Puerto Rico</v>
      </c>
      <c r="J333" t="str">
        <f t="shared" si="14"/>
        <v>Nu</v>
      </c>
    </row>
    <row r="334" spans="1:10" x14ac:dyDescent="0.2">
      <c r="A334" t="s">
        <v>221</v>
      </c>
      <c r="B334" t="s">
        <v>222</v>
      </c>
      <c r="C334">
        <v>6178980</v>
      </c>
      <c r="D334" s="5">
        <f t="shared" si="15"/>
        <v>30894.899999999998</v>
      </c>
      <c r="E334" s="2">
        <f>VLOOKUP(A334,'2.09.2021'!A$3:'2.09.2021'!I$202,5,)</f>
        <v>44286</v>
      </c>
      <c r="F334" s="2">
        <v>44448</v>
      </c>
      <c r="G334" s="23">
        <f>VLOOKUP(A334,'2.09.2021'!A$3:'2.09.2021'!I$202,7,)</f>
        <v>8.8888888888888892E-2</v>
      </c>
      <c r="H334" t="str">
        <f>VLOOKUP(A334,'2.09.2021'!A$3:'2.09.2021'!I$202,8,)</f>
        <v>HIP-HOP/RAP</v>
      </c>
      <c r="I334" t="str">
        <f>VLOOKUP(A334,'2.09.2021'!A$3:'2.09.2021'!I$202,9,)</f>
        <v>Brazilia</v>
      </c>
      <c r="J334" t="str">
        <f t="shared" si="14"/>
        <v>Nu</v>
      </c>
    </row>
    <row r="335" spans="1:10" x14ac:dyDescent="0.2">
      <c r="A335" t="s">
        <v>361</v>
      </c>
      <c r="B335" t="s">
        <v>2</v>
      </c>
      <c r="C335">
        <v>6151453</v>
      </c>
      <c r="D335" s="5">
        <f t="shared" si="15"/>
        <v>30757.265000000003</v>
      </c>
      <c r="E335" s="2">
        <v>44328</v>
      </c>
      <c r="F335" s="2">
        <v>44448</v>
      </c>
      <c r="G335" s="23">
        <v>0.11875000000000001</v>
      </c>
      <c r="H335" t="s">
        <v>423</v>
      </c>
      <c r="I335" t="s">
        <v>468</v>
      </c>
      <c r="J335" t="str">
        <f t="shared" si="14"/>
        <v>Nu</v>
      </c>
    </row>
    <row r="336" spans="1:10" x14ac:dyDescent="0.2">
      <c r="A336" t="s">
        <v>220</v>
      </c>
      <c r="B336" t="s">
        <v>215</v>
      </c>
      <c r="C336">
        <v>6135526</v>
      </c>
      <c r="D336" s="5">
        <f t="shared" si="15"/>
        <v>30677.629999999997</v>
      </c>
      <c r="E336" s="2">
        <f>VLOOKUP(A336,'2.09.2021'!A$3:'2.09.2021'!I$202,5,)</f>
        <v>44412</v>
      </c>
      <c r="F336" s="2">
        <v>44448</v>
      </c>
      <c r="G336" s="23">
        <f>VLOOKUP(A336,'2.09.2021'!A$3:'2.09.2021'!I$202,7,)</f>
        <v>0.1673611111111111</v>
      </c>
      <c r="H336" t="str">
        <f>VLOOKUP(A336,'2.09.2021'!A$3:'2.09.2021'!I$202,8,)</f>
        <v>POP</v>
      </c>
      <c r="I336" t="str">
        <f>VLOOKUP(A336,'2.09.2021'!A$3:'2.09.2021'!I$202,9,)</f>
        <v>Puerto Rico</v>
      </c>
      <c r="J336" t="str">
        <f t="shared" si="14"/>
        <v>Nu</v>
      </c>
    </row>
    <row r="337" spans="1:10" x14ac:dyDescent="0.2">
      <c r="A337" t="s">
        <v>282</v>
      </c>
      <c r="B337" t="s">
        <v>283</v>
      </c>
      <c r="C337">
        <v>6115461</v>
      </c>
      <c r="D337" s="5">
        <f t="shared" si="15"/>
        <v>30577.305</v>
      </c>
      <c r="E337" s="2">
        <f>VLOOKUP(A337,'30.09.2021'!A$3:'30.09.2021'!I$202,5,)</f>
        <v>44478</v>
      </c>
      <c r="F337" s="2">
        <v>44448</v>
      </c>
      <c r="G337" s="23">
        <f>VLOOKUP(A337,'30.09.2021'!A$3:'30.09.2021'!I$202,7,)</f>
        <v>0.16388888888888889</v>
      </c>
      <c r="H337" t="str">
        <f>VLOOKUP(A337,'30.09.2021'!A$3:'30.09.2021'!I$202,8,)</f>
        <v>POP</v>
      </c>
      <c r="I337" t="str">
        <f>VLOOKUP(A337,'30.09.2021'!A$3:'30.09.2021'!I$202,9,)</f>
        <v>SUA</v>
      </c>
      <c r="J337" t="str">
        <f t="shared" si="14"/>
        <v>Nu</v>
      </c>
    </row>
    <row r="338" spans="1:10" x14ac:dyDescent="0.2">
      <c r="A338" t="s">
        <v>187</v>
      </c>
      <c r="B338" t="s">
        <v>188</v>
      </c>
      <c r="C338">
        <v>6093064</v>
      </c>
      <c r="D338" s="5">
        <f t="shared" si="15"/>
        <v>30465.32</v>
      </c>
      <c r="E338" s="2">
        <f>VLOOKUP(A338,'2.09.2021'!A$3:'2.09.2021'!I$202,5,)</f>
        <v>44362</v>
      </c>
      <c r="F338" s="2">
        <v>44448</v>
      </c>
      <c r="G338" s="23">
        <f>VLOOKUP(A338,'2.09.2021'!A$3:'2.09.2021'!I$202,7,)</f>
        <v>0.14027777777777778</v>
      </c>
      <c r="H338" t="str">
        <f>VLOOKUP(A338,'2.09.2021'!A$3:'2.09.2021'!I$202,8,)</f>
        <v>HIP-HOP/RAP</v>
      </c>
      <c r="I338" t="str">
        <f>VLOOKUP(A338,'2.09.2021'!A$3:'2.09.2021'!I$202,9,)</f>
        <v>Marea Britanie</v>
      </c>
      <c r="J338" t="str">
        <f t="shared" si="14"/>
        <v>Nu</v>
      </c>
    </row>
    <row r="339" spans="1:10" x14ac:dyDescent="0.2">
      <c r="A339" t="s">
        <v>193</v>
      </c>
      <c r="B339" t="s">
        <v>86</v>
      </c>
      <c r="C339">
        <v>6075319</v>
      </c>
      <c r="D339" s="5">
        <f t="shared" si="15"/>
        <v>30376.595000000001</v>
      </c>
      <c r="E339" s="2">
        <f>VLOOKUP(A339,'2.09.2021'!A$3:'2.09.2021'!I$202,5,)</f>
        <v>44230</v>
      </c>
      <c r="F339" s="2">
        <v>44448</v>
      </c>
      <c r="G339" s="23">
        <f>VLOOKUP(A339,'2.09.2021'!A$3:'2.09.2021'!I$202,7,)</f>
        <v>0.12083333333333333</v>
      </c>
      <c r="H339" t="str">
        <f>VLOOKUP(A339,'2.09.2021'!A$3:'2.09.2021'!I$202,8,)</f>
        <v>HIP-HOP/RAP</v>
      </c>
      <c r="I339" t="str">
        <f>VLOOKUP(A339,'2.09.2021'!A$3:'2.09.2021'!I$202,9,)</f>
        <v>SUA</v>
      </c>
      <c r="J339" t="str">
        <f t="shared" si="14"/>
        <v>Nu</v>
      </c>
    </row>
    <row r="340" spans="1:10" x14ac:dyDescent="0.2">
      <c r="A340" t="s">
        <v>191</v>
      </c>
      <c r="B340" t="s">
        <v>192</v>
      </c>
      <c r="C340">
        <v>6044089</v>
      </c>
      <c r="D340" s="5">
        <f t="shared" si="15"/>
        <v>30220.445</v>
      </c>
      <c r="E340" s="2">
        <f>VLOOKUP(A340,'2.09.2021'!A$3:'2.09.2021'!I$202,5,)</f>
        <v>44413</v>
      </c>
      <c r="F340" s="2">
        <v>44448</v>
      </c>
      <c r="G340" s="23">
        <f>VLOOKUP(A340,'2.09.2021'!A$3:'2.09.2021'!I$202,7,)</f>
        <v>0.12013888888888889</v>
      </c>
      <c r="H340" t="str">
        <f>VLOOKUP(A340,'2.09.2021'!A$3:'2.09.2021'!I$202,8,)</f>
        <v>LATIN</v>
      </c>
      <c r="I340" t="str">
        <f>VLOOKUP(A340,'2.09.2021'!A$3:'2.09.2021'!I$202,9,)</f>
        <v>Canada</v>
      </c>
      <c r="J340" t="str">
        <f t="shared" si="14"/>
        <v>Nu</v>
      </c>
    </row>
    <row r="341" spans="1:10" x14ac:dyDescent="0.2">
      <c r="A341" t="s">
        <v>195</v>
      </c>
      <c r="B341" t="s">
        <v>196</v>
      </c>
      <c r="C341">
        <v>5958054</v>
      </c>
      <c r="D341" s="5">
        <f t="shared" si="15"/>
        <v>29790.27</v>
      </c>
      <c r="E341" s="2">
        <f>VLOOKUP(A341,'30.09.2021'!A$3:'30.09.2021'!I$202,5,)</f>
        <v>44298</v>
      </c>
      <c r="F341" s="2">
        <v>44448</v>
      </c>
      <c r="G341" s="23">
        <f>VLOOKUP(A341,'30.09.2021'!A$3:'30.09.2021'!I$202,7,)</f>
        <v>5.7638888888888885E-2</v>
      </c>
      <c r="H341" t="str">
        <f>VLOOKUP(A341,'30.09.2021'!A$3:'30.09.2021'!I$202,8,)</f>
        <v>LATIN URBAN</v>
      </c>
      <c r="I341" t="str">
        <f>VLOOKUP(A341,'30.09.2021'!A$3:'30.09.2021'!I$202,9,)</f>
        <v>Puerto Rico</v>
      </c>
      <c r="J341" t="str">
        <f t="shared" si="14"/>
        <v>Nu</v>
      </c>
    </row>
    <row r="342" spans="1:10" x14ac:dyDescent="0.2">
      <c r="A342" t="s">
        <v>256</v>
      </c>
      <c r="B342" t="s">
        <v>257</v>
      </c>
      <c r="C342">
        <v>5957231</v>
      </c>
      <c r="D342" s="5">
        <f t="shared" si="15"/>
        <v>29786.154999999999</v>
      </c>
      <c r="E342" s="2">
        <f>VLOOKUP(A342,'2.09.2021'!A$3:'2.09.2021'!I$202,5,)</f>
        <v>44307</v>
      </c>
      <c r="F342" s="2">
        <v>44448</v>
      </c>
      <c r="G342" s="23">
        <f>VLOOKUP(A342,'2.09.2021'!A$3:'2.09.2021'!I$202,7,)</f>
        <v>0.14583333333333334</v>
      </c>
      <c r="H342" t="str">
        <f>VLOOKUP(A342,'2.09.2021'!A$3:'2.09.2021'!I$202,8,)</f>
        <v>R&amp;B/SOUL</v>
      </c>
      <c r="I342" t="str">
        <f>VLOOKUP(A342,'2.09.2021'!A$3:'2.09.2021'!I$202,9,)</f>
        <v>Brazilia</v>
      </c>
      <c r="J342" t="str">
        <f t="shared" si="14"/>
        <v>Nu</v>
      </c>
    </row>
    <row r="343" spans="1:10" x14ac:dyDescent="0.2">
      <c r="A343" t="s">
        <v>236</v>
      </c>
      <c r="B343" t="s">
        <v>17</v>
      </c>
      <c r="C343">
        <v>5945539</v>
      </c>
      <c r="D343" s="5">
        <f t="shared" si="15"/>
        <v>29727.695</v>
      </c>
      <c r="E343" s="2">
        <f>VLOOKUP(A343,'2.09.2021'!A$3:'2.09.2021'!I$202,5,)</f>
        <v>44347</v>
      </c>
      <c r="F343" s="2">
        <v>44448</v>
      </c>
      <c r="G343" s="23">
        <f>VLOOKUP(A343,'2.09.2021'!A$3:'2.09.2021'!I$202,7,)</f>
        <v>0.12013888888888889</v>
      </c>
      <c r="H343" t="str">
        <f>VLOOKUP(A343,'2.09.2021'!A$3:'2.09.2021'!I$202,8,)</f>
        <v>HIP-HOP/RAP</v>
      </c>
      <c r="I343" t="str">
        <f>VLOOKUP(A343,'2.09.2021'!A$3:'2.09.2021'!I$202,9,)</f>
        <v>SUA</v>
      </c>
      <c r="J343" t="str">
        <f t="shared" si="14"/>
        <v>Nu</v>
      </c>
    </row>
    <row r="344" spans="1:10" x14ac:dyDescent="0.2">
      <c r="A344" t="s">
        <v>198</v>
      </c>
      <c r="B344" t="s">
        <v>138</v>
      </c>
      <c r="C344">
        <v>5921234</v>
      </c>
      <c r="D344" s="5">
        <f t="shared" si="15"/>
        <v>29606.170000000002</v>
      </c>
      <c r="E344" s="2">
        <f>VLOOKUP(A344,'2.09.2021'!A$3:'2.09.2021'!I$202,5,)</f>
        <v>44295</v>
      </c>
      <c r="F344" s="2">
        <v>44448</v>
      </c>
      <c r="G344" s="23">
        <f>VLOOKUP(A344,'2.09.2021'!A$3:'2.09.2021'!I$202,7,)</f>
        <v>0.37361111111111112</v>
      </c>
      <c r="H344" t="str">
        <f>VLOOKUP(A344,'2.09.2021'!A$3:'2.09.2021'!I$202,8,)</f>
        <v>K-POP</v>
      </c>
      <c r="I344" t="str">
        <f>VLOOKUP(A344,'2.09.2021'!A$3:'2.09.2021'!I$202,9,)</f>
        <v>Canada</v>
      </c>
      <c r="J344" t="str">
        <f t="shared" si="14"/>
        <v>Nu</v>
      </c>
    </row>
    <row r="345" spans="1:10" x14ac:dyDescent="0.2">
      <c r="A345" t="s">
        <v>248</v>
      </c>
      <c r="B345" t="s">
        <v>211</v>
      </c>
      <c r="C345">
        <v>5891029</v>
      </c>
      <c r="D345" s="5">
        <f t="shared" si="15"/>
        <v>29455.145000000004</v>
      </c>
      <c r="E345" s="2">
        <f>VLOOKUP(A345,'2.09.2021'!A$3:'2.09.2021'!I$202,5,)</f>
        <v>44282</v>
      </c>
      <c r="F345" s="2">
        <v>44448</v>
      </c>
      <c r="G345" s="23">
        <f>VLOOKUP(A345,'2.09.2021'!A$3:'2.09.2021'!I$202,7,)</f>
        <v>9.7916666666666666E-2</v>
      </c>
      <c r="H345" t="str">
        <f>VLOOKUP(A345,'2.09.2021'!A$3:'2.09.2021'!I$202,8,)</f>
        <v>R&amp;B/SOUL</v>
      </c>
      <c r="I345" t="str">
        <f>VLOOKUP(A345,'2.09.2021'!A$3:'2.09.2021'!I$202,9,)</f>
        <v>SUA</v>
      </c>
      <c r="J345" t="str">
        <f t="shared" si="14"/>
        <v>Nu</v>
      </c>
    </row>
    <row r="346" spans="1:10" x14ac:dyDescent="0.2">
      <c r="A346" t="s">
        <v>449</v>
      </c>
      <c r="B346" t="s">
        <v>76</v>
      </c>
      <c r="C346">
        <v>5888983</v>
      </c>
      <c r="D346" s="5">
        <f t="shared" si="15"/>
        <v>29444.915000000001</v>
      </c>
      <c r="E346" s="2">
        <f>VLOOKUP(A346,'2.09.2021'!A$3:'2.09.2021'!I$202,5,)</f>
        <v>44391</v>
      </c>
      <c r="F346" s="2">
        <v>44448</v>
      </c>
      <c r="G346" s="23">
        <f>VLOOKUP(A346,'2.09.2021'!A$3:'2.09.2021'!I$202,7,)</f>
        <v>0.10208333333333335</v>
      </c>
      <c r="H346" t="str">
        <f>VLOOKUP(A346,'2.09.2021'!A$3:'2.09.2021'!I$202,8,)</f>
        <v>LATIN URBAN</v>
      </c>
      <c r="I346" t="str">
        <f>VLOOKUP(A346,'2.09.2021'!A$3:'2.09.2021'!I$202,9,)</f>
        <v>Marea Britanie</v>
      </c>
      <c r="J346" t="str">
        <f t="shared" si="14"/>
        <v>Da</v>
      </c>
    </row>
    <row r="347" spans="1:10" x14ac:dyDescent="0.2">
      <c r="A347" t="s">
        <v>448</v>
      </c>
      <c r="B347" t="s">
        <v>207</v>
      </c>
      <c r="C347">
        <v>5865185</v>
      </c>
      <c r="D347" s="5">
        <f t="shared" si="15"/>
        <v>29325.925000000003</v>
      </c>
      <c r="E347" s="2">
        <f>VLOOKUP(A347,'2.09.2021'!A$3:'2.09.2021'!I$202,5,)</f>
        <v>44309</v>
      </c>
      <c r="F347" s="2">
        <v>44448</v>
      </c>
      <c r="G347" s="23">
        <f>VLOOKUP(A347,'2.09.2021'!A$3:'2.09.2021'!I$202,7,)</f>
        <v>0.13333333333333333</v>
      </c>
      <c r="H347" t="str">
        <f>VLOOKUP(A347,'2.09.2021'!A$3:'2.09.2021'!I$202,8,)</f>
        <v>LATIN</v>
      </c>
      <c r="I347" t="str">
        <f>VLOOKUP(A347,'2.09.2021'!A$3:'2.09.2021'!I$202,9,)</f>
        <v>SUA</v>
      </c>
      <c r="J347" t="str">
        <f t="shared" si="14"/>
        <v>Da</v>
      </c>
    </row>
    <row r="348" spans="1:10" x14ac:dyDescent="0.2">
      <c r="A348" t="s">
        <v>450</v>
      </c>
      <c r="B348" t="s">
        <v>55</v>
      </c>
      <c r="C348">
        <v>5864926</v>
      </c>
      <c r="D348" s="5">
        <f t="shared" si="15"/>
        <v>29324.63</v>
      </c>
      <c r="E348" s="2">
        <f>VLOOKUP(A348,'2.09.2021'!A$3:'2.09.2021'!I$202,5,)</f>
        <v>44435</v>
      </c>
      <c r="F348" s="2">
        <v>44448</v>
      </c>
      <c r="G348" s="23">
        <f>VLOOKUP(A348,'2.09.2021'!A$3:'2.09.2021'!I$202,7,)</f>
        <v>0.11388888888888889</v>
      </c>
      <c r="H348" t="str">
        <f>VLOOKUP(A348,'2.09.2021'!A$3:'2.09.2021'!I$202,8,)</f>
        <v>K-POP</v>
      </c>
      <c r="I348" t="str">
        <f>VLOOKUP(A348,'2.09.2021'!A$3:'2.09.2021'!I$202,9,)</f>
        <v>Korea de Sud</v>
      </c>
      <c r="J348" t="str">
        <f t="shared" si="14"/>
        <v>Da</v>
      </c>
    </row>
    <row r="349" spans="1:10" x14ac:dyDescent="0.2">
      <c r="A349" t="s">
        <v>223</v>
      </c>
      <c r="B349" t="s">
        <v>88</v>
      </c>
      <c r="C349">
        <v>5857501</v>
      </c>
      <c r="D349" s="5">
        <f t="shared" si="15"/>
        <v>29287.505000000001</v>
      </c>
      <c r="E349" s="2">
        <f>VLOOKUP(A349,'2.09.2021'!A$3:'2.09.2021'!I$202,5,)</f>
        <v>44351</v>
      </c>
      <c r="F349" s="2">
        <v>44448</v>
      </c>
      <c r="G349" s="23">
        <f>VLOOKUP(A349,'2.09.2021'!A$3:'2.09.2021'!I$202,7,)</f>
        <v>0.15347222222222223</v>
      </c>
      <c r="H349" t="str">
        <f>VLOOKUP(A349,'2.09.2021'!A$3:'2.09.2021'!I$202,8,)</f>
        <v>POP</v>
      </c>
      <c r="I349" t="str">
        <f>VLOOKUP(A349,'2.09.2021'!A$3:'2.09.2021'!I$202,9,)</f>
        <v>SUA</v>
      </c>
      <c r="J349" t="str">
        <f t="shared" si="14"/>
        <v>Nu</v>
      </c>
    </row>
    <row r="350" spans="1:10" x14ac:dyDescent="0.2">
      <c r="A350" t="s">
        <v>212</v>
      </c>
      <c r="B350" t="s">
        <v>213</v>
      </c>
      <c r="C350">
        <v>5850005</v>
      </c>
      <c r="D350" s="5">
        <f t="shared" si="15"/>
        <v>29250.025000000001</v>
      </c>
      <c r="E350" s="2">
        <f>VLOOKUP(A350,'2.09.2021'!A$3:'2.09.2021'!I$202,5,)</f>
        <v>44337</v>
      </c>
      <c r="F350" s="2">
        <v>44448</v>
      </c>
      <c r="G350" s="23">
        <f>VLOOKUP(A350,'2.09.2021'!A$3:'2.09.2021'!I$202,7,)</f>
        <v>0.22291666666666665</v>
      </c>
      <c r="H350" t="str">
        <f>VLOOKUP(A350,'2.09.2021'!A$3:'2.09.2021'!I$202,8,)</f>
        <v>LATIN URBAN</v>
      </c>
      <c r="I350" t="str">
        <f>VLOOKUP(A350,'2.09.2021'!A$3:'2.09.2021'!I$202,9,)</f>
        <v>Suedia</v>
      </c>
      <c r="J350" t="str">
        <f t="shared" si="14"/>
        <v>Nu</v>
      </c>
    </row>
    <row r="351" spans="1:10" x14ac:dyDescent="0.2">
      <c r="A351" t="s">
        <v>251</v>
      </c>
      <c r="B351" t="s">
        <v>229</v>
      </c>
      <c r="C351">
        <v>5848651</v>
      </c>
      <c r="D351" s="5">
        <f t="shared" si="15"/>
        <v>29243.254999999997</v>
      </c>
      <c r="E351" s="2">
        <f>VLOOKUP(A351,'2.09.2021'!A$3:'2.09.2021'!I$202,5,)</f>
        <v>44413</v>
      </c>
      <c r="F351" s="2">
        <v>44448</v>
      </c>
      <c r="G351" s="23">
        <f>VLOOKUP(A351,'2.09.2021'!A$3:'2.09.2021'!I$202,7,)</f>
        <v>0.12152777777777778</v>
      </c>
      <c r="H351" t="str">
        <f>VLOOKUP(A351,'2.09.2021'!A$3:'2.09.2021'!I$202,8,)</f>
        <v>HIP-HOP/RAP</v>
      </c>
      <c r="I351" t="str">
        <f>VLOOKUP(A351,'2.09.2021'!A$3:'2.09.2021'!I$202,9,)</f>
        <v>SUA</v>
      </c>
      <c r="J351" t="str">
        <f t="shared" si="14"/>
        <v>Nu</v>
      </c>
    </row>
    <row r="352" spans="1:10" x14ac:dyDescent="0.2">
      <c r="A352" t="s">
        <v>201</v>
      </c>
      <c r="B352" t="s">
        <v>202</v>
      </c>
      <c r="C352">
        <v>5835230</v>
      </c>
      <c r="D352" s="5">
        <f t="shared" si="15"/>
        <v>29176.149999999998</v>
      </c>
      <c r="E352" s="2">
        <f>VLOOKUP(A352,'30.09.2021'!A$3:'30.09.2021'!I$202,5,)</f>
        <v>44366</v>
      </c>
      <c r="F352" s="2">
        <v>44448</v>
      </c>
      <c r="G352" s="23">
        <f>VLOOKUP(A352,'30.09.2021'!A$3:'30.09.2021'!I$202,7,)</f>
        <v>0.11805555555555557</v>
      </c>
      <c r="H352" t="str">
        <f>VLOOKUP(A352,'30.09.2021'!A$3:'30.09.2021'!I$202,8,)</f>
        <v>POP</v>
      </c>
      <c r="I352" t="str">
        <f>VLOOKUP(A352,'30.09.2021'!A$3:'30.09.2021'!I$202,9,)</f>
        <v>SUA</v>
      </c>
      <c r="J352" t="str">
        <f t="shared" si="14"/>
        <v>Nu</v>
      </c>
    </row>
    <row r="353" spans="1:10" x14ac:dyDescent="0.2">
      <c r="A353" t="s">
        <v>249</v>
      </c>
      <c r="B353" t="s">
        <v>250</v>
      </c>
      <c r="C353">
        <v>5834527</v>
      </c>
      <c r="D353" s="5">
        <f t="shared" si="15"/>
        <v>29172.635000000002</v>
      </c>
      <c r="E353" s="2">
        <f>VLOOKUP(A353,'2.09.2021'!A$3:'2.09.2021'!I$202,5,)</f>
        <v>44340</v>
      </c>
      <c r="F353" s="2">
        <v>44448</v>
      </c>
      <c r="G353" s="23">
        <f>VLOOKUP(A353,'2.09.2021'!A$3:'2.09.2021'!I$202,7,)</f>
        <v>0.23541666666666669</v>
      </c>
      <c r="H353" t="str">
        <f>VLOOKUP(A353,'2.09.2021'!A$3:'2.09.2021'!I$202,8,)</f>
        <v>LATIN URBAN</v>
      </c>
      <c r="I353" t="str">
        <f>VLOOKUP(A353,'2.09.2021'!A$3:'2.09.2021'!I$202,9,)</f>
        <v>Suedia</v>
      </c>
      <c r="J353" t="str">
        <f t="shared" si="14"/>
        <v>Da</v>
      </c>
    </row>
    <row r="354" spans="1:10" x14ac:dyDescent="0.2">
      <c r="A354" t="s">
        <v>259</v>
      </c>
      <c r="B354" t="s">
        <v>260</v>
      </c>
      <c r="C354">
        <v>5825908</v>
      </c>
      <c r="D354" s="5">
        <f t="shared" si="15"/>
        <v>29129.54</v>
      </c>
      <c r="E354" s="2">
        <f>VLOOKUP(A354,'30.09.2021'!A$3:'30.09.2021'!I$202,5,)</f>
        <v>44397</v>
      </c>
      <c r="F354" s="2">
        <v>44448</v>
      </c>
      <c r="G354" s="23">
        <f>VLOOKUP(A354,'30.09.2021'!A$3:'30.09.2021'!I$202,7,)</f>
        <v>0.20555555555555557</v>
      </c>
      <c r="H354" t="str">
        <f>VLOOKUP(A354,'30.09.2021'!A$3:'30.09.2021'!I$202,8,)</f>
        <v>POP</v>
      </c>
      <c r="I354" t="str">
        <f>VLOOKUP(A354,'30.09.2021'!A$3:'30.09.2021'!I$202,9,)</f>
        <v>SUA</v>
      </c>
      <c r="J354" t="str">
        <f t="shared" si="14"/>
        <v>Da</v>
      </c>
    </row>
    <row r="355" spans="1:10" x14ac:dyDescent="0.2">
      <c r="A355" t="s">
        <v>167</v>
      </c>
      <c r="B355" t="s">
        <v>4</v>
      </c>
      <c r="C355">
        <v>5804106</v>
      </c>
      <c r="D355" s="5">
        <f t="shared" si="15"/>
        <v>29020.53</v>
      </c>
      <c r="E355" s="2">
        <f>VLOOKUP(A355,'2.09.2021'!A$3:'2.09.2021'!I$202,5,)</f>
        <v>44437</v>
      </c>
      <c r="F355" s="2">
        <v>44448</v>
      </c>
      <c r="G355" s="23">
        <f>VLOOKUP(A355,'2.09.2021'!A$3:'2.09.2021'!I$202,7,)</f>
        <v>0.20625000000000002</v>
      </c>
      <c r="H355" t="str">
        <f>VLOOKUP(A355,'2.09.2021'!A$3:'2.09.2021'!I$202,8,)</f>
        <v>RHYTHM &amp; BLUES</v>
      </c>
      <c r="I355" t="str">
        <f>VLOOKUP(A355,'2.09.2021'!A$3:'2.09.2021'!I$202,9,)</f>
        <v>Marea Britanie</v>
      </c>
      <c r="J355" t="str">
        <f t="shared" si="14"/>
        <v>Nu</v>
      </c>
    </row>
    <row r="356" spans="1:10" x14ac:dyDescent="0.2">
      <c r="A356" t="s">
        <v>234</v>
      </c>
      <c r="B356" t="s">
        <v>235</v>
      </c>
      <c r="C356">
        <v>5801692</v>
      </c>
      <c r="D356" s="5">
        <f t="shared" si="15"/>
        <v>29008.46</v>
      </c>
      <c r="E356" s="2">
        <f>VLOOKUP(A356,'2.09.2021'!A$3:'2.09.2021'!I$202,5,)</f>
        <v>44285</v>
      </c>
      <c r="F356" s="2">
        <v>44448</v>
      </c>
      <c r="G356" s="23">
        <f>VLOOKUP(A356,'2.09.2021'!A$3:'2.09.2021'!I$202,7,)</f>
        <v>0.12708333333333333</v>
      </c>
      <c r="H356" t="str">
        <f>VLOOKUP(A356,'2.09.2021'!A$3:'2.09.2021'!I$202,8,)</f>
        <v>HIP-HOP/RAP</v>
      </c>
      <c r="I356" t="str">
        <f>VLOOKUP(A356,'2.09.2021'!A$3:'2.09.2021'!I$202,9,)</f>
        <v>Marea Britanie</v>
      </c>
      <c r="J356" t="str">
        <f t="shared" si="14"/>
        <v>Nu</v>
      </c>
    </row>
    <row r="357" spans="1:10" x14ac:dyDescent="0.2">
      <c r="A357" t="s">
        <v>199</v>
      </c>
      <c r="B357" t="s">
        <v>200</v>
      </c>
      <c r="C357">
        <v>5784976</v>
      </c>
      <c r="D357" s="5">
        <f t="shared" si="15"/>
        <v>28924.879999999997</v>
      </c>
      <c r="E357" s="2">
        <f>VLOOKUP(A357,'30.09.2021'!A$3:'30.09.2021'!I$202,5,)</f>
        <v>36603</v>
      </c>
      <c r="F357" s="2">
        <v>44448</v>
      </c>
      <c r="G357" s="23">
        <f>VLOOKUP(A357,'30.09.2021'!A$3:'30.09.2021'!I$202,7,)</f>
        <v>0.19722222222222222</v>
      </c>
      <c r="H357" t="str">
        <f>VLOOKUP(A357,'30.09.2021'!A$3:'30.09.2021'!I$202,8,)</f>
        <v>HIP-HOP/RAP</v>
      </c>
      <c r="I357" t="str">
        <f>VLOOKUP(A357,'30.09.2021'!A$3:'30.09.2021'!I$202,9,)</f>
        <v>SUA</v>
      </c>
      <c r="J357" t="str">
        <f t="shared" si="14"/>
        <v>Nu</v>
      </c>
    </row>
    <row r="358" spans="1:10" x14ac:dyDescent="0.2">
      <c r="A358" t="s">
        <v>210</v>
      </c>
      <c r="B358" t="s">
        <v>211</v>
      </c>
      <c r="C358">
        <v>5783797</v>
      </c>
      <c r="D358" s="5">
        <f t="shared" si="15"/>
        <v>28918.984999999997</v>
      </c>
      <c r="E358" s="2">
        <f>VLOOKUP(A358,'2.09.2021'!A$3:'2.09.2021'!I$202,5,)</f>
        <v>44456</v>
      </c>
      <c r="F358" s="2">
        <v>44448</v>
      </c>
      <c r="G358" s="23">
        <f>VLOOKUP(A358,'2.09.2021'!A$3:'2.09.2021'!I$202,7,)</f>
        <v>0.12361111111111112</v>
      </c>
      <c r="H358" t="str">
        <f>VLOOKUP(A358,'2.09.2021'!A$3:'2.09.2021'!I$202,8,)</f>
        <v>ROCK</v>
      </c>
      <c r="I358" t="str">
        <f>VLOOKUP(A358,'2.09.2021'!A$3:'2.09.2021'!I$202,9,)</f>
        <v>SUA</v>
      </c>
      <c r="J358" t="str">
        <f t="shared" si="14"/>
        <v>Nu</v>
      </c>
    </row>
    <row r="359" spans="1:10" x14ac:dyDescent="0.2">
      <c r="A359" t="s">
        <v>214</v>
      </c>
      <c r="B359" t="s">
        <v>215</v>
      </c>
      <c r="C359">
        <v>5775348</v>
      </c>
      <c r="D359" s="5">
        <f t="shared" si="15"/>
        <v>28876.739999999998</v>
      </c>
      <c r="E359" s="2">
        <f>VLOOKUP(A359,'30.09.2021'!A$3:'30.09.2021'!I$202,5,)</f>
        <v>44297</v>
      </c>
      <c r="F359" s="2">
        <v>44448</v>
      </c>
      <c r="G359" s="23">
        <f>VLOOKUP(A359,'30.09.2021'!A$3:'30.09.2021'!I$202,7,)</f>
        <v>0.10555555555555556</v>
      </c>
      <c r="H359" t="str">
        <f>VLOOKUP(A359,'30.09.2021'!A$3:'30.09.2021'!I$202,8,)</f>
        <v>LATIN URBAN</v>
      </c>
      <c r="I359" t="str">
        <f>VLOOKUP(A359,'30.09.2021'!A$3:'30.09.2021'!I$202,9,)</f>
        <v>Panama</v>
      </c>
      <c r="J359" t="str">
        <f t="shared" si="14"/>
        <v>Nu</v>
      </c>
    </row>
    <row r="360" spans="1:10" x14ac:dyDescent="0.2">
      <c r="A360" t="s">
        <v>174</v>
      </c>
      <c r="B360" t="s">
        <v>175</v>
      </c>
      <c r="C360">
        <v>5770573</v>
      </c>
      <c r="D360" s="5">
        <f t="shared" si="15"/>
        <v>28852.865000000002</v>
      </c>
      <c r="E360" s="2">
        <f>VLOOKUP(A360,'30.09.2021'!A$3:'30.09.2021'!I$202,5,)</f>
        <v>44440</v>
      </c>
      <c r="F360" s="2">
        <v>44448</v>
      </c>
      <c r="G360" s="23">
        <f>VLOOKUP(A360,'30.09.2021'!A$3:'30.09.2021'!I$202,7,)</f>
        <v>0.14097222222222222</v>
      </c>
      <c r="H360" t="str">
        <f>VLOOKUP(A360,'30.09.2021'!A$3:'30.09.2021'!I$202,8,)</f>
        <v>HIP-HOP/RAP</v>
      </c>
      <c r="I360" t="str">
        <f>VLOOKUP(A360,'30.09.2021'!A$3:'30.09.2021'!I$202,9,)</f>
        <v>SUA</v>
      </c>
      <c r="J360" t="str">
        <f t="shared" si="14"/>
        <v>Nu</v>
      </c>
    </row>
    <row r="361" spans="1:10" x14ac:dyDescent="0.2">
      <c r="A361" t="s">
        <v>203</v>
      </c>
      <c r="B361" t="s">
        <v>204</v>
      </c>
      <c r="C361">
        <v>5767379</v>
      </c>
      <c r="D361" s="5">
        <f t="shared" si="15"/>
        <v>28836.895</v>
      </c>
      <c r="E361" s="2">
        <f>VLOOKUP(A361,'2.09.2021'!A$3:'2.09.2021'!I$202,5,)</f>
        <v>44254</v>
      </c>
      <c r="F361" s="2">
        <v>44448</v>
      </c>
      <c r="G361" s="23">
        <f>VLOOKUP(A361,'2.09.2021'!A$3:'2.09.2021'!I$202,7,)</f>
        <v>0.15277777777777776</v>
      </c>
      <c r="H361" t="str">
        <f>VLOOKUP(A361,'2.09.2021'!A$3:'2.09.2021'!I$202,8,)</f>
        <v>K-POP</v>
      </c>
      <c r="I361" t="str">
        <f>VLOOKUP(A361,'2.09.2021'!A$3:'2.09.2021'!I$202,9,)</f>
        <v>SUA</v>
      </c>
      <c r="J361" t="str">
        <f t="shared" si="14"/>
        <v>Nu</v>
      </c>
    </row>
    <row r="362" spans="1:10" x14ac:dyDescent="0.2">
      <c r="A362" t="s">
        <v>264</v>
      </c>
      <c r="B362" t="s">
        <v>265</v>
      </c>
      <c r="C362">
        <v>5757943</v>
      </c>
      <c r="D362" s="5">
        <f t="shared" si="15"/>
        <v>28789.715</v>
      </c>
      <c r="E362" s="2">
        <f>VLOOKUP(A362,'2.09.2021'!A$3:'2.09.2021'!I$202,5,)</f>
        <v>44414</v>
      </c>
      <c r="F362" s="2">
        <v>44448</v>
      </c>
      <c r="G362" s="23">
        <f>VLOOKUP(A362,'2.09.2021'!A$3:'2.09.2021'!I$202,7,)</f>
        <v>0.12013888888888889</v>
      </c>
      <c r="H362" t="str">
        <f>VLOOKUP(A362,'2.09.2021'!A$3:'2.09.2021'!I$202,8,)</f>
        <v>LATIN URBAN</v>
      </c>
      <c r="I362" t="str">
        <f>VLOOKUP(A362,'2.09.2021'!A$3:'2.09.2021'!I$202,9,)</f>
        <v>Australia</v>
      </c>
      <c r="J362" t="str">
        <f t="shared" si="14"/>
        <v>Nu</v>
      </c>
    </row>
    <row r="363" spans="1:10" x14ac:dyDescent="0.2">
      <c r="A363" t="s">
        <v>216</v>
      </c>
      <c r="B363" t="s">
        <v>217</v>
      </c>
      <c r="C363">
        <v>5745243</v>
      </c>
      <c r="D363" s="5">
        <f t="shared" si="15"/>
        <v>28726.215000000004</v>
      </c>
      <c r="E363" s="2">
        <f>VLOOKUP(A363,'2.09.2021'!A$3:'2.09.2021'!I$202,5,)</f>
        <v>44316</v>
      </c>
      <c r="F363" s="2">
        <v>44448</v>
      </c>
      <c r="G363" s="23">
        <f>VLOOKUP(A363,'2.09.2021'!A$3:'2.09.2021'!I$202,7,)</f>
        <v>0.14305555555555557</v>
      </c>
      <c r="H363" t="str">
        <f>VLOOKUP(A363,'2.09.2021'!A$3:'2.09.2021'!I$202,8,)</f>
        <v>LATIN</v>
      </c>
      <c r="I363" t="str">
        <f>VLOOKUP(A363,'2.09.2021'!A$3:'2.09.2021'!I$202,9,)</f>
        <v>Canada</v>
      </c>
      <c r="J363" t="str">
        <f t="shared" si="14"/>
        <v>Nu</v>
      </c>
    </row>
    <row r="364" spans="1:10" x14ac:dyDescent="0.2">
      <c r="A364" t="s">
        <v>226</v>
      </c>
      <c r="B364" t="s">
        <v>227</v>
      </c>
      <c r="C364">
        <v>5743636</v>
      </c>
      <c r="D364" s="5">
        <f t="shared" si="15"/>
        <v>28718.18</v>
      </c>
      <c r="E364" s="2">
        <f>VLOOKUP(A364,'2.09.2021'!A$3:'2.09.2021'!I$202,5,)</f>
        <v>44437</v>
      </c>
      <c r="F364" s="2">
        <v>44448</v>
      </c>
      <c r="G364" s="23">
        <f>VLOOKUP(A364,'2.09.2021'!A$3:'2.09.2021'!I$202,7,)</f>
        <v>0.19930555555555554</v>
      </c>
      <c r="H364" t="str">
        <f>VLOOKUP(A364,'2.09.2021'!A$3:'2.09.2021'!I$202,8,)</f>
        <v>LATIN URBAN</v>
      </c>
      <c r="I364" t="str">
        <f>VLOOKUP(A364,'2.09.2021'!A$3:'2.09.2021'!I$202,9,)</f>
        <v>SUA</v>
      </c>
      <c r="J364" t="str">
        <f t="shared" si="14"/>
        <v>Nu</v>
      </c>
    </row>
    <row r="365" spans="1:10" x14ac:dyDescent="0.2">
      <c r="A365" t="s">
        <v>301</v>
      </c>
      <c r="B365" t="s">
        <v>20</v>
      </c>
      <c r="C365">
        <v>5735839</v>
      </c>
      <c r="D365" s="5">
        <f t="shared" si="15"/>
        <v>28679.195</v>
      </c>
      <c r="E365" s="2">
        <v>44328</v>
      </c>
      <c r="F365" s="2">
        <v>44448</v>
      </c>
      <c r="G365" s="23">
        <v>0.14097222222222222</v>
      </c>
      <c r="H365" t="s">
        <v>423</v>
      </c>
      <c r="I365" t="s">
        <v>420</v>
      </c>
      <c r="J365" t="str">
        <f t="shared" si="14"/>
        <v>Nu</v>
      </c>
    </row>
    <row r="366" spans="1:10" x14ac:dyDescent="0.2">
      <c r="A366" t="s">
        <v>239</v>
      </c>
      <c r="B366" t="s">
        <v>240</v>
      </c>
      <c r="C366">
        <v>5722577</v>
      </c>
      <c r="D366" s="5">
        <f t="shared" si="15"/>
        <v>28612.885000000002</v>
      </c>
      <c r="E366" s="2">
        <f>VLOOKUP(A366,'2.09.2021'!A$3:'2.09.2021'!I$202,5,)</f>
        <v>44407</v>
      </c>
      <c r="F366" s="2">
        <v>44448</v>
      </c>
      <c r="G366" s="23">
        <f>VLOOKUP(A366,'2.09.2021'!A$3:'2.09.2021'!I$202,7,)</f>
        <v>0.16874999999999998</v>
      </c>
      <c r="H366" t="str">
        <f>VLOOKUP(A366,'2.09.2021'!A$3:'2.09.2021'!I$202,8,)</f>
        <v>POP</v>
      </c>
      <c r="I366" t="str">
        <f>VLOOKUP(A366,'2.09.2021'!A$3:'2.09.2021'!I$202,9,)</f>
        <v>Irlanda</v>
      </c>
      <c r="J366" t="str">
        <f t="shared" si="14"/>
        <v>Nu</v>
      </c>
    </row>
    <row r="367" spans="1:10" x14ac:dyDescent="0.2">
      <c r="A367" t="s">
        <v>232</v>
      </c>
      <c r="B367" t="s">
        <v>233</v>
      </c>
      <c r="C367">
        <v>5716811</v>
      </c>
      <c r="D367" s="5">
        <f t="shared" si="15"/>
        <v>28584.055</v>
      </c>
      <c r="E367" s="2">
        <f>VLOOKUP(A367,'2.09.2021'!A$3:'2.09.2021'!I$202,5,)</f>
        <v>44389</v>
      </c>
      <c r="F367" s="2">
        <v>44448</v>
      </c>
      <c r="G367" s="23">
        <f>VLOOKUP(A367,'2.09.2021'!A$3:'2.09.2021'!I$202,7,)</f>
        <v>0.14097222222222222</v>
      </c>
      <c r="H367" t="str">
        <f>VLOOKUP(A367,'2.09.2021'!A$3:'2.09.2021'!I$202,8,)</f>
        <v>POP</v>
      </c>
      <c r="I367" t="str">
        <f>VLOOKUP(A367,'2.09.2021'!A$3:'2.09.2021'!I$202,9,)</f>
        <v>SUA</v>
      </c>
      <c r="J367" t="str">
        <f t="shared" si="14"/>
        <v>Nu</v>
      </c>
    </row>
    <row r="368" spans="1:10" x14ac:dyDescent="0.2">
      <c r="A368" t="s">
        <v>228</v>
      </c>
      <c r="B368" t="s">
        <v>229</v>
      </c>
      <c r="C368">
        <v>5716347</v>
      </c>
      <c r="D368" s="5">
        <f t="shared" si="15"/>
        <v>28581.735000000001</v>
      </c>
      <c r="E368" s="2">
        <f>VLOOKUP(A368,'2.09.2021'!A$3:'2.09.2021'!I$202,5,)</f>
        <v>44336</v>
      </c>
      <c r="F368" s="2">
        <v>44448</v>
      </c>
      <c r="G368" s="23">
        <f>VLOOKUP(A368,'2.09.2021'!A$3:'2.09.2021'!I$202,7,)</f>
        <v>9.7916666666666666E-2</v>
      </c>
      <c r="H368" t="str">
        <f>VLOOKUP(A368,'2.09.2021'!A$3:'2.09.2021'!I$202,8,)</f>
        <v>DANCE</v>
      </c>
      <c r="I368" t="str">
        <f>VLOOKUP(A368,'2.09.2021'!A$3:'2.09.2021'!I$202,9,)</f>
        <v>SUA</v>
      </c>
      <c r="J368" t="str">
        <f t="shared" si="14"/>
        <v>Nu</v>
      </c>
    </row>
    <row r="369" spans="1:10" x14ac:dyDescent="0.2">
      <c r="A369" t="s">
        <v>189</v>
      </c>
      <c r="B369" t="s">
        <v>190</v>
      </c>
      <c r="C369">
        <v>5713442</v>
      </c>
      <c r="D369" s="5">
        <f t="shared" si="15"/>
        <v>28567.21</v>
      </c>
      <c r="E369" s="2">
        <f>VLOOKUP(A369,'30.09.2021'!A$3:'30.09.2021'!I$202,5,)</f>
        <v>44246</v>
      </c>
      <c r="F369" s="2">
        <v>44448</v>
      </c>
      <c r="G369" s="23">
        <f>VLOOKUP(A369,'30.09.2021'!A$3:'30.09.2021'!I$202,7,)</f>
        <v>9.8611111111111108E-2</v>
      </c>
      <c r="H369" t="str">
        <f>VLOOKUP(A369,'30.09.2021'!A$3:'30.09.2021'!I$202,8,)</f>
        <v>LATIN</v>
      </c>
      <c r="I369" t="str">
        <f>VLOOKUP(A369,'30.09.2021'!A$3:'30.09.2021'!I$202,9,)</f>
        <v>Columbia</v>
      </c>
      <c r="J369" t="str">
        <f t="shared" si="14"/>
        <v>Nu</v>
      </c>
    </row>
    <row r="370" spans="1:10" x14ac:dyDescent="0.2">
      <c r="A370" t="s">
        <v>245</v>
      </c>
      <c r="B370" t="s">
        <v>246</v>
      </c>
      <c r="C370">
        <v>5704490</v>
      </c>
      <c r="D370" s="5">
        <f t="shared" si="15"/>
        <v>28522.449999999997</v>
      </c>
      <c r="E370" s="2">
        <f>VLOOKUP(A370,'2.09.2021'!A$3:'2.09.2021'!I$202,5,)</f>
        <v>44244</v>
      </c>
      <c r="F370" s="2">
        <v>44448</v>
      </c>
      <c r="G370" s="23">
        <f>VLOOKUP(A370,'2.09.2021'!A$3:'2.09.2021'!I$202,7,)</f>
        <v>0.12013888888888889</v>
      </c>
      <c r="H370" t="str">
        <f>VLOOKUP(A370,'2.09.2021'!A$3:'2.09.2021'!I$202,8,)</f>
        <v>LATIN URBAN</v>
      </c>
      <c r="I370" t="str">
        <f>VLOOKUP(A370,'2.09.2021'!A$3:'2.09.2021'!I$202,9,)</f>
        <v>Australia</v>
      </c>
      <c r="J370" t="str">
        <f t="shared" si="14"/>
        <v>Nu</v>
      </c>
    </row>
    <row r="371" spans="1:10" x14ac:dyDescent="0.2">
      <c r="A371" t="s">
        <v>224</v>
      </c>
      <c r="B371" t="s">
        <v>225</v>
      </c>
      <c r="C371">
        <v>5699706</v>
      </c>
      <c r="D371" s="5">
        <f t="shared" si="15"/>
        <v>28498.53</v>
      </c>
      <c r="E371" s="2">
        <f>VLOOKUP(A371,'2.09.2021'!A$3:'2.09.2021'!I$202,5,)</f>
        <v>44460</v>
      </c>
      <c r="F371" s="2">
        <v>44448</v>
      </c>
      <c r="G371" s="23">
        <f>VLOOKUP(A371,'2.09.2021'!A$3:'2.09.2021'!I$202,7,)</f>
        <v>0.15694444444444444</v>
      </c>
      <c r="H371" t="str">
        <f>VLOOKUP(A371,'2.09.2021'!A$3:'2.09.2021'!I$202,8,)</f>
        <v>HIP-HOP/RAP</v>
      </c>
      <c r="I371" t="str">
        <f>VLOOKUP(A371,'2.09.2021'!A$3:'2.09.2021'!I$202,9,)</f>
        <v>Marea Britanie</v>
      </c>
      <c r="J371" t="str">
        <f t="shared" si="14"/>
        <v>Nu</v>
      </c>
    </row>
    <row r="372" spans="1:10" x14ac:dyDescent="0.2">
      <c r="A372" t="s">
        <v>289</v>
      </c>
      <c r="B372" t="s">
        <v>62</v>
      </c>
      <c r="C372">
        <v>5699022</v>
      </c>
      <c r="D372" s="5">
        <f t="shared" si="15"/>
        <v>28495.11</v>
      </c>
      <c r="E372" s="2">
        <f>VLOOKUP(A372,'30.09.2021'!A$3:'30.09.2021'!I$202,5,)</f>
        <v>44400</v>
      </c>
      <c r="F372" s="2">
        <v>44448</v>
      </c>
      <c r="G372" s="23">
        <f>VLOOKUP(A372,'30.09.2021'!A$3:'30.09.2021'!I$202,7,)</f>
        <v>0.13958333333333334</v>
      </c>
      <c r="H372" t="str">
        <f>VLOOKUP(A372,'30.09.2021'!A$3:'30.09.2021'!I$202,8,)</f>
        <v>POP</v>
      </c>
      <c r="I372" t="str">
        <f>VLOOKUP(A372,'30.09.2021'!A$3:'30.09.2021'!I$202,9,)</f>
        <v>SUA</v>
      </c>
      <c r="J372" t="str">
        <f t="shared" si="14"/>
        <v>Nu</v>
      </c>
    </row>
    <row r="373" spans="1:10" x14ac:dyDescent="0.2">
      <c r="A373" t="s">
        <v>272</v>
      </c>
      <c r="B373" t="s">
        <v>273</v>
      </c>
      <c r="C373">
        <v>5683967</v>
      </c>
      <c r="D373" s="5">
        <f t="shared" si="15"/>
        <v>28419.834999999999</v>
      </c>
      <c r="E373" s="2">
        <f>VLOOKUP(A373,'2.09.2021'!A$3:'2.09.2021'!I$202,5,)</f>
        <v>44360</v>
      </c>
      <c r="F373" s="2">
        <v>44448</v>
      </c>
      <c r="G373" s="23">
        <f>VLOOKUP(A373,'2.09.2021'!A$3:'2.09.2021'!I$202,7,)</f>
        <v>0.15694444444444444</v>
      </c>
      <c r="H373" t="str">
        <f>VLOOKUP(A373,'2.09.2021'!A$3:'2.09.2021'!I$202,8,)</f>
        <v>POP</v>
      </c>
      <c r="I373" t="str">
        <f>VLOOKUP(A373,'2.09.2021'!A$3:'2.09.2021'!I$202,9,)</f>
        <v>India</v>
      </c>
      <c r="J373" t="str">
        <f t="shared" si="14"/>
        <v>Nu</v>
      </c>
    </row>
    <row r="374" spans="1:10" x14ac:dyDescent="0.2">
      <c r="A374" t="s">
        <v>452</v>
      </c>
      <c r="B374" t="s">
        <v>233</v>
      </c>
      <c r="C374">
        <v>5654594</v>
      </c>
      <c r="D374" s="5">
        <f t="shared" si="15"/>
        <v>28272.97</v>
      </c>
      <c r="E374" s="2">
        <f>VLOOKUP(A374,'2.09.2021'!A$3:'2.09.2021'!I$202,5,)</f>
        <v>44341</v>
      </c>
      <c r="F374" s="2">
        <v>44448</v>
      </c>
      <c r="G374" s="23">
        <f>VLOOKUP(A374,'2.09.2021'!A$3:'2.09.2021'!I$202,7,)</f>
        <v>0.14097222222222222</v>
      </c>
      <c r="H374" t="str">
        <f>VLOOKUP(A374,'2.09.2021'!A$3:'2.09.2021'!I$202,8,)</f>
        <v>HIP-HOP/RAP</v>
      </c>
      <c r="I374" t="str">
        <f>VLOOKUP(A374,'2.09.2021'!A$3:'2.09.2021'!I$202,9,)</f>
        <v>SUA</v>
      </c>
      <c r="J374" t="str">
        <f t="shared" si="14"/>
        <v>Da</v>
      </c>
    </row>
    <row r="375" spans="1:10" x14ac:dyDescent="0.2">
      <c r="A375" t="s">
        <v>362</v>
      </c>
      <c r="B375" t="s">
        <v>2</v>
      </c>
      <c r="C375">
        <v>5646641</v>
      </c>
      <c r="D375" s="5">
        <f t="shared" si="15"/>
        <v>28233.204999999998</v>
      </c>
      <c r="E375" s="2">
        <v>44328</v>
      </c>
      <c r="F375" s="2">
        <v>44448</v>
      </c>
      <c r="G375" s="23">
        <v>0.11458333333333333</v>
      </c>
      <c r="H375" t="s">
        <v>423</v>
      </c>
      <c r="I375" t="s">
        <v>468</v>
      </c>
      <c r="J375" t="str">
        <f t="shared" si="14"/>
        <v>Nu</v>
      </c>
    </row>
    <row r="376" spans="1:10" x14ac:dyDescent="0.2">
      <c r="A376" t="s">
        <v>241</v>
      </c>
      <c r="B376" t="s">
        <v>242</v>
      </c>
      <c r="C376">
        <v>5632746</v>
      </c>
      <c r="D376" s="5">
        <f t="shared" si="15"/>
        <v>28163.73</v>
      </c>
      <c r="E376" s="2">
        <f>VLOOKUP(A376,'2.09.2021'!A$3:'2.09.2021'!I$202,5,)</f>
        <v>44377</v>
      </c>
      <c r="F376" s="2">
        <v>44448</v>
      </c>
      <c r="G376" s="23">
        <f>VLOOKUP(A376,'2.09.2021'!A$3:'2.09.2021'!I$202,7,)</f>
        <v>0.16527777777777777</v>
      </c>
      <c r="H376" t="str">
        <f>VLOOKUP(A376,'2.09.2021'!A$3:'2.09.2021'!I$202,8,)</f>
        <v>HIP-HOP/RAP</v>
      </c>
      <c r="I376" t="str">
        <f>VLOOKUP(A376,'2.09.2021'!A$3:'2.09.2021'!I$202,9,)</f>
        <v>Marea Britanie</v>
      </c>
      <c r="J376" t="str">
        <f t="shared" si="14"/>
        <v>Nu</v>
      </c>
    </row>
    <row r="377" spans="1:10" x14ac:dyDescent="0.2">
      <c r="A377" t="s">
        <v>254</v>
      </c>
      <c r="B377" t="s">
        <v>255</v>
      </c>
      <c r="C377">
        <v>5621978</v>
      </c>
      <c r="D377" s="5">
        <f t="shared" si="15"/>
        <v>28109.89</v>
      </c>
      <c r="E377" s="2">
        <f>VLOOKUP(A377,'2.09.2021'!A$3:'2.09.2021'!I$202,5,)</f>
        <v>44339</v>
      </c>
      <c r="F377" s="2">
        <v>44448</v>
      </c>
      <c r="G377" s="23">
        <f>VLOOKUP(A377,'2.09.2021'!A$3:'2.09.2021'!I$202,7,)</f>
        <v>0.24861111111111112</v>
      </c>
      <c r="H377" t="str">
        <f>VLOOKUP(A377,'2.09.2021'!A$3:'2.09.2021'!I$202,8,)</f>
        <v>ROCK</v>
      </c>
      <c r="I377" t="str">
        <f>VLOOKUP(A377,'2.09.2021'!A$3:'2.09.2021'!I$202,9,)</f>
        <v>Țara Galilor</v>
      </c>
      <c r="J377" t="str">
        <f t="shared" si="14"/>
        <v>Nu</v>
      </c>
    </row>
    <row r="378" spans="1:10" x14ac:dyDescent="0.2">
      <c r="A378" t="s">
        <v>453</v>
      </c>
      <c r="B378" t="s">
        <v>20</v>
      </c>
      <c r="C378">
        <v>5598555</v>
      </c>
      <c r="D378" s="5">
        <f t="shared" si="15"/>
        <v>27992.775000000001</v>
      </c>
      <c r="E378" s="2">
        <f>VLOOKUP(A378,'2.09.2021'!A$3:'2.09.2021'!I$202,5,)</f>
        <v>44381</v>
      </c>
      <c r="F378" s="2">
        <v>44448</v>
      </c>
      <c r="G378" s="23">
        <f>VLOOKUP(A378,'2.09.2021'!A$3:'2.09.2021'!I$202,7,)</f>
        <v>0.14444444444444446</v>
      </c>
      <c r="H378" t="str">
        <f>VLOOKUP(A378,'2.09.2021'!A$3:'2.09.2021'!I$202,8,)</f>
        <v>HIP-HOP/RAP</v>
      </c>
      <c r="I378" t="str">
        <f>VLOOKUP(A378,'2.09.2021'!A$3:'2.09.2021'!I$202,9,)</f>
        <v>Canada</v>
      </c>
      <c r="J378" t="str">
        <f t="shared" si="14"/>
        <v>Da</v>
      </c>
    </row>
    <row r="379" spans="1:10" x14ac:dyDescent="0.2">
      <c r="A379" t="s">
        <v>230</v>
      </c>
      <c r="B379" t="s">
        <v>231</v>
      </c>
      <c r="C379">
        <v>5579092</v>
      </c>
      <c r="D379" s="5">
        <f t="shared" si="15"/>
        <v>27895.46</v>
      </c>
      <c r="E379" s="2">
        <f>VLOOKUP(A379,'2.09.2021'!A$3:'2.09.2021'!I$202,5,)</f>
        <v>44339</v>
      </c>
      <c r="F379" s="2">
        <v>44448</v>
      </c>
      <c r="G379" s="23">
        <f>VLOOKUP(A379,'2.09.2021'!A$3:'2.09.2021'!I$202,7,)</f>
        <v>0.16805555555555554</v>
      </c>
      <c r="H379" t="str">
        <f>VLOOKUP(A379,'2.09.2021'!A$3:'2.09.2021'!I$202,8,)</f>
        <v>HIP-HOP/RAP</v>
      </c>
      <c r="I379" t="str">
        <f>VLOOKUP(A379,'2.09.2021'!A$3:'2.09.2021'!I$202,9,)</f>
        <v>Mexic</v>
      </c>
      <c r="J379" t="str">
        <f t="shared" si="14"/>
        <v>Nu</v>
      </c>
    </row>
    <row r="380" spans="1:10" x14ac:dyDescent="0.2">
      <c r="A380" t="s">
        <v>237</v>
      </c>
      <c r="B380" t="s">
        <v>238</v>
      </c>
      <c r="C380">
        <v>5530728</v>
      </c>
      <c r="D380" s="5">
        <f t="shared" si="15"/>
        <v>27653.64</v>
      </c>
      <c r="E380" s="2">
        <f>VLOOKUP(A380,'30.09.2021'!A$3:'30.09.2021'!I$202,5,)</f>
        <v>44230</v>
      </c>
      <c r="F380" s="2">
        <v>44448</v>
      </c>
      <c r="G380" s="23">
        <f>VLOOKUP(A380,'30.09.2021'!A$3:'30.09.2021'!I$202,7,)</f>
        <v>9.7916666666666666E-2</v>
      </c>
      <c r="H380" t="str">
        <f>VLOOKUP(A380,'30.09.2021'!A$3:'30.09.2021'!I$202,8,)</f>
        <v>LATIN URBAN</v>
      </c>
      <c r="I380" t="str">
        <f>VLOOKUP(A380,'30.09.2021'!A$3:'30.09.2021'!I$202,9,)</f>
        <v>Panama</v>
      </c>
      <c r="J380" t="str">
        <f t="shared" si="14"/>
        <v>Nu</v>
      </c>
    </row>
    <row r="381" spans="1:10" x14ac:dyDescent="0.2">
      <c r="A381" t="s">
        <v>263</v>
      </c>
      <c r="B381" t="s">
        <v>213</v>
      </c>
      <c r="C381">
        <v>5499650</v>
      </c>
      <c r="D381" s="5">
        <f t="shared" si="15"/>
        <v>27498.25</v>
      </c>
      <c r="E381" s="2">
        <f>VLOOKUP(A381,'2.09.2021'!A$3:'2.09.2021'!I$202,5,)</f>
        <v>44256</v>
      </c>
      <c r="F381" s="2">
        <v>44448</v>
      </c>
      <c r="G381" s="23">
        <f>VLOOKUP(A381,'2.09.2021'!A$3:'2.09.2021'!I$202,7,)</f>
        <v>0.13749999999999998</v>
      </c>
      <c r="H381" t="str">
        <f>VLOOKUP(A381,'2.09.2021'!A$3:'2.09.2021'!I$202,8,)</f>
        <v>HIP-HOP/RAP</v>
      </c>
      <c r="I381" t="str">
        <f>VLOOKUP(A381,'2.09.2021'!A$3:'2.09.2021'!I$202,9,)</f>
        <v>Suedia</v>
      </c>
      <c r="J381" t="str">
        <f t="shared" si="14"/>
        <v>Nu</v>
      </c>
    </row>
    <row r="382" spans="1:10" x14ac:dyDescent="0.2">
      <c r="A382" t="s">
        <v>253</v>
      </c>
      <c r="B382" t="s">
        <v>34</v>
      </c>
      <c r="C382">
        <v>5492402</v>
      </c>
      <c r="D382" s="5">
        <f t="shared" si="15"/>
        <v>27462.010000000002</v>
      </c>
      <c r="E382" s="2">
        <f>VLOOKUP(A382,'2.09.2021'!A$3:'2.09.2021'!I$202,5,)</f>
        <v>44454</v>
      </c>
      <c r="F382" s="2">
        <v>44448</v>
      </c>
      <c r="G382" s="23">
        <f>VLOOKUP(A382,'2.09.2021'!A$3:'2.09.2021'!I$202,7,)</f>
        <v>0.17500000000000002</v>
      </c>
      <c r="H382" t="str">
        <f>VLOOKUP(A382,'2.09.2021'!A$3:'2.09.2021'!I$202,8,)</f>
        <v>DANCE</v>
      </c>
      <c r="I382" t="str">
        <f>VLOOKUP(A382,'2.09.2021'!A$3:'2.09.2021'!I$202,9,)</f>
        <v>Puerto Rico</v>
      </c>
      <c r="J382" t="str">
        <f t="shared" si="14"/>
        <v>Nu</v>
      </c>
    </row>
    <row r="383" spans="1:10" x14ac:dyDescent="0.2">
      <c r="A383" t="s">
        <v>454</v>
      </c>
      <c r="B383" t="s">
        <v>279</v>
      </c>
      <c r="C383">
        <v>5491736</v>
      </c>
      <c r="D383" s="5">
        <f t="shared" si="15"/>
        <v>27458.68</v>
      </c>
      <c r="E383" s="2">
        <f>VLOOKUP(A383,'2.09.2021'!A$3:'2.09.2021'!I$202,5,)</f>
        <v>44383</v>
      </c>
      <c r="F383" s="2">
        <v>44448</v>
      </c>
      <c r="G383" s="23">
        <f>VLOOKUP(A383,'2.09.2021'!A$3:'2.09.2021'!I$202,7,)</f>
        <v>0.13958333333333334</v>
      </c>
      <c r="H383" t="str">
        <f>VLOOKUP(A383,'2.09.2021'!A$3:'2.09.2021'!I$202,8,)</f>
        <v>HIP-HOP/RAP</v>
      </c>
      <c r="I383" t="str">
        <f>VLOOKUP(A383,'2.09.2021'!A$3:'2.09.2021'!I$202,9,)</f>
        <v>Argentina</v>
      </c>
      <c r="J383" t="str">
        <f t="shared" si="14"/>
        <v>Da</v>
      </c>
    </row>
    <row r="384" spans="1:10" x14ac:dyDescent="0.2">
      <c r="A384" t="s">
        <v>252</v>
      </c>
      <c r="B384" t="s">
        <v>154</v>
      </c>
      <c r="C384">
        <v>5484067</v>
      </c>
      <c r="D384" s="5">
        <f t="shared" si="15"/>
        <v>27420.334999999999</v>
      </c>
      <c r="E384" s="2">
        <f>VLOOKUP(A384,'2.09.2021'!A$3:'2.09.2021'!I$202,5,)</f>
        <v>44338</v>
      </c>
      <c r="F384" s="2">
        <v>44448</v>
      </c>
      <c r="G384" s="23">
        <f>VLOOKUP(A384,'2.09.2021'!A$3:'2.09.2021'!I$202,7,)</f>
        <v>0.10069444444444443</v>
      </c>
      <c r="H384" t="str">
        <f>VLOOKUP(A384,'2.09.2021'!A$3:'2.09.2021'!I$202,8,)</f>
        <v>R&amp;B/SOUL</v>
      </c>
      <c r="I384" t="str">
        <f>VLOOKUP(A384,'2.09.2021'!A$3:'2.09.2021'!I$202,9,)</f>
        <v>SUA</v>
      </c>
      <c r="J384" t="str">
        <f t="shared" si="14"/>
        <v>Nu</v>
      </c>
    </row>
    <row r="385" spans="1:10" x14ac:dyDescent="0.2">
      <c r="A385" t="s">
        <v>270</v>
      </c>
      <c r="B385" t="s">
        <v>271</v>
      </c>
      <c r="C385">
        <v>5474919</v>
      </c>
      <c r="D385" s="5">
        <f t="shared" si="15"/>
        <v>27374.595000000001</v>
      </c>
      <c r="E385" s="2">
        <f>VLOOKUP(A385,'2.09.2021'!A$3:'2.09.2021'!I$202,5,)</f>
        <v>44309</v>
      </c>
      <c r="F385" s="2">
        <v>44448</v>
      </c>
      <c r="G385" s="23">
        <f>VLOOKUP(A385,'2.09.2021'!A$3:'2.09.2021'!I$202,7,)</f>
        <v>0.16805555555555554</v>
      </c>
      <c r="H385" t="str">
        <f>VLOOKUP(A385,'2.09.2021'!A$3:'2.09.2021'!I$202,8,)</f>
        <v>HIP-HOP/RAP</v>
      </c>
      <c r="I385" t="str">
        <f>VLOOKUP(A385,'2.09.2021'!A$3:'2.09.2021'!I$202,9,)</f>
        <v>SUA</v>
      </c>
      <c r="J385" t="str">
        <f t="shared" si="14"/>
        <v>Nu</v>
      </c>
    </row>
    <row r="386" spans="1:10" x14ac:dyDescent="0.2">
      <c r="A386" t="s">
        <v>261</v>
      </c>
      <c r="B386" t="s">
        <v>262</v>
      </c>
      <c r="C386">
        <v>5435438</v>
      </c>
      <c r="D386" s="5">
        <f t="shared" si="15"/>
        <v>27177.190000000002</v>
      </c>
      <c r="E386" s="2">
        <f>VLOOKUP(A386,'2.09.2021'!A$3:'2.09.2021'!I$202,5,)</f>
        <v>44259</v>
      </c>
      <c r="F386" s="2">
        <v>44448</v>
      </c>
      <c r="G386" s="23">
        <f>VLOOKUP(A386,'2.09.2021'!A$3:'2.09.2021'!I$202,7,)</f>
        <v>0.10833333333333334</v>
      </c>
      <c r="H386" t="str">
        <f>VLOOKUP(A386,'2.09.2021'!A$3:'2.09.2021'!I$202,8,)</f>
        <v>HIP-HOP/RAP</v>
      </c>
      <c r="I386" t="str">
        <f>VLOOKUP(A386,'2.09.2021'!A$3:'2.09.2021'!I$202,9,)</f>
        <v>Marea Britanie</v>
      </c>
      <c r="J386" t="str">
        <f t="shared" ref="J386:J449" si="16">IF(ISNUMBER(SEARCH("with",A386)),"Da","Nu")</f>
        <v>Nu</v>
      </c>
    </row>
    <row r="387" spans="1:10" x14ac:dyDescent="0.2">
      <c r="A387" t="s">
        <v>268</v>
      </c>
      <c r="B387" t="s">
        <v>269</v>
      </c>
      <c r="C387">
        <v>5431486</v>
      </c>
      <c r="D387" s="5">
        <f t="shared" si="15"/>
        <v>27157.43</v>
      </c>
      <c r="E387" s="2">
        <f>VLOOKUP(A387,'16.09.2021'!A$3:'16.09.2021'!I$202,5,)</f>
        <v>44350</v>
      </c>
      <c r="F387" s="2">
        <v>44448</v>
      </c>
      <c r="G387" s="23">
        <f>VLOOKUP(A387,'2.09.2021'!A$3:'2.09.2021'!I$202,7,)</f>
        <v>0.14444444444444446</v>
      </c>
      <c r="H387" t="str">
        <f>VLOOKUP(A387,'2.09.2021'!A$3:'2.09.2021'!I$202,8,)</f>
        <v>HIP-HOP/RAP</v>
      </c>
      <c r="I387" t="str">
        <f>VLOOKUP(A387,'2.09.2021'!A$3:'2.09.2021'!I$202,9,)</f>
        <v>SUA</v>
      </c>
      <c r="J387" t="str">
        <f t="shared" si="16"/>
        <v>Nu</v>
      </c>
    </row>
    <row r="388" spans="1:10" x14ac:dyDescent="0.2">
      <c r="A388" t="s">
        <v>451</v>
      </c>
      <c r="B388" t="s">
        <v>244</v>
      </c>
      <c r="C388">
        <v>5425131</v>
      </c>
      <c r="D388" s="5">
        <f t="shared" si="15"/>
        <v>27125.655000000002</v>
      </c>
      <c r="E388" s="2">
        <f>VLOOKUP(A388,'16.09.2021'!A$3:'16.09.2021'!I$202,5,)</f>
        <v>44199</v>
      </c>
      <c r="F388" s="2">
        <v>44448</v>
      </c>
      <c r="G388" s="23">
        <f>VLOOKUP(A388,'16.09.2021'!A$3:'16.09.2021'!I$202,7,)</f>
        <v>0.12430555555555556</v>
      </c>
      <c r="H388" t="str">
        <f>VLOOKUP(A388,'16.09.2021'!A$3:'16.09.2021'!I$202,8,)</f>
        <v>HIP-HOP/RAP</v>
      </c>
      <c r="I388" t="str">
        <f>VLOOKUP(A388,'16.09.2021'!A$3:'16.09.2021'!I$202,9,)</f>
        <v>SUA</v>
      </c>
      <c r="J388" t="str">
        <f t="shared" si="16"/>
        <v>Da</v>
      </c>
    </row>
    <row r="389" spans="1:10" x14ac:dyDescent="0.2">
      <c r="A389" t="s">
        <v>292</v>
      </c>
      <c r="B389" t="s">
        <v>43</v>
      </c>
      <c r="C389">
        <v>5415289</v>
      </c>
      <c r="D389" s="5">
        <f t="shared" si="15"/>
        <v>27076.445</v>
      </c>
      <c r="E389" s="2">
        <f>VLOOKUP(A389,'2.09.2021'!A$3:'2.09.2021'!I$202,5,)</f>
        <v>44242</v>
      </c>
      <c r="F389" s="2">
        <v>44448</v>
      </c>
      <c r="G389" s="23">
        <f>VLOOKUP(A389,'2.09.2021'!A$3:'2.09.2021'!I$202,7,)</f>
        <v>0.14652777777777778</v>
      </c>
      <c r="H389" t="str">
        <f>VLOOKUP(A389,'2.09.2021'!A$3:'2.09.2021'!I$202,8,)</f>
        <v>RHYTHM &amp; BLUES</v>
      </c>
      <c r="I389" t="str">
        <f>VLOOKUP(A389,'2.09.2021'!A$3:'2.09.2021'!I$202,9,)</f>
        <v>Canada</v>
      </c>
      <c r="J389" t="str">
        <f t="shared" si="16"/>
        <v>Nu</v>
      </c>
    </row>
    <row r="390" spans="1:10" x14ac:dyDescent="0.2">
      <c r="A390" t="s">
        <v>456</v>
      </c>
      <c r="B390" t="s">
        <v>324</v>
      </c>
      <c r="C390">
        <v>5381289</v>
      </c>
      <c r="D390" s="5">
        <f t="shared" si="15"/>
        <v>26906.445</v>
      </c>
      <c r="E390" s="2">
        <f>VLOOKUP(A390,'2.09.2021'!A$3:'2.09.2021'!I$202,5,)</f>
        <v>44409</v>
      </c>
      <c r="F390" s="2">
        <v>44448</v>
      </c>
      <c r="G390" s="23">
        <f>VLOOKUP(A390,'2.09.2021'!A$3:'2.09.2021'!I$202,7,)</f>
        <v>8.5416666666666655E-2</v>
      </c>
      <c r="H390" t="str">
        <f>VLOOKUP(A390,'2.09.2021'!A$3:'2.09.2021'!I$202,8,)</f>
        <v>ROCK</v>
      </c>
      <c r="I390" t="str">
        <f>VLOOKUP(A390,'2.09.2021'!A$3:'2.09.2021'!I$202,9,)</f>
        <v>SUA</v>
      </c>
      <c r="J390" t="str">
        <f t="shared" si="16"/>
        <v>Da</v>
      </c>
    </row>
    <row r="391" spans="1:10" x14ac:dyDescent="0.2">
      <c r="A391" t="s">
        <v>243</v>
      </c>
      <c r="B391" t="s">
        <v>244</v>
      </c>
      <c r="C391">
        <v>5365588</v>
      </c>
      <c r="D391" s="5">
        <f t="shared" si="15"/>
        <v>26827.94</v>
      </c>
      <c r="E391" s="2">
        <f>VLOOKUP(A391,'16.09.2021'!A$3:'16.09.2021'!I$202,5,)</f>
        <v>44199</v>
      </c>
      <c r="F391" s="2">
        <v>44448</v>
      </c>
      <c r="G391" s="23">
        <f>VLOOKUP(A391,'16.09.2021'!A$3:'16.09.2021'!I$202,7,)</f>
        <v>9.930555555555555E-2</v>
      </c>
      <c r="H391" t="str">
        <f>VLOOKUP(A391,'16.09.2021'!A$3:'16.09.2021'!I$202,8,)</f>
        <v>hIP-HOP/RAP</v>
      </c>
      <c r="I391" t="str">
        <f>VLOOKUP(A391,'16.09.2021'!A$3:'16.09.2021'!I$202,9,)</f>
        <v>SUA</v>
      </c>
      <c r="J391" t="str">
        <f t="shared" si="16"/>
        <v>Nu</v>
      </c>
    </row>
    <row r="392" spans="1:10" x14ac:dyDescent="0.2">
      <c r="A392" t="s">
        <v>266</v>
      </c>
      <c r="B392" t="s">
        <v>267</v>
      </c>
      <c r="C392">
        <v>5361387</v>
      </c>
      <c r="D392" s="5">
        <f t="shared" si="15"/>
        <v>26806.934999999998</v>
      </c>
      <c r="E392" s="2">
        <f>VLOOKUP(A392,'16.09.2021'!A$3:'16.09.2021'!I$202,5,)</f>
        <v>43498</v>
      </c>
      <c r="F392" s="2">
        <v>44448</v>
      </c>
      <c r="G392" s="23">
        <f>VLOOKUP(A392,'16.09.2021'!A$3:'16.09.2021'!I$202,7,)</f>
        <v>0.14097222222222222</v>
      </c>
      <c r="H392" t="str">
        <f>VLOOKUP(A392,'16.09.2021'!A$3:'16.09.2021'!I$202,8,)</f>
        <v>POP</v>
      </c>
      <c r="I392" t="str">
        <f>VLOOKUP(A392,'16.09.2021'!A$3:'16.09.2021'!I$202,9,)</f>
        <v>Marea Britanie</v>
      </c>
      <c r="J392" t="str">
        <f t="shared" si="16"/>
        <v>Nu</v>
      </c>
    </row>
    <row r="393" spans="1:10" x14ac:dyDescent="0.2">
      <c r="A393" t="s">
        <v>298</v>
      </c>
      <c r="B393" t="s">
        <v>299</v>
      </c>
      <c r="C393">
        <v>5359388</v>
      </c>
      <c r="D393" s="5">
        <f t="shared" si="15"/>
        <v>26796.94</v>
      </c>
      <c r="E393" s="2">
        <f>VLOOKUP(A393,'16.09.2021'!A$3:'16.09.2021'!I$202,5,)</f>
        <v>44375</v>
      </c>
      <c r="F393" s="2">
        <v>44448</v>
      </c>
      <c r="G393" s="23">
        <f>VLOOKUP(A393,'16.09.2021'!A$3:'16.09.2021'!I$202,7,)</f>
        <v>0.13958333333333334</v>
      </c>
      <c r="H393" t="str">
        <f>VLOOKUP(A393,'16.09.2021'!A$3:'16.09.2021'!I$202,8,)</f>
        <v>LATIN URBAN</v>
      </c>
      <c r="I393" t="str">
        <f>VLOOKUP(A393,'16.09.2021'!A$3:'16.09.2021'!I$202,9,)</f>
        <v>Puerto Rico</v>
      </c>
      <c r="J393" t="str">
        <f t="shared" si="16"/>
        <v>Nu</v>
      </c>
    </row>
    <row r="394" spans="1:10" x14ac:dyDescent="0.2">
      <c r="A394" t="s">
        <v>275</v>
      </c>
      <c r="B394" t="s">
        <v>276</v>
      </c>
      <c r="C394">
        <v>5341858</v>
      </c>
      <c r="D394" s="5">
        <f t="shared" ref="D394:D401" si="17">(C394/1000*5)</f>
        <v>26709.29</v>
      </c>
      <c r="E394" s="2">
        <f>VLOOKUP(A394,'2.09.2021'!A$3:'2.09.2021'!I$202,5,)</f>
        <v>44209</v>
      </c>
      <c r="F394" s="2">
        <v>44448</v>
      </c>
      <c r="G394" s="23">
        <f>VLOOKUP(A394,'2.09.2021'!A$3:'2.09.2021'!I$202,7,)</f>
        <v>0.15902777777777777</v>
      </c>
      <c r="H394" t="str">
        <f>VLOOKUP(A394,'2.09.2021'!A$3:'2.09.2021'!I$202,8,)</f>
        <v>LATIN</v>
      </c>
      <c r="I394" t="str">
        <f>VLOOKUP(A394,'2.09.2021'!A$3:'2.09.2021'!I$202,9,)</f>
        <v>Franța</v>
      </c>
      <c r="J394" t="str">
        <f t="shared" si="16"/>
        <v>Nu</v>
      </c>
    </row>
    <row r="395" spans="1:10" x14ac:dyDescent="0.2">
      <c r="A395" t="s">
        <v>285</v>
      </c>
      <c r="B395" t="s">
        <v>286</v>
      </c>
      <c r="C395">
        <v>5335370</v>
      </c>
      <c r="D395" s="5">
        <f t="shared" si="17"/>
        <v>26676.85</v>
      </c>
      <c r="E395" s="2">
        <f>VLOOKUP(A395,'2.09.2021'!A$3:'2.09.2021'!I$202,5,)</f>
        <v>44439</v>
      </c>
      <c r="F395" s="2">
        <v>44448</v>
      </c>
      <c r="G395" s="23">
        <f>VLOOKUP(A395,'2.09.2021'!A$3:'2.09.2021'!I$202,7,)</f>
        <v>9.5833333333333326E-2</v>
      </c>
      <c r="H395" t="str">
        <f>VLOOKUP(A395,'2.09.2021'!A$3:'2.09.2021'!I$202,8,)</f>
        <v>HIP-HOP/RAP</v>
      </c>
      <c r="I395" t="str">
        <f>VLOOKUP(A395,'2.09.2021'!A$3:'2.09.2021'!I$202,9,)</f>
        <v>Marea Britanie</v>
      </c>
      <c r="J395" t="str">
        <f t="shared" si="16"/>
        <v>Nu</v>
      </c>
    </row>
    <row r="396" spans="1:10" x14ac:dyDescent="0.2">
      <c r="A396" t="s">
        <v>258</v>
      </c>
      <c r="B396" t="s">
        <v>23</v>
      </c>
      <c r="C396">
        <v>5333841</v>
      </c>
      <c r="D396" s="5">
        <f t="shared" si="17"/>
        <v>26669.205000000002</v>
      </c>
      <c r="E396" s="2">
        <f>VLOOKUP(A396,'2.09.2021'!A$3:'2.09.2021'!I$202,5,)</f>
        <v>44245</v>
      </c>
      <c r="F396" s="2">
        <v>44448</v>
      </c>
      <c r="G396" s="23">
        <f>VLOOKUP(A396,'2.09.2021'!A$3:'2.09.2021'!I$202,7,)</f>
        <v>0.11388888888888889</v>
      </c>
      <c r="H396" t="str">
        <f>VLOOKUP(A396,'2.09.2021'!A$3:'2.09.2021'!I$202,8,)</f>
        <v>LATIN URBAN</v>
      </c>
      <c r="I396" t="str">
        <f>VLOOKUP(A396,'2.09.2021'!A$3:'2.09.2021'!I$202,9,)</f>
        <v>SUA</v>
      </c>
      <c r="J396" t="str">
        <f t="shared" si="16"/>
        <v>Nu</v>
      </c>
    </row>
    <row r="397" spans="1:10" x14ac:dyDescent="0.2">
      <c r="A397" t="s">
        <v>300</v>
      </c>
      <c r="B397" t="s">
        <v>20</v>
      </c>
      <c r="C397">
        <v>5320793</v>
      </c>
      <c r="D397" s="5">
        <f t="shared" si="17"/>
        <v>26603.964999999997</v>
      </c>
      <c r="E397" s="2">
        <f>VLOOKUP(A397,'16.09.2021'!A$3:'16.09.2021'!I$202,5,)</f>
        <v>44460</v>
      </c>
      <c r="F397" s="2">
        <v>44448</v>
      </c>
      <c r="G397" s="23">
        <f>VLOOKUP(A397,'16.09.2021'!A$3:'16.09.2021'!I$202,7,)</f>
        <v>0.14305555555555557</v>
      </c>
      <c r="H397" t="str">
        <f>VLOOKUP(A397,'16.09.2021'!A$3:'16.09.2021'!I$202,8,)</f>
        <v>hIP-HOP/RAP</v>
      </c>
      <c r="I397" t="str">
        <f>VLOOKUP(A397,'16.09.2021'!A$3:'16.09.2021'!I$202,9,)</f>
        <v>Canada</v>
      </c>
      <c r="J397" t="str">
        <f t="shared" si="16"/>
        <v>Nu</v>
      </c>
    </row>
    <row r="398" spans="1:10" x14ac:dyDescent="0.2">
      <c r="A398" t="s">
        <v>295</v>
      </c>
      <c r="B398" t="s">
        <v>296</v>
      </c>
      <c r="C398">
        <v>5309756</v>
      </c>
      <c r="D398" s="5">
        <f t="shared" si="17"/>
        <v>26548.780000000002</v>
      </c>
      <c r="E398" s="2">
        <f>VLOOKUP(A398,'2.09.2021'!A$3:'2.09.2021'!I$202,5,)</f>
        <v>44214</v>
      </c>
      <c r="F398" s="2">
        <v>44448</v>
      </c>
      <c r="G398" s="23">
        <f>VLOOKUP(A398,'2.09.2021'!A$3:'2.09.2021'!I$202,7,)</f>
        <v>0.11388888888888889</v>
      </c>
      <c r="H398" t="str">
        <f>VLOOKUP(A398,'2.09.2021'!A$3:'2.09.2021'!I$202,8,)</f>
        <v>HIP-HOP/RAP</v>
      </c>
      <c r="I398" t="str">
        <f>VLOOKUP(A398,'2.09.2021'!A$3:'2.09.2021'!I$202,9,)</f>
        <v>Germania</v>
      </c>
      <c r="J398" t="str">
        <f t="shared" si="16"/>
        <v>Nu</v>
      </c>
    </row>
    <row r="399" spans="1:10" x14ac:dyDescent="0.2">
      <c r="A399" t="s">
        <v>336</v>
      </c>
      <c r="B399" t="s">
        <v>337</v>
      </c>
      <c r="C399">
        <v>5304766</v>
      </c>
      <c r="D399" s="5">
        <f t="shared" si="17"/>
        <v>26523.829999999998</v>
      </c>
      <c r="E399" s="2">
        <f>VLOOKUP(A399,'2.09.2021'!A$3:'2.09.2021'!I$202,5,)</f>
        <v>44304</v>
      </c>
      <c r="F399" s="2">
        <v>44448</v>
      </c>
      <c r="G399" s="23">
        <f>VLOOKUP(A399,'2.09.2021'!A$3:'2.09.2021'!I$202,7,)</f>
        <v>0.14930555555555555</v>
      </c>
      <c r="H399" t="str">
        <f>VLOOKUP(A399,'2.09.2021'!A$3:'2.09.2021'!I$202,8,)</f>
        <v>HIP-HOP/RAP</v>
      </c>
      <c r="I399" t="str">
        <f>VLOOKUP(A399,'2.09.2021'!A$3:'2.09.2021'!I$202,9,)</f>
        <v>Puerto Rico</v>
      </c>
      <c r="J399" t="str">
        <f t="shared" si="16"/>
        <v>Nu</v>
      </c>
    </row>
    <row r="400" spans="1:10" x14ac:dyDescent="0.2">
      <c r="A400" t="s">
        <v>290</v>
      </c>
      <c r="B400" t="s">
        <v>158</v>
      </c>
      <c r="C400">
        <v>5298156</v>
      </c>
      <c r="D400" s="5">
        <f t="shared" si="17"/>
        <v>26490.78</v>
      </c>
      <c r="E400" s="2">
        <f>VLOOKUP(A400,'2.09.2021'!A$3:'2.09.2021'!I$202,5,)</f>
        <v>44208</v>
      </c>
      <c r="F400" s="2">
        <v>44448</v>
      </c>
      <c r="G400" s="23">
        <f>VLOOKUP(A400,'2.09.2021'!A$3:'2.09.2021'!I$202,7,)</f>
        <v>0.16527777777777777</v>
      </c>
      <c r="H400" t="str">
        <f>VLOOKUP(A400,'2.09.2021'!A$3:'2.09.2021'!I$202,8,)</f>
        <v>ROCK</v>
      </c>
      <c r="I400" t="str">
        <f>VLOOKUP(A400,'2.09.2021'!A$3:'2.09.2021'!I$202,9,)</f>
        <v>SUA</v>
      </c>
      <c r="J400" t="str">
        <f t="shared" si="16"/>
        <v>Nu</v>
      </c>
    </row>
    <row r="401" spans="1:10" x14ac:dyDescent="0.2">
      <c r="A401" t="s">
        <v>277</v>
      </c>
      <c r="B401" t="s">
        <v>69</v>
      </c>
      <c r="C401">
        <v>5246602</v>
      </c>
      <c r="D401" s="5">
        <f t="shared" si="17"/>
        <v>26233.01</v>
      </c>
      <c r="E401" s="2">
        <f>VLOOKUP(A401,'2.09.2021'!A$3:'2.09.2021'!I$202,5,)</f>
        <v>44248</v>
      </c>
      <c r="F401" s="2">
        <v>44448</v>
      </c>
      <c r="G401" s="23">
        <f>VLOOKUP(A401,'2.09.2021'!A$3:'2.09.2021'!I$202,7,)</f>
        <v>0.15972222222222224</v>
      </c>
      <c r="H401" t="str">
        <f>VLOOKUP(A401,'2.09.2021'!A$3:'2.09.2021'!I$202,8,)</f>
        <v>HIP-HOP/RAP</v>
      </c>
      <c r="I401" t="str">
        <f>VLOOKUP(A401,'2.09.2021'!A$3:'2.09.2021'!I$202,9,)</f>
        <v>Columbia</v>
      </c>
      <c r="J401" t="str">
        <f t="shared" si="16"/>
        <v>Nu</v>
      </c>
    </row>
    <row r="402" spans="1:10" x14ac:dyDescent="0.2">
      <c r="A402" t="s">
        <v>0</v>
      </c>
      <c r="B402" t="s">
        <v>1</v>
      </c>
      <c r="C402">
        <v>62413082</v>
      </c>
      <c r="D402" s="7">
        <f>(C402/1000*5)</f>
        <v>312065.41000000003</v>
      </c>
      <c r="E402" s="2">
        <f>VLOOKUP(A402,'2.09.2021'!A$3:'2.09.2021'!I$202,5,)</f>
        <v>44386</v>
      </c>
      <c r="F402" s="2">
        <v>44455</v>
      </c>
      <c r="G402" s="23">
        <f>VLOOKUP(A402,'2.09.2021'!A$3:'2.09.2021'!I$202,7,)</f>
        <v>9.7916666666666666E-2</v>
      </c>
      <c r="H402" t="str">
        <f>VLOOKUP(A402,'2.09.2021'!A$3:'2.09.2021'!I$202,8,)</f>
        <v>POP</v>
      </c>
      <c r="I402" t="str">
        <f>VLOOKUP(A402,'2.09.2021'!A$3:'2.09.2021'!I$202,9,)</f>
        <v>Australia</v>
      </c>
      <c r="J402" t="str">
        <f t="shared" si="16"/>
        <v>Da</v>
      </c>
    </row>
    <row r="403" spans="1:10" x14ac:dyDescent="0.2">
      <c r="A403" t="s">
        <v>436</v>
      </c>
      <c r="B403" t="s">
        <v>2</v>
      </c>
      <c r="C403">
        <v>41902868</v>
      </c>
      <c r="D403" s="7">
        <f t="shared" ref="D403:D466" si="18">(C403/1000*5)</f>
        <v>209514.34000000003</v>
      </c>
      <c r="E403" s="2">
        <f>VLOOKUP(A403,'2.09.2021'!A$3:'2.09.2021'!I$202,5,)</f>
        <v>44400</v>
      </c>
      <c r="F403" s="2">
        <v>44455</v>
      </c>
      <c r="G403" s="23">
        <f>VLOOKUP(A403,'2.09.2021'!A$3:'2.09.2021'!I$202,7,)</f>
        <v>0.14722222222222223</v>
      </c>
      <c r="H403" t="str">
        <f>VLOOKUP(A403,'2.09.2021'!A$3:'2.09.2021'!I$202,8,)</f>
        <v>HIP-HOP/RAP</v>
      </c>
      <c r="I403" t="str">
        <f>VLOOKUP(A403,'2.09.2021'!A$3:'2.09.2021'!I$202,9,)</f>
        <v>SUA</v>
      </c>
      <c r="J403" t="str">
        <f t="shared" si="16"/>
        <v>Da</v>
      </c>
    </row>
    <row r="404" spans="1:10" x14ac:dyDescent="0.2">
      <c r="A404" t="s">
        <v>9</v>
      </c>
      <c r="B404" t="s">
        <v>10</v>
      </c>
      <c r="C404">
        <v>31351285</v>
      </c>
      <c r="D404" s="7">
        <f t="shared" si="18"/>
        <v>156756.42499999999</v>
      </c>
      <c r="E404" s="2">
        <f>VLOOKUP(A404,'2.09.2021'!A$3:'2.09.2021'!I$202,5,)</f>
        <v>44358</v>
      </c>
      <c r="F404" s="2">
        <v>44455</v>
      </c>
      <c r="G404" s="23">
        <f>VLOOKUP(A404,'2.09.2021'!A$3:'2.09.2021'!I$202,7,)</f>
        <v>0.14722222222222223</v>
      </c>
      <c r="H404" t="str">
        <f>VLOOKUP(A404,'2.09.2021'!A$3:'2.09.2021'!I$202,8,)</f>
        <v>POP</v>
      </c>
      <c r="I404" t="str">
        <f>VLOOKUP(A404,'2.09.2021'!A$3:'2.09.2021'!I$202,9,)</f>
        <v>Marea Britanie</v>
      </c>
      <c r="J404" t="str">
        <f t="shared" si="16"/>
        <v>Nu</v>
      </c>
    </row>
    <row r="405" spans="1:10" x14ac:dyDescent="0.2">
      <c r="A405" t="s">
        <v>7</v>
      </c>
      <c r="B405" t="s">
        <v>8</v>
      </c>
      <c r="C405">
        <v>29676719</v>
      </c>
      <c r="D405" s="7">
        <f t="shared" si="18"/>
        <v>148383.595</v>
      </c>
      <c r="E405" s="2">
        <f>VLOOKUP(A405,'2.09.2021'!A$3:'2.09.2021'!I$202,5,)</f>
        <v>44538</v>
      </c>
      <c r="F405" s="2">
        <v>44455</v>
      </c>
      <c r="G405" s="23">
        <f>VLOOKUP(A405,'2.09.2021'!A$3:'2.09.2021'!I$202,7,)</f>
        <v>0.19930555555555554</v>
      </c>
      <c r="H405" t="str">
        <f>VLOOKUP(A405,'2.09.2021'!A$3:'2.09.2021'!I$202,8,)</f>
        <v>LATIN URBAN</v>
      </c>
      <c r="I405" t="str">
        <f>VLOOKUP(A405,'2.09.2021'!A$3:'2.09.2021'!I$202,9,)</f>
        <v>Puerto Rico</v>
      </c>
      <c r="J405" t="str">
        <f t="shared" si="16"/>
        <v>Nu</v>
      </c>
    </row>
    <row r="406" spans="1:10" x14ac:dyDescent="0.2">
      <c r="A406" t="s">
        <v>5</v>
      </c>
      <c r="B406" t="s">
        <v>6</v>
      </c>
      <c r="C406">
        <v>28688699</v>
      </c>
      <c r="D406" s="7">
        <f t="shared" si="18"/>
        <v>143443.495</v>
      </c>
      <c r="E406" s="2">
        <f>VLOOKUP(A406,'2.09.2021'!A$3:'2.09.2021'!I$202,5,)</f>
        <v>44050</v>
      </c>
      <c r="F406" s="2">
        <v>44455</v>
      </c>
      <c r="G406" s="23">
        <f>VLOOKUP(A406,'2.09.2021'!A$3:'2.09.2021'!I$202,7,)</f>
        <v>0.16527777777777777</v>
      </c>
      <c r="H406" t="str">
        <f>VLOOKUP(A406,'2.09.2021'!A$3:'2.09.2021'!I$202,8,)</f>
        <v>POP</v>
      </c>
      <c r="I406" t="str">
        <f>VLOOKUP(A406,'2.09.2021'!A$3:'2.09.2021'!I$202,9,)</f>
        <v>Marea Britanie</v>
      </c>
      <c r="J406" t="str">
        <f t="shared" si="16"/>
        <v>Nu</v>
      </c>
    </row>
    <row r="407" spans="1:10" x14ac:dyDescent="0.2">
      <c r="A407" t="s">
        <v>11</v>
      </c>
      <c r="B407" t="s">
        <v>12</v>
      </c>
      <c r="C407">
        <v>28542372</v>
      </c>
      <c r="D407" s="7">
        <f t="shared" si="18"/>
        <v>142711.85999999999</v>
      </c>
      <c r="E407" s="2">
        <f>VLOOKUP(A407,'2.09.2021'!A$3:'2.09.2021'!I$202,5,)</f>
        <v>44374</v>
      </c>
      <c r="F407" s="2">
        <v>44455</v>
      </c>
      <c r="G407" s="23">
        <f>VLOOKUP(A407,'2.09.2021'!A$3:'2.09.2021'!I$202,7,)</f>
        <v>0.10069444444444443</v>
      </c>
      <c r="H407" t="str">
        <f>VLOOKUP(A407,'2.09.2021'!A$3:'2.09.2021'!I$202,8,)</f>
        <v>POP</v>
      </c>
      <c r="I407" t="str">
        <f>VLOOKUP(A407,'2.09.2021'!A$3:'2.09.2021'!I$202,9,)</f>
        <v>SUA</v>
      </c>
      <c r="J407" t="str">
        <f t="shared" si="16"/>
        <v>Nu</v>
      </c>
    </row>
    <row r="408" spans="1:10" x14ac:dyDescent="0.2">
      <c r="A408" t="s">
        <v>15</v>
      </c>
      <c r="B408" t="s">
        <v>415</v>
      </c>
      <c r="C408">
        <v>26772173</v>
      </c>
      <c r="D408" s="7">
        <f t="shared" si="18"/>
        <v>133860.86499999999</v>
      </c>
      <c r="E408" s="2">
        <f>VLOOKUP(A408,'2.09.2021'!A$3:'2.09.2021'!I$202,5,)</f>
        <v>43077</v>
      </c>
      <c r="F408" s="2">
        <v>44455</v>
      </c>
      <c r="G408" s="23">
        <f>VLOOKUP(A408,'2.09.2021'!A$3:'2.09.2021'!I$202,7,)</f>
        <v>0.14652777777777778</v>
      </c>
      <c r="H408" t="str">
        <f>VLOOKUP(A408,'2.09.2021'!A$3:'2.09.2021'!I$202,8,)</f>
        <v>ROCK</v>
      </c>
      <c r="I408" t="str">
        <f>VLOOKUP(A408,'2.09.2021'!A$3:'2.09.2021'!I$202,9,)</f>
        <v>Italia</v>
      </c>
      <c r="J408" t="str">
        <f t="shared" si="16"/>
        <v>Nu</v>
      </c>
    </row>
    <row r="409" spans="1:10" x14ac:dyDescent="0.2">
      <c r="A409" t="s">
        <v>16</v>
      </c>
      <c r="B409" t="s">
        <v>17</v>
      </c>
      <c r="C409">
        <v>25414611</v>
      </c>
      <c r="D409" s="7">
        <f t="shared" si="18"/>
        <v>127073.05500000001</v>
      </c>
      <c r="E409" s="2">
        <f>VLOOKUP(A409,'2.09.2021'!A$3:'2.09.2021'!I$202,5,)</f>
        <v>44337</v>
      </c>
      <c r="F409" s="2">
        <v>44455</v>
      </c>
      <c r="G409" s="23">
        <f>VLOOKUP(A409,'2.09.2021'!A$3:'2.09.2021'!I$202,7,)</f>
        <v>0.12361111111111112</v>
      </c>
      <c r="H409" t="str">
        <f>VLOOKUP(A409,'2.09.2021'!A$3:'2.09.2021'!I$202,8,)</f>
        <v>POP</v>
      </c>
      <c r="I409" t="str">
        <f>VLOOKUP(A409,'2.09.2021'!A$3:'2.09.2021'!I$202,9,)</f>
        <v>SUA</v>
      </c>
      <c r="J409" t="str">
        <f t="shared" si="16"/>
        <v>Nu</v>
      </c>
    </row>
    <row r="410" spans="1:10" x14ac:dyDescent="0.2">
      <c r="A410" t="s">
        <v>30</v>
      </c>
      <c r="B410" t="s">
        <v>20</v>
      </c>
      <c r="C410">
        <v>25297983</v>
      </c>
      <c r="D410" s="7">
        <f t="shared" si="18"/>
        <v>126489.91500000001</v>
      </c>
      <c r="E410" s="2">
        <f>VLOOKUP(A410,'23.09.2021'!A$3:'23.09.2021'!I$202,5,)</f>
        <v>44460</v>
      </c>
      <c r="F410" s="2">
        <v>44455</v>
      </c>
      <c r="G410" s="23">
        <f>VLOOKUP(A410,'23.09.2021'!A$3:'23.09.2021'!I$202,7,)</f>
        <v>0.14097222222222222</v>
      </c>
      <c r="H410" t="str">
        <f>VLOOKUP(A410,'23.09.2021'!A$3:'23.09.2021'!I$202,8,)</f>
        <v>hIP-HOP/RAP</v>
      </c>
      <c r="I410" t="str">
        <f>VLOOKUP(A410,'23.09.2021'!A$3:'23.09.2021'!I$202,9,)</f>
        <v>Canada</v>
      </c>
      <c r="J410" t="str">
        <f t="shared" si="16"/>
        <v>Da</v>
      </c>
    </row>
    <row r="411" spans="1:10" x14ac:dyDescent="0.2">
      <c r="A411" t="s">
        <v>19</v>
      </c>
      <c r="B411" t="s">
        <v>20</v>
      </c>
      <c r="C411">
        <v>24928604</v>
      </c>
      <c r="D411" s="7">
        <f t="shared" si="18"/>
        <v>124643.01999999999</v>
      </c>
      <c r="E411" s="2">
        <f>VLOOKUP(A411,'23.09.2021'!A$3:'23.09.2021'!I$202,5,)</f>
        <v>44460</v>
      </c>
      <c r="F411" s="2">
        <v>44455</v>
      </c>
      <c r="G411" s="23">
        <f>VLOOKUP(A411,'23.09.2021'!A$3:'23.09.2021'!I$202,7,)</f>
        <v>5.5555555555555552E-2</v>
      </c>
      <c r="H411" t="str">
        <f>VLOOKUP(A411,'23.09.2021'!A$3:'23.09.2021'!I$202,8,)</f>
        <v>HIP-HOP/RAP</v>
      </c>
      <c r="I411" t="str">
        <f>VLOOKUP(A411,'23.09.2021'!A$3:'23.09.2021'!I$202,9,)</f>
        <v>Canada</v>
      </c>
      <c r="J411" t="str">
        <f t="shared" si="16"/>
        <v>Da</v>
      </c>
    </row>
    <row r="412" spans="1:10" x14ac:dyDescent="0.2">
      <c r="A412" t="s">
        <v>13</v>
      </c>
      <c r="B412" t="s">
        <v>10</v>
      </c>
      <c r="C412">
        <v>23729735</v>
      </c>
      <c r="D412" s="7">
        <f t="shared" si="18"/>
        <v>118648.675</v>
      </c>
      <c r="E412" s="2">
        <f>VLOOKUP(A412,'30.09.2021'!A$3:'30.09.2021'!I$202,5,)</f>
        <v>44315</v>
      </c>
      <c r="F412" s="2">
        <v>44455</v>
      </c>
      <c r="G412" s="23">
        <f>VLOOKUP(A412,'30.09.2021'!A$3:'30.09.2021'!I$202,7,)</f>
        <v>0.10555555555555556</v>
      </c>
      <c r="H412" t="str">
        <f>VLOOKUP(A412,'30.09.2021'!A$3:'30.09.2021'!I$202,8,)</f>
        <v>POP</v>
      </c>
      <c r="I412" t="str">
        <f>VLOOKUP(A412,'30.09.2021'!A$3:'30.09.2021'!I$202,9,)</f>
        <v>Marea Britanie</v>
      </c>
      <c r="J412" t="str">
        <f t="shared" si="16"/>
        <v>Nu</v>
      </c>
    </row>
    <row r="413" spans="1:10" x14ac:dyDescent="0.2">
      <c r="A413" t="s">
        <v>50</v>
      </c>
      <c r="B413" t="s">
        <v>20</v>
      </c>
      <c r="C413">
        <v>23379545</v>
      </c>
      <c r="D413" s="7">
        <f t="shared" si="18"/>
        <v>116897.72499999999</v>
      </c>
      <c r="E413" s="2">
        <f>VLOOKUP(A413,'23.09.2021'!A$3:'23.09.2021'!I$202,5,)</f>
        <v>44460</v>
      </c>
      <c r="F413" s="2">
        <v>44455</v>
      </c>
      <c r="G413" s="23">
        <f>VLOOKUP(A413,'23.09.2021'!A$3:'23.09.2021'!I$202,7,)</f>
        <v>8.5416666666666655E-2</v>
      </c>
      <c r="H413" t="str">
        <f>VLOOKUP(A413,'23.09.2021'!A$3:'23.09.2021'!I$202,8,)</f>
        <v>hIP-HOP/RAP</v>
      </c>
      <c r="I413" t="str">
        <f>VLOOKUP(A413,'23.09.2021'!A$3:'23.09.2021'!I$202,9,)</f>
        <v>Canada</v>
      </c>
      <c r="J413" t="str">
        <f t="shared" si="16"/>
        <v>Da</v>
      </c>
    </row>
    <row r="414" spans="1:10" x14ac:dyDescent="0.2">
      <c r="A414" t="s">
        <v>21</v>
      </c>
      <c r="B414" t="s">
        <v>12</v>
      </c>
      <c r="C414">
        <v>23196486</v>
      </c>
      <c r="D414" s="7">
        <f t="shared" si="18"/>
        <v>115982.43000000001</v>
      </c>
      <c r="E414" s="2">
        <f>VLOOKUP(A414,'2.09.2021'!A$3:'2.09.2021'!I$202,5,)</f>
        <v>44371</v>
      </c>
      <c r="F414" s="2">
        <v>44455</v>
      </c>
      <c r="G414" s="23">
        <f>VLOOKUP(A414,'2.09.2021'!A$3:'2.09.2021'!I$202,7,)</f>
        <v>0.14583333333333334</v>
      </c>
      <c r="H414" t="str">
        <f>VLOOKUP(A414,'2.09.2021'!A$3:'2.09.2021'!I$202,8,)</f>
        <v>POP</v>
      </c>
      <c r="I414" t="str">
        <f>VLOOKUP(A414,'2.09.2021'!A$3:'2.09.2021'!I$202,9,)</f>
        <v>SUA</v>
      </c>
      <c r="J414" t="str">
        <f t="shared" si="16"/>
        <v>Nu</v>
      </c>
    </row>
    <row r="415" spans="1:10" x14ac:dyDescent="0.2">
      <c r="A415" t="s">
        <v>18</v>
      </c>
      <c r="B415" t="s">
        <v>2</v>
      </c>
      <c r="C415">
        <v>20710480</v>
      </c>
      <c r="D415" s="7">
        <f t="shared" si="18"/>
        <v>103552.4</v>
      </c>
      <c r="E415" s="2">
        <f>VLOOKUP(A415,'2.09.2021'!A$3:'2.09.2021'!I$202,5,)</f>
        <v>44456</v>
      </c>
      <c r="F415" s="2">
        <v>44455</v>
      </c>
      <c r="G415" s="23">
        <f>VLOOKUP(A415,'2.09.2021'!A$3:'2.09.2021'!I$202,7,)</f>
        <v>9.5138888888888884E-2</v>
      </c>
      <c r="H415" t="str">
        <f>VLOOKUP(A415,'2.09.2021'!A$3:'2.09.2021'!I$202,8,)</f>
        <v>POP</v>
      </c>
      <c r="I415" t="str">
        <f>VLOOKUP(A415,'2.09.2021'!A$3:'2.09.2021'!I$202,9,)</f>
        <v>SUA</v>
      </c>
      <c r="J415" t="str">
        <f t="shared" si="16"/>
        <v>Nu</v>
      </c>
    </row>
    <row r="416" spans="1:10" x14ac:dyDescent="0.2">
      <c r="A416" t="s">
        <v>437</v>
      </c>
      <c r="B416" t="s">
        <v>12</v>
      </c>
      <c r="C416">
        <v>20170105</v>
      </c>
      <c r="D416" s="7">
        <f t="shared" si="18"/>
        <v>100850.52499999999</v>
      </c>
      <c r="E416" s="2">
        <f>VLOOKUP(A416,'2.09.2021'!A$3:'2.09.2021'!I$202,5,)</f>
        <v>44295</v>
      </c>
      <c r="F416" s="2">
        <v>44455</v>
      </c>
      <c r="G416" s="23">
        <f>VLOOKUP(A416,'2.09.2021'!A$3:'2.09.2021'!I$202,7,)</f>
        <v>0.14444444444444446</v>
      </c>
      <c r="H416" t="str">
        <f>VLOOKUP(A416,'2.09.2021'!A$3:'2.09.2021'!I$202,8,)</f>
        <v>POP</v>
      </c>
      <c r="I416" t="str">
        <f>VLOOKUP(A416,'2.09.2021'!A$3:'2.09.2021'!I$202,9,)</f>
        <v>SUA</v>
      </c>
      <c r="J416" t="str">
        <f t="shared" si="16"/>
        <v>Da</v>
      </c>
    </row>
    <row r="417" spans="1:10" x14ac:dyDescent="0.2">
      <c r="A417" t="s">
        <v>22</v>
      </c>
      <c r="B417" t="s">
        <v>23</v>
      </c>
      <c r="C417">
        <v>19664713</v>
      </c>
      <c r="D417" s="7">
        <f t="shared" si="18"/>
        <v>98323.565000000002</v>
      </c>
      <c r="E417" s="2">
        <f>VLOOKUP(A417,'2.09.2021'!A$3:'2.09.2021'!I$202,5,)</f>
        <v>44407</v>
      </c>
      <c r="F417" s="2">
        <v>44455</v>
      </c>
      <c r="G417" s="23">
        <f>VLOOKUP(A417,'2.09.2021'!A$3:'2.09.2021'!I$202,7,)</f>
        <v>0.20694444444444446</v>
      </c>
      <c r="H417" t="str">
        <f>VLOOKUP(A417,'2.09.2021'!A$3:'2.09.2021'!I$202,8,)</f>
        <v>ALTERNATIVE</v>
      </c>
      <c r="I417" t="str">
        <f>VLOOKUP(A417,'2.09.2021'!A$3:'2.09.2021'!I$202,9,)</f>
        <v>SUA</v>
      </c>
      <c r="J417" t="str">
        <f t="shared" si="16"/>
        <v>Nu</v>
      </c>
    </row>
    <row r="418" spans="1:10" x14ac:dyDescent="0.2">
      <c r="A418" t="s">
        <v>51</v>
      </c>
      <c r="B418" t="s">
        <v>52</v>
      </c>
      <c r="C418">
        <v>19370230</v>
      </c>
      <c r="D418" s="7">
        <f t="shared" si="18"/>
        <v>96851.15</v>
      </c>
      <c r="E418" s="2">
        <f>VLOOKUP(A418,'2.09.2021'!A$3:'2.09.2021'!I$202,5,)</f>
        <v>44416</v>
      </c>
      <c r="F418" s="2">
        <v>44455</v>
      </c>
      <c r="G418" s="23">
        <f>VLOOKUP(A418,'2.09.2021'!A$3:'2.09.2021'!I$202,7,)</f>
        <v>0.16874999999999998</v>
      </c>
      <c r="H418" t="str">
        <f>VLOOKUP(A418,'2.09.2021'!A$3:'2.09.2021'!I$202,8,)</f>
        <v>HIP-HOP/RAP</v>
      </c>
      <c r="I418" t="str">
        <f>VLOOKUP(A418,'2.09.2021'!A$3:'2.09.2021'!I$202,9,)</f>
        <v>SUA</v>
      </c>
      <c r="J418" t="str">
        <f t="shared" si="16"/>
        <v>Nu</v>
      </c>
    </row>
    <row r="419" spans="1:10" x14ac:dyDescent="0.2">
      <c r="A419" t="s">
        <v>39</v>
      </c>
      <c r="B419" t="s">
        <v>40</v>
      </c>
      <c r="C419">
        <v>18455241</v>
      </c>
      <c r="D419" s="7">
        <f t="shared" si="18"/>
        <v>92276.205000000016</v>
      </c>
      <c r="E419" s="2">
        <f>VLOOKUP(A419,'30.09.2021'!A$3:'30.09.2021'!I$202,5,)</f>
        <v>44257</v>
      </c>
      <c r="F419" s="2">
        <v>44455</v>
      </c>
      <c r="G419" s="23">
        <f>VLOOKUP(A419,'30.09.2021'!A$3:'30.09.2021'!I$202,7,)</f>
        <v>0.1388888888888889</v>
      </c>
      <c r="H419" t="str">
        <f>VLOOKUP(A419,'30.09.2021'!A$3:'30.09.2021'!I$202,8,)</f>
        <v>HIP-HOP/RAP</v>
      </c>
      <c r="I419" t="str">
        <f>VLOOKUP(A419,'30.09.2021'!A$3:'30.09.2021'!I$202,9,)</f>
        <v>Tailanda</v>
      </c>
      <c r="J419" t="str">
        <f t="shared" si="16"/>
        <v>Nu</v>
      </c>
    </row>
    <row r="420" spans="1:10" x14ac:dyDescent="0.2">
      <c r="A420" t="s">
        <v>35</v>
      </c>
      <c r="B420" t="s">
        <v>20</v>
      </c>
      <c r="C420">
        <v>18375341</v>
      </c>
      <c r="D420" s="7">
        <f t="shared" si="18"/>
        <v>91876.705000000002</v>
      </c>
      <c r="E420" s="2">
        <f>VLOOKUP(A420,'23.09.2021'!A$3:'23.09.2021'!I$202,5,)</f>
        <v>44460</v>
      </c>
      <c r="F420" s="2">
        <v>44455</v>
      </c>
      <c r="G420" s="23">
        <f>VLOOKUP(A420,'23.09.2021'!A$3:'23.09.2021'!I$202,7,)</f>
        <v>0.1673611111111111</v>
      </c>
      <c r="H420" t="str">
        <f>VLOOKUP(A420,'23.09.2021'!A$3:'23.09.2021'!I$202,8,)</f>
        <v>HIP-HOP/RAP</v>
      </c>
      <c r="I420" t="str">
        <f>VLOOKUP(A420,'23.09.2021'!A$3:'23.09.2021'!I$202,9,)</f>
        <v>Canada</v>
      </c>
      <c r="J420" t="str">
        <f t="shared" si="16"/>
        <v>Da</v>
      </c>
    </row>
    <row r="421" spans="1:10" x14ac:dyDescent="0.2">
      <c r="A421" t="s">
        <v>33</v>
      </c>
      <c r="B421" t="s">
        <v>34</v>
      </c>
      <c r="C421">
        <v>18022876</v>
      </c>
      <c r="D421" s="7">
        <f t="shared" si="18"/>
        <v>90114.38</v>
      </c>
      <c r="E421" s="2">
        <f>VLOOKUP(A421,'2.09.2021'!A$3:'2.09.2021'!I$202,5,)</f>
        <v>44338</v>
      </c>
      <c r="F421" s="2">
        <v>44455</v>
      </c>
      <c r="G421" s="23">
        <f>VLOOKUP(A421,'2.09.2021'!A$3:'2.09.2021'!I$202,7,)</f>
        <v>0.13819444444444443</v>
      </c>
      <c r="H421" t="str">
        <f>VLOOKUP(A421,'2.09.2021'!A$3:'2.09.2021'!I$202,8,)</f>
        <v>LATIN URBAN</v>
      </c>
      <c r="I421" t="str">
        <f>VLOOKUP(A421,'2.09.2021'!A$3:'2.09.2021'!I$202,9,)</f>
        <v>Puerto Rico</v>
      </c>
      <c r="J421" t="str">
        <f t="shared" si="16"/>
        <v>Nu</v>
      </c>
    </row>
    <row r="422" spans="1:10" x14ac:dyDescent="0.2">
      <c r="A422" t="s">
        <v>31</v>
      </c>
      <c r="B422" t="s">
        <v>32</v>
      </c>
      <c r="C422">
        <v>17195763</v>
      </c>
      <c r="D422" s="7">
        <f t="shared" si="18"/>
        <v>85978.815000000002</v>
      </c>
      <c r="E422" s="2">
        <f>VLOOKUP(A422,'2.09.2021'!A$3:'2.09.2021'!I$202,5,)</f>
        <v>44351</v>
      </c>
      <c r="F422" s="2">
        <v>44455</v>
      </c>
      <c r="G422" s="23">
        <f>VLOOKUP(A422,'2.09.2021'!A$3:'2.09.2021'!I$202,7,)</f>
        <v>0.14305555555555557</v>
      </c>
      <c r="H422" t="str">
        <f>VLOOKUP(A422,'2.09.2021'!A$3:'2.09.2021'!I$202,8,)</f>
        <v>LATIN URBAN</v>
      </c>
      <c r="I422" t="str">
        <f>VLOOKUP(A422,'2.09.2021'!A$3:'2.09.2021'!I$202,9,)</f>
        <v>Puerto Rico</v>
      </c>
      <c r="J422" t="str">
        <f t="shared" si="16"/>
        <v>Nu</v>
      </c>
    </row>
    <row r="423" spans="1:10" x14ac:dyDescent="0.2">
      <c r="A423" t="s">
        <v>414</v>
      </c>
      <c r="B423" t="s">
        <v>36</v>
      </c>
      <c r="C423">
        <v>16342344</v>
      </c>
      <c r="D423" s="7">
        <f t="shared" si="18"/>
        <v>81711.72</v>
      </c>
      <c r="E423" s="2">
        <f>VLOOKUP(A423,'2.09.2021'!A$3:'2.09.2021'!I$202,5,)</f>
        <v>44411</v>
      </c>
      <c r="F423" s="2">
        <v>44455</v>
      </c>
      <c r="G423" s="23">
        <f>VLOOKUP(A423,'2.09.2021'!A$3:'2.09.2021'!I$202,7,)</f>
        <v>0.15972222222222224</v>
      </c>
      <c r="H423" t="str">
        <f>VLOOKUP(A423,'2.09.2021'!A$3:'2.09.2021'!I$202,8,)</f>
        <v>LATIN URBAN</v>
      </c>
      <c r="I423" t="str">
        <f>VLOOKUP(A423,'2.09.2021'!A$3:'2.09.2021'!I$202,9,)</f>
        <v>Republica Dominicană</v>
      </c>
      <c r="J423" t="str">
        <f t="shared" si="16"/>
        <v>Nu</v>
      </c>
    </row>
    <row r="424" spans="1:10" x14ac:dyDescent="0.2">
      <c r="A424" t="s">
        <v>41</v>
      </c>
      <c r="B424" t="s">
        <v>42</v>
      </c>
      <c r="C424">
        <v>15971386</v>
      </c>
      <c r="D424" s="7">
        <f t="shared" si="18"/>
        <v>79856.930000000008</v>
      </c>
      <c r="E424" s="2">
        <f>VLOOKUP(A424,'2.09.2021'!A$3:'2.09.2021'!I$202,5,)</f>
        <v>44379</v>
      </c>
      <c r="F424" s="2">
        <v>44455</v>
      </c>
      <c r="G424" s="23">
        <f>VLOOKUP(A424,'2.09.2021'!A$3:'2.09.2021'!I$202,7,)</f>
        <v>9.0277777777777776E-2</v>
      </c>
      <c r="H424" t="str">
        <f>VLOOKUP(A424,'2.09.2021'!A$3:'2.09.2021'!I$202,8,)</f>
        <v>LATIN URBAN</v>
      </c>
      <c r="I424" t="str">
        <f>VLOOKUP(A424,'2.09.2021'!A$3:'2.09.2021'!I$202,9,)</f>
        <v>Columbia</v>
      </c>
      <c r="J424" t="str">
        <f t="shared" si="16"/>
        <v>Nu</v>
      </c>
    </row>
    <row r="425" spans="1:10" x14ac:dyDescent="0.2">
      <c r="A425" t="s">
        <v>417</v>
      </c>
      <c r="B425" t="s">
        <v>42</v>
      </c>
      <c r="C425">
        <v>15384428</v>
      </c>
      <c r="D425" s="7">
        <f t="shared" si="18"/>
        <v>76922.14</v>
      </c>
      <c r="E425" s="2">
        <f>VLOOKUP(A425,'2.09.2021'!A$3:'2.09.2021'!I$202,5,)</f>
        <v>44344</v>
      </c>
      <c r="F425" s="2">
        <v>44455</v>
      </c>
      <c r="G425" s="23">
        <f>VLOOKUP(A425,'2.09.2021'!A$3:'2.09.2021'!I$202,7,)</f>
        <v>0.15069444444444444</v>
      </c>
      <c r="H425" t="str">
        <f>VLOOKUP(A425,'2.09.2021'!A$3:'2.09.2021'!I$202,8,)</f>
        <v>LATIN URBAN</v>
      </c>
      <c r="I425" t="str">
        <f>VLOOKUP(A425,'2.09.2021'!A$3:'2.09.2021'!I$202,9,)</f>
        <v>Columbia</v>
      </c>
      <c r="J425" t="str">
        <f t="shared" si="16"/>
        <v>Nu</v>
      </c>
    </row>
    <row r="426" spans="1:10" x14ac:dyDescent="0.2">
      <c r="A426" t="s">
        <v>439</v>
      </c>
      <c r="B426" t="s">
        <v>38</v>
      </c>
      <c r="C426">
        <v>15279109</v>
      </c>
      <c r="D426" s="7">
        <f t="shared" si="18"/>
        <v>76395.544999999998</v>
      </c>
      <c r="E426" s="2">
        <f>VLOOKUP(A426,'2.09.2021'!A$3:'2.09.2021'!I$202,5,)</f>
        <v>43917</v>
      </c>
      <c r="F426" s="2">
        <v>44455</v>
      </c>
      <c r="G426" s="23">
        <f>VLOOKUP(A426,'2.09.2021'!A$3:'2.09.2021'!I$202,7,)</f>
        <v>0.14097222222222222</v>
      </c>
      <c r="H426" t="str">
        <f>VLOOKUP(A426,'2.09.2021'!A$3:'2.09.2021'!I$202,8,)</f>
        <v>POP</v>
      </c>
      <c r="I426" t="str">
        <f>VLOOKUP(A426,'2.09.2021'!A$3:'2.09.2021'!I$202,9,)</f>
        <v>Marea Britanie</v>
      </c>
      <c r="J426" t="str">
        <f t="shared" si="16"/>
        <v>Da</v>
      </c>
    </row>
    <row r="427" spans="1:10" x14ac:dyDescent="0.2">
      <c r="A427" t="s">
        <v>37</v>
      </c>
      <c r="B427" t="s">
        <v>17</v>
      </c>
      <c r="C427">
        <v>14922433</v>
      </c>
      <c r="D427" s="7">
        <f t="shared" si="18"/>
        <v>74612.165000000008</v>
      </c>
      <c r="E427" s="2">
        <f>VLOOKUP(A427,'2.09.2021'!A$3:'2.09.2021'!I$202,5,)</f>
        <v>44337</v>
      </c>
      <c r="F427" s="2">
        <v>44455</v>
      </c>
      <c r="G427" s="23">
        <f>VLOOKUP(A427,'2.09.2021'!A$3:'2.09.2021'!I$202,7,)</f>
        <v>0.15902777777777777</v>
      </c>
      <c r="H427" t="str">
        <f>VLOOKUP(A427,'2.09.2021'!A$3:'2.09.2021'!I$202,8,)</f>
        <v>POP</v>
      </c>
      <c r="I427" t="str">
        <f>VLOOKUP(A427,'2.09.2021'!A$3:'2.09.2021'!I$202,9,)</f>
        <v>SUA</v>
      </c>
      <c r="J427" t="str">
        <f t="shared" si="16"/>
        <v>Nu</v>
      </c>
    </row>
    <row r="428" spans="1:10" x14ac:dyDescent="0.2">
      <c r="A428" t="s">
        <v>26</v>
      </c>
      <c r="B428" t="s">
        <v>27</v>
      </c>
      <c r="C428">
        <v>14689417</v>
      </c>
      <c r="D428" s="7">
        <f t="shared" si="18"/>
        <v>73447.084999999992</v>
      </c>
      <c r="E428" s="2">
        <f>VLOOKUP(A428,'2.09.2021'!A$3:'2.09.2021'!I$202,5,)</f>
        <v>44421</v>
      </c>
      <c r="F428" s="2">
        <v>44455</v>
      </c>
      <c r="G428" s="23">
        <f>VLOOKUP(A428,'2.09.2021'!A$3:'2.09.2021'!I$202,7,)</f>
        <v>0.14027777777777778</v>
      </c>
      <c r="H428" t="str">
        <f>VLOOKUP(A428,'2.09.2021'!A$3:'2.09.2021'!I$202,8,)</f>
        <v>POP</v>
      </c>
      <c r="I428" t="str">
        <f>VLOOKUP(A428,'2.09.2021'!A$3:'2.09.2021'!I$202,9,)</f>
        <v>Marea Britanie</v>
      </c>
      <c r="J428" t="str">
        <f t="shared" si="16"/>
        <v>Nu</v>
      </c>
    </row>
    <row r="429" spans="1:10" x14ac:dyDescent="0.2">
      <c r="A429" t="s">
        <v>440</v>
      </c>
      <c r="B429" t="s">
        <v>43</v>
      </c>
      <c r="C429">
        <v>14439357</v>
      </c>
      <c r="D429" s="7">
        <f t="shared" si="18"/>
        <v>72196.785000000003</v>
      </c>
      <c r="E429" s="2">
        <f>VLOOKUP(A429,'2.09.2021'!A$3:'2.09.2021'!I$202,5,)</f>
        <v>44274</v>
      </c>
      <c r="F429" s="2">
        <v>44455</v>
      </c>
      <c r="G429" s="23">
        <f>VLOOKUP(A429,'2.09.2021'!A$3:'2.09.2021'!I$202,7,)</f>
        <v>0.13749999999999998</v>
      </c>
      <c r="H429" t="str">
        <f>VLOOKUP(A429,'2.09.2021'!A$3:'2.09.2021'!I$202,8,)</f>
        <v>POP</v>
      </c>
      <c r="I429" t="str">
        <f>VLOOKUP(A429,'2.09.2021'!A$3:'2.09.2021'!I$202,9,)</f>
        <v>Canada</v>
      </c>
      <c r="J429" t="str">
        <f t="shared" si="16"/>
        <v>Da</v>
      </c>
    </row>
    <row r="430" spans="1:10" x14ac:dyDescent="0.2">
      <c r="A430" t="s">
        <v>45</v>
      </c>
      <c r="B430" t="s">
        <v>46</v>
      </c>
      <c r="C430">
        <v>14287625</v>
      </c>
      <c r="D430" s="7">
        <f t="shared" si="18"/>
        <v>71438.125</v>
      </c>
      <c r="E430" s="2">
        <f>VLOOKUP(A430,'2.09.2021'!A$3:'2.09.2021'!I$202,5,)</f>
        <v>44414</v>
      </c>
      <c r="F430" s="2">
        <v>44455</v>
      </c>
      <c r="G430" s="23">
        <f>VLOOKUP(A430,'2.09.2021'!A$3:'2.09.2021'!I$202,7,)</f>
        <v>0.15277777777777776</v>
      </c>
      <c r="H430" t="str">
        <f>VLOOKUP(A430,'2.09.2021'!A$3:'2.09.2021'!I$202,8,)</f>
        <v>R&amp;B/SOUL</v>
      </c>
      <c r="I430" t="str">
        <f>VLOOKUP(A430,'2.09.2021'!A$3:'2.09.2021'!I$202,9,)</f>
        <v>Canada</v>
      </c>
      <c r="J430" t="str">
        <f t="shared" si="16"/>
        <v>Nu</v>
      </c>
    </row>
    <row r="431" spans="1:10" x14ac:dyDescent="0.2">
      <c r="A431" t="s">
        <v>79</v>
      </c>
      <c r="B431" t="s">
        <v>80</v>
      </c>
      <c r="C431">
        <v>14079036</v>
      </c>
      <c r="D431" s="7">
        <f t="shared" si="18"/>
        <v>70395.179999999993</v>
      </c>
      <c r="E431" s="2">
        <f>VLOOKUP(A431,'2.09.2021'!A$3:'2.09.2021'!I$202,5,)</f>
        <v>44435</v>
      </c>
      <c r="F431" s="2">
        <v>44455</v>
      </c>
      <c r="G431" s="23">
        <f>VLOOKUP(A431,'2.09.2021'!A$3:'2.09.2021'!I$202,7,)</f>
        <v>0.17500000000000002</v>
      </c>
      <c r="H431" t="str">
        <f>VLOOKUP(A431,'2.09.2021'!A$3:'2.09.2021'!I$202,8,)</f>
        <v>HIP-HOP/RAP</v>
      </c>
      <c r="I431" t="str">
        <f>VLOOKUP(A431,'2.09.2021'!A$3:'2.09.2021'!I$202,9,)</f>
        <v>SUA</v>
      </c>
      <c r="J431" t="str">
        <f t="shared" si="16"/>
        <v>Da</v>
      </c>
    </row>
    <row r="432" spans="1:10" x14ac:dyDescent="0.2">
      <c r="A432" t="s">
        <v>53</v>
      </c>
      <c r="B432" t="s">
        <v>415</v>
      </c>
      <c r="C432">
        <v>14073872</v>
      </c>
      <c r="D432" s="7">
        <f t="shared" si="18"/>
        <v>70369.36</v>
      </c>
      <c r="E432" s="2">
        <f>VLOOKUP(A432,'2.09.2021'!A$3:'2.09.2021'!I$202,5,)</f>
        <v>44274</v>
      </c>
      <c r="F432" s="2">
        <v>44455</v>
      </c>
      <c r="G432" s="23">
        <f>VLOOKUP(A432,'2.09.2021'!A$3:'2.09.2021'!I$202,7,)</f>
        <v>0.12013888888888889</v>
      </c>
      <c r="H432" t="str">
        <f>VLOOKUP(A432,'2.09.2021'!A$3:'2.09.2021'!I$202,8,)</f>
        <v>ROCK</v>
      </c>
      <c r="I432" t="str">
        <f>VLOOKUP(A432,'2.09.2021'!A$3:'2.09.2021'!I$202,9,)</f>
        <v>Italia</v>
      </c>
      <c r="J432" t="str">
        <f t="shared" si="16"/>
        <v>Nu</v>
      </c>
    </row>
    <row r="433" spans="1:10" x14ac:dyDescent="0.2">
      <c r="A433" t="s">
        <v>28</v>
      </c>
      <c r="B433" t="s">
        <v>29</v>
      </c>
      <c r="C433">
        <v>13828796</v>
      </c>
      <c r="D433" s="7">
        <f t="shared" si="18"/>
        <v>69143.98</v>
      </c>
      <c r="E433" s="2">
        <f>VLOOKUP(A433,'23.09.2021'!A$3:'23.09.2021'!I$202,5,)</f>
        <v>44460</v>
      </c>
      <c r="F433" s="2">
        <v>44455</v>
      </c>
      <c r="G433" s="23">
        <f>VLOOKUP(A433,'23.09.2021'!A$3:'23.09.2021'!I$202,7,)</f>
        <v>0.13958333333333334</v>
      </c>
      <c r="H433" t="str">
        <f>VLOOKUP(A433,'23.09.2021'!A$3:'23.09.2021'!I$202,8,)</f>
        <v>POP</v>
      </c>
      <c r="I433" t="str">
        <f>VLOOKUP(A433,'23.09.2021'!A$3:'23.09.2021'!I$202,9,)</f>
        <v>SUA</v>
      </c>
      <c r="J433" t="str">
        <f t="shared" si="16"/>
        <v>Nu</v>
      </c>
    </row>
    <row r="434" spans="1:10" x14ac:dyDescent="0.2">
      <c r="A434" t="s">
        <v>143</v>
      </c>
      <c r="B434" t="s">
        <v>20</v>
      </c>
      <c r="C434">
        <v>13239717</v>
      </c>
      <c r="D434" s="7">
        <f t="shared" si="18"/>
        <v>66198.585000000006</v>
      </c>
      <c r="E434" s="2">
        <f>VLOOKUP(A434,'23.09.2021'!A$3:'23.09.2021'!I$202,5,)</f>
        <v>44460</v>
      </c>
      <c r="F434" s="2">
        <v>44455</v>
      </c>
      <c r="G434" s="23">
        <f>VLOOKUP(A434,'23.09.2021'!A$3:'23.09.2021'!I$202,7,)</f>
        <v>0.16388888888888889</v>
      </c>
      <c r="H434" t="str">
        <f>VLOOKUP(A434,'23.09.2021'!A$3:'23.09.2021'!I$202,8,)</f>
        <v>HIP-HOP/RAP</v>
      </c>
      <c r="I434" t="str">
        <f>VLOOKUP(A434,'23.09.2021'!A$3:'23.09.2021'!I$202,9,)</f>
        <v>Canada</v>
      </c>
      <c r="J434" t="str">
        <f t="shared" si="16"/>
        <v>Nu</v>
      </c>
    </row>
    <row r="435" spans="1:10" x14ac:dyDescent="0.2">
      <c r="A435" t="s">
        <v>49</v>
      </c>
      <c r="B435" t="s">
        <v>46</v>
      </c>
      <c r="C435">
        <v>13064129</v>
      </c>
      <c r="D435" s="7">
        <f t="shared" si="18"/>
        <v>65320.645000000004</v>
      </c>
      <c r="E435" s="2">
        <f>VLOOKUP(A435,'2.09.2021'!A$3:'2.09.2021'!I$202,5,)</f>
        <v>43798</v>
      </c>
      <c r="F435" s="2">
        <v>44455</v>
      </c>
      <c r="G435" s="23">
        <f>VLOOKUP(A435,'2.09.2021'!A$3:'2.09.2021'!I$202,7,)</f>
        <v>0.13958333333333334</v>
      </c>
      <c r="H435" t="str">
        <f>VLOOKUP(A435,'2.09.2021'!A$3:'2.09.2021'!I$202,8,)</f>
        <v>R&amp;B/SOUL</v>
      </c>
      <c r="I435" t="str">
        <f>VLOOKUP(A435,'2.09.2021'!A$3:'2.09.2021'!I$202,9,)</f>
        <v>Canada</v>
      </c>
      <c r="J435" t="str">
        <f t="shared" si="16"/>
        <v>Nu</v>
      </c>
    </row>
    <row r="436" spans="1:10" x14ac:dyDescent="0.2">
      <c r="A436" t="s">
        <v>56</v>
      </c>
      <c r="B436" t="s">
        <v>46</v>
      </c>
      <c r="C436">
        <v>12574176</v>
      </c>
      <c r="D436" s="7">
        <f t="shared" si="18"/>
        <v>62870.879999999997</v>
      </c>
      <c r="E436" s="2">
        <f>VLOOKUP(A436,'2.09.2021'!A$3:'2.09.2021'!I$202,5,)</f>
        <v>43910</v>
      </c>
      <c r="F436" s="2">
        <v>44455</v>
      </c>
      <c r="G436" s="23">
        <f>VLOOKUP(A436,'2.09.2021'!A$3:'2.09.2021'!I$202,7,)</f>
        <v>0.14930555555555555</v>
      </c>
      <c r="H436" t="str">
        <f>VLOOKUP(A436,'2.09.2021'!A$3:'2.09.2021'!I$202,8,)</f>
        <v>R&amp;B/SOUL</v>
      </c>
      <c r="I436" t="str">
        <f>VLOOKUP(A436,'2.09.2021'!A$3:'2.09.2021'!I$202,9,)</f>
        <v>Canada</v>
      </c>
      <c r="J436" t="str">
        <f t="shared" si="16"/>
        <v>Da</v>
      </c>
    </row>
    <row r="437" spans="1:10" x14ac:dyDescent="0.2">
      <c r="A437" t="s">
        <v>65</v>
      </c>
      <c r="B437" t="s">
        <v>12</v>
      </c>
      <c r="C437">
        <v>12006248</v>
      </c>
      <c r="D437" s="7">
        <f t="shared" si="18"/>
        <v>60031.24</v>
      </c>
      <c r="E437" s="2">
        <f>VLOOKUP(A437,'2.09.2021'!A$3:'2.09.2021'!I$202,5,)</f>
        <v>44372</v>
      </c>
      <c r="F437" s="2">
        <v>44455</v>
      </c>
      <c r="G437" s="23">
        <f>VLOOKUP(A437,'2.09.2021'!A$3:'2.09.2021'!I$202,7,)</f>
        <v>9.5833333333333326E-2</v>
      </c>
      <c r="H437" t="str">
        <f>VLOOKUP(A437,'2.09.2021'!A$3:'2.09.2021'!I$202,8,)</f>
        <v>POP</v>
      </c>
      <c r="I437" t="str">
        <f>VLOOKUP(A437,'2.09.2021'!A$3:'2.09.2021'!I$202,9,)</f>
        <v>SUA</v>
      </c>
      <c r="J437" t="str">
        <f t="shared" si="16"/>
        <v>Nu</v>
      </c>
    </row>
    <row r="438" spans="1:10" x14ac:dyDescent="0.2">
      <c r="A438" t="s">
        <v>77</v>
      </c>
      <c r="B438" t="s">
        <v>78</v>
      </c>
      <c r="C438">
        <v>11940428</v>
      </c>
      <c r="D438" s="7">
        <f t="shared" si="18"/>
        <v>59702.14</v>
      </c>
      <c r="E438" s="2">
        <f>VLOOKUP(A438,'23.09.2021'!A$3:'23.09.2021'!I$202,5,)</f>
        <v>44460</v>
      </c>
      <c r="F438" s="2">
        <v>44455</v>
      </c>
      <c r="G438" s="23">
        <f>VLOOKUP(A438,'23.09.2021'!A$3:'23.09.2021'!I$202,7,)</f>
        <v>0.13125000000000001</v>
      </c>
      <c r="H438" t="str">
        <f>VLOOKUP(A438,'23.09.2021'!A$3:'23.09.2021'!I$202,8,)</f>
        <v>ALTERNATIVE</v>
      </c>
      <c r="I438" t="str">
        <f>VLOOKUP(A438,'23.09.2021'!A$3:'23.09.2021'!I$202,9,)</f>
        <v>Panama</v>
      </c>
      <c r="J438" t="str">
        <f t="shared" si="16"/>
        <v>Nu</v>
      </c>
    </row>
    <row r="439" spans="1:10" x14ac:dyDescent="0.2">
      <c r="A439">
        <v>2055</v>
      </c>
      <c r="B439" t="s">
        <v>60</v>
      </c>
      <c r="C439">
        <v>11928780</v>
      </c>
      <c r="D439" s="7">
        <f t="shared" si="18"/>
        <v>59643.9</v>
      </c>
      <c r="E439" s="2">
        <f>VLOOKUP(A439,'2.09.2021'!A$3:'2.09.2021'!I$202,5,)</f>
        <v>44300</v>
      </c>
      <c r="F439" s="2">
        <v>44455</v>
      </c>
      <c r="G439" s="23">
        <f>VLOOKUP(A439,'2.09.2021'!A$3:'2.09.2021'!I$202,7,)</f>
        <v>8.5416666666666655E-2</v>
      </c>
      <c r="H439" t="str">
        <f>VLOOKUP(A439,'2.09.2021'!A$3:'2.09.2021'!I$202,8,)</f>
        <v>HIP-HOP/RAP</v>
      </c>
      <c r="I439" t="str">
        <f>VLOOKUP(A439,'2.09.2021'!A$3:'2.09.2021'!I$202,9,)</f>
        <v>Jamaica</v>
      </c>
      <c r="J439" t="str">
        <f t="shared" si="16"/>
        <v>Nu</v>
      </c>
    </row>
    <row r="440" spans="1:10" x14ac:dyDescent="0.2">
      <c r="A440" t="s">
        <v>57</v>
      </c>
      <c r="B440" t="s">
        <v>17</v>
      </c>
      <c r="C440">
        <v>11772296</v>
      </c>
      <c r="D440" s="7">
        <f t="shared" si="18"/>
        <v>58861.48</v>
      </c>
      <c r="E440" s="2">
        <f>VLOOKUP(A440,'2.09.2021'!A$3:'2.09.2021'!I$202,5,)</f>
        <v>44204</v>
      </c>
      <c r="F440" s="2">
        <v>44455</v>
      </c>
      <c r="G440" s="23">
        <f>VLOOKUP(A440,'2.09.2021'!A$3:'2.09.2021'!I$202,7,)</f>
        <v>0.16805555555555554</v>
      </c>
      <c r="H440" t="str">
        <f>VLOOKUP(A440,'2.09.2021'!A$3:'2.09.2021'!I$202,8,)</f>
        <v>POP</v>
      </c>
      <c r="I440" t="str">
        <f>VLOOKUP(A440,'2.09.2021'!A$3:'2.09.2021'!I$202,9,)</f>
        <v>SUA</v>
      </c>
      <c r="J440" t="str">
        <f t="shared" si="16"/>
        <v>Nu</v>
      </c>
    </row>
    <row r="441" spans="1:10" x14ac:dyDescent="0.2">
      <c r="A441" t="s">
        <v>72</v>
      </c>
      <c r="B441" t="s">
        <v>73</v>
      </c>
      <c r="C441">
        <v>11318170</v>
      </c>
      <c r="D441" s="7">
        <f t="shared" si="18"/>
        <v>56590.85</v>
      </c>
      <c r="E441" s="2">
        <f>VLOOKUP(A441,'2.09.2021'!A$3:'2.09.2021'!I$202,5,)</f>
        <v>44385</v>
      </c>
      <c r="F441" s="2">
        <v>44455</v>
      </c>
      <c r="G441" s="23">
        <f>VLOOKUP(A441,'2.09.2021'!A$3:'2.09.2021'!I$202,7,)</f>
        <v>0.18958333333333333</v>
      </c>
      <c r="H441" t="str">
        <f>VLOOKUP(A441,'2.09.2021'!A$3:'2.09.2021'!I$202,8,)</f>
        <v>LATIN</v>
      </c>
      <c r="I441" t="str">
        <f>VLOOKUP(A441,'2.09.2021'!A$3:'2.09.2021'!I$202,9,)</f>
        <v>Puerto Rico</v>
      </c>
      <c r="J441" t="str">
        <f t="shared" si="16"/>
        <v>Nu</v>
      </c>
    </row>
    <row r="442" spans="1:10" x14ac:dyDescent="0.2">
      <c r="A442" t="s">
        <v>74</v>
      </c>
      <c r="B442" t="s">
        <v>17</v>
      </c>
      <c r="C442">
        <v>11239468</v>
      </c>
      <c r="D442" s="7">
        <f t="shared" si="18"/>
        <v>56197.340000000004</v>
      </c>
      <c r="E442" s="2">
        <f>VLOOKUP(A442,'2.09.2021'!A$3:'2.09.2021'!I$202,5,)</f>
        <v>44337</v>
      </c>
      <c r="F442" s="2">
        <v>44455</v>
      </c>
      <c r="G442" s="23">
        <f>VLOOKUP(A442,'2.09.2021'!A$3:'2.09.2021'!I$202,7,)</f>
        <v>0.14930555555555555</v>
      </c>
      <c r="H442" t="str">
        <f>VLOOKUP(A442,'2.09.2021'!A$3:'2.09.2021'!I$202,8,)</f>
        <v>POP</v>
      </c>
      <c r="I442" t="str">
        <f>VLOOKUP(A442,'2.09.2021'!A$3:'2.09.2021'!I$202,9,)</f>
        <v>SUA</v>
      </c>
      <c r="J442" t="str">
        <f t="shared" si="16"/>
        <v>Nu</v>
      </c>
    </row>
    <row r="443" spans="1:10" x14ac:dyDescent="0.2">
      <c r="A443" t="s">
        <v>70</v>
      </c>
      <c r="B443" t="s">
        <v>71</v>
      </c>
      <c r="C443">
        <v>11223289</v>
      </c>
      <c r="D443" s="7">
        <f t="shared" si="18"/>
        <v>56116.445000000007</v>
      </c>
      <c r="E443" s="2">
        <f>VLOOKUP(A443,'2.09.2021'!A$3:'2.09.2021'!I$202,5,)</f>
        <v>44371</v>
      </c>
      <c r="F443" s="2">
        <v>44455</v>
      </c>
      <c r="G443" s="23">
        <f>VLOOKUP(A443,'2.09.2021'!A$3:'2.09.2021'!I$202,7,)</f>
        <v>0.18124999999999999</v>
      </c>
      <c r="H443" t="str">
        <f>VLOOKUP(A443,'2.09.2021'!A$3:'2.09.2021'!I$202,8,)</f>
        <v>LATIN URBAN</v>
      </c>
      <c r="I443" t="str">
        <f>VLOOKUP(A443,'2.09.2021'!A$3:'2.09.2021'!I$202,9,)</f>
        <v>Puerto Rico</v>
      </c>
      <c r="J443" t="str">
        <f t="shared" si="16"/>
        <v>Nu</v>
      </c>
    </row>
    <row r="444" spans="1:10" x14ac:dyDescent="0.2">
      <c r="A444" t="s">
        <v>427</v>
      </c>
      <c r="B444" t="s">
        <v>34</v>
      </c>
      <c r="C444">
        <v>10920030</v>
      </c>
      <c r="D444" s="7">
        <f t="shared" si="18"/>
        <v>54600.15</v>
      </c>
      <c r="E444" s="2">
        <f>VLOOKUP(A444,'2.09.2021'!A$3:'2.09.2021'!I$202,5,)</f>
        <v>44372</v>
      </c>
      <c r="F444" s="2">
        <v>44455</v>
      </c>
      <c r="G444" s="23">
        <f>VLOOKUP(A444,'2.09.2021'!A$3:'2.09.2021'!I$202,7,)</f>
        <v>0.11388888888888889</v>
      </c>
      <c r="H444" t="str">
        <f>VLOOKUP(A444,'2.09.2021'!A$3:'2.09.2021'!I$202,8,)</f>
        <v>LATIN URBAN</v>
      </c>
      <c r="I444" t="str">
        <f>VLOOKUP(A444,'2.09.2021'!A$3:'2.09.2021'!I$202,9,)</f>
        <v>Puerto Rico</v>
      </c>
      <c r="J444" t="str">
        <f t="shared" si="16"/>
        <v>Nu</v>
      </c>
    </row>
    <row r="445" spans="1:10" x14ac:dyDescent="0.2">
      <c r="A445" t="s">
        <v>58</v>
      </c>
      <c r="B445" t="s">
        <v>59</v>
      </c>
      <c r="C445">
        <v>10784250</v>
      </c>
      <c r="D445" s="7">
        <f t="shared" si="18"/>
        <v>53921.25</v>
      </c>
      <c r="E445" s="2">
        <f>VLOOKUP(A445,'2.09.2021'!A$3:'2.09.2021'!I$202,5,)</f>
        <v>44320</v>
      </c>
      <c r="F445" s="2">
        <v>44455</v>
      </c>
      <c r="G445" s="23">
        <f>VLOOKUP(A445,'2.09.2021'!A$3:'2.09.2021'!I$202,7,)</f>
        <v>0.14097222222222222</v>
      </c>
      <c r="H445" t="str">
        <f>VLOOKUP(A445,'2.09.2021'!A$3:'2.09.2021'!I$202,8,)</f>
        <v>R&amp;B/SOUL</v>
      </c>
      <c r="I445" t="str">
        <f>VLOOKUP(A445,'2.09.2021'!A$3:'2.09.2021'!I$202,9,)</f>
        <v>Olanda</v>
      </c>
      <c r="J445" t="str">
        <f t="shared" si="16"/>
        <v>Nu</v>
      </c>
    </row>
    <row r="446" spans="1:10" x14ac:dyDescent="0.2">
      <c r="A446" t="s">
        <v>54</v>
      </c>
      <c r="B446" t="s">
        <v>55</v>
      </c>
      <c r="C446">
        <v>10746280</v>
      </c>
      <c r="D446" s="7">
        <f t="shared" si="18"/>
        <v>53731.4</v>
      </c>
      <c r="E446" s="2">
        <f>VLOOKUP(A446,'2.09.2021'!A$3:'2.09.2021'!I$202,5,)</f>
        <v>44337</v>
      </c>
      <c r="F446" s="2">
        <v>44455</v>
      </c>
      <c r="G446" s="23">
        <f>VLOOKUP(A446,'2.09.2021'!A$3:'2.09.2021'!I$202,7,)</f>
        <v>0.11388888888888889</v>
      </c>
      <c r="H446" t="str">
        <f>VLOOKUP(A446,'2.09.2021'!A$3:'2.09.2021'!I$202,8,)</f>
        <v>K-POP</v>
      </c>
      <c r="I446" t="str">
        <f>VLOOKUP(A446,'2.09.2021'!A$3:'2.09.2021'!I$202,9,)</f>
        <v>Korea de Sud</v>
      </c>
      <c r="J446" t="str">
        <f t="shared" si="16"/>
        <v>Nu</v>
      </c>
    </row>
    <row r="447" spans="1:10" x14ac:dyDescent="0.2">
      <c r="A447" t="s">
        <v>68</v>
      </c>
      <c r="B447" t="s">
        <v>69</v>
      </c>
      <c r="C447">
        <v>10575749</v>
      </c>
      <c r="D447" s="7">
        <f t="shared" si="18"/>
        <v>52878.744999999995</v>
      </c>
      <c r="E447" s="2">
        <f>VLOOKUP(A447,'2.09.2021'!A$3:'2.09.2021'!I$202,5,)</f>
        <v>44385</v>
      </c>
      <c r="F447" s="2">
        <v>44455</v>
      </c>
      <c r="G447" s="23">
        <f>VLOOKUP(A447,'2.09.2021'!A$3:'2.09.2021'!I$202,7,)</f>
        <v>0.13958333333333334</v>
      </c>
      <c r="H447" t="str">
        <f>VLOOKUP(A447,'2.09.2021'!A$3:'2.09.2021'!I$202,8,)</f>
        <v>LATIN URBAN</v>
      </c>
      <c r="I447" t="str">
        <f>VLOOKUP(A447,'2.09.2021'!A$3:'2.09.2021'!I$202,9,)</f>
        <v>Columbia</v>
      </c>
      <c r="J447" t="str">
        <f t="shared" si="16"/>
        <v>Nu</v>
      </c>
    </row>
    <row r="448" spans="1:10" x14ac:dyDescent="0.2">
      <c r="A448" t="s">
        <v>47</v>
      </c>
      <c r="B448" t="s">
        <v>48</v>
      </c>
      <c r="C448">
        <v>10568134</v>
      </c>
      <c r="D448" s="7">
        <f t="shared" si="18"/>
        <v>52840.67</v>
      </c>
      <c r="E448" s="2">
        <f>VLOOKUP(A448,'23.09.2021'!A$3:'23.09.2021'!I$202,5,)</f>
        <v>44305</v>
      </c>
      <c r="F448" s="2">
        <v>44455</v>
      </c>
      <c r="G448" s="23">
        <f>VLOOKUP(A448,'23.09.2021'!A$3:'23.09.2021'!I$202,7,)</f>
        <v>0.12638888888888888</v>
      </c>
      <c r="H448" t="str">
        <f>VLOOKUP(A448,'23.09.2021'!A$3:'23.09.2021'!I$202,8,)</f>
        <v>HIP-HOP/RAP</v>
      </c>
      <c r="I448" t="str">
        <f>VLOOKUP(A448,'23.09.2021'!A$3:'23.09.2021'!I$202,9,)</f>
        <v>SUA</v>
      </c>
      <c r="J448" t="str">
        <f t="shared" si="16"/>
        <v>Nu</v>
      </c>
    </row>
    <row r="449" spans="1:10" x14ac:dyDescent="0.2">
      <c r="A449" t="s">
        <v>145</v>
      </c>
      <c r="B449" t="s">
        <v>52</v>
      </c>
      <c r="C449">
        <v>10483865</v>
      </c>
      <c r="D449" s="7">
        <f t="shared" si="18"/>
        <v>52419.324999999997</v>
      </c>
      <c r="E449" s="2">
        <f>VLOOKUP(A449,'2.09.2021'!A$3:'2.09.2021'!I$202,5,)</f>
        <v>44437</v>
      </c>
      <c r="F449" s="2">
        <v>44455</v>
      </c>
      <c r="G449" s="23">
        <f>VLOOKUP(A449,'2.09.2021'!A$3:'2.09.2021'!I$202,7,)</f>
        <v>0.10833333333333334</v>
      </c>
      <c r="H449" t="str">
        <f>VLOOKUP(A449,'2.09.2021'!A$3:'2.09.2021'!I$202,8,)</f>
        <v>HIP-HOP/RAP</v>
      </c>
      <c r="I449" t="str">
        <f>VLOOKUP(A449,'2.09.2021'!A$3:'2.09.2021'!I$202,9,)</f>
        <v>SUA</v>
      </c>
      <c r="J449" t="str">
        <f t="shared" si="16"/>
        <v>Nu</v>
      </c>
    </row>
    <row r="450" spans="1:10" x14ac:dyDescent="0.2">
      <c r="A450" t="s">
        <v>63</v>
      </c>
      <c r="B450" t="s">
        <v>64</v>
      </c>
      <c r="C450">
        <v>10423194</v>
      </c>
      <c r="D450" s="7">
        <f t="shared" si="18"/>
        <v>52115.97</v>
      </c>
      <c r="E450" s="2">
        <f>VLOOKUP(A450,'23.09.2021'!A$3:'23.09.2021'!I$202,5,)</f>
        <v>44290</v>
      </c>
      <c r="F450" s="2">
        <v>44455</v>
      </c>
      <c r="G450" s="23">
        <f>VLOOKUP(A450,'23.09.2021'!A$3:'23.09.2021'!I$202,7,)</f>
        <v>0.20555555555555557</v>
      </c>
      <c r="H450" s="23" t="str">
        <f>VLOOKUP(B450,'23.09.2021'!B$3:'23.09.2021'!J$202,7,)</f>
        <v>LATIN URBAN</v>
      </c>
      <c r="I450" s="23" t="s">
        <v>474</v>
      </c>
      <c r="J450" t="str">
        <f t="shared" ref="J450:J513" si="19">IF(ISNUMBER(SEARCH("with",A450)),"Da","Nu")</f>
        <v>Nu</v>
      </c>
    </row>
    <row r="451" spans="1:10" x14ac:dyDescent="0.2">
      <c r="A451" t="s">
        <v>100</v>
      </c>
      <c r="B451" t="s">
        <v>42</v>
      </c>
      <c r="C451">
        <v>10060200</v>
      </c>
      <c r="D451" s="7">
        <f t="shared" si="18"/>
        <v>50301</v>
      </c>
      <c r="E451" s="2">
        <f>VLOOKUP(A451,'30.09.2021'!A$3:'30.09.2021'!I$202,5,)</f>
        <v>44229</v>
      </c>
      <c r="F451" s="2">
        <v>44455</v>
      </c>
      <c r="G451" s="23">
        <f>VLOOKUP(A451,'30.09.2021'!A$3:'30.09.2021'!I$202,7,)</f>
        <v>0.10555555555555556</v>
      </c>
      <c r="H451" s="23" t="str">
        <f>VLOOKUP(B451,'23.09.2021'!B$3:'23.09.2021'!J$202,7,)</f>
        <v>LATIN URBAN</v>
      </c>
      <c r="I451" s="23" t="s">
        <v>472</v>
      </c>
      <c r="J451" t="str">
        <f t="shared" si="19"/>
        <v>Nu</v>
      </c>
    </row>
    <row r="452" spans="1:10" x14ac:dyDescent="0.2">
      <c r="A452" t="s">
        <v>247</v>
      </c>
      <c r="B452" t="s">
        <v>20</v>
      </c>
      <c r="C452">
        <v>10034595</v>
      </c>
      <c r="D452" s="7">
        <f t="shared" si="18"/>
        <v>50172.974999999999</v>
      </c>
      <c r="E452" s="2">
        <f>VLOOKUP(A452,'23.09.2021'!A$3:'23.09.2021'!I$202,5,)</f>
        <v>44460</v>
      </c>
      <c r="F452" s="2">
        <v>44455</v>
      </c>
      <c r="G452" s="23">
        <f>VLOOKUP(A452,'23.09.2021'!A$3:'23.09.2021'!I$202,7,)</f>
        <v>0.12847222222222224</v>
      </c>
      <c r="H452" s="23" t="s">
        <v>423</v>
      </c>
      <c r="I452" s="23" t="s">
        <v>420</v>
      </c>
      <c r="J452" t="str">
        <f t="shared" si="19"/>
        <v>Nu</v>
      </c>
    </row>
    <row r="453" spans="1:10" x14ac:dyDescent="0.2">
      <c r="A453" t="s">
        <v>93</v>
      </c>
      <c r="B453" t="s">
        <v>94</v>
      </c>
      <c r="C453">
        <v>10033710</v>
      </c>
      <c r="D453" s="7">
        <f t="shared" si="18"/>
        <v>50168.549999999996</v>
      </c>
      <c r="E453" s="2">
        <f>VLOOKUP(A453,'2.09.2021'!A$3:'2.09.2021'!I$202,5,)</f>
        <v>44386</v>
      </c>
      <c r="F453" s="2">
        <v>44455</v>
      </c>
      <c r="G453" s="23">
        <f>VLOOKUP(A453,'2.09.2021'!A$3:'2.09.2021'!I$202,7,)</f>
        <v>0.13333333333333333</v>
      </c>
      <c r="H453" t="str">
        <f>VLOOKUP(A453,'2.09.2021'!A$3:'2.09.2021'!I$202,8,)</f>
        <v>RHYTHM &amp; BLUES</v>
      </c>
      <c r="I453" t="str">
        <f>VLOOKUP(A453,'2.09.2021'!A$3:'2.09.2021'!I$202,9,)</f>
        <v>Argentina</v>
      </c>
      <c r="J453" t="str">
        <f t="shared" si="19"/>
        <v>Nu</v>
      </c>
    </row>
    <row r="454" spans="1:10" x14ac:dyDescent="0.2">
      <c r="A454" t="s">
        <v>83</v>
      </c>
      <c r="B454" t="s">
        <v>84</v>
      </c>
      <c r="C454">
        <v>9959249</v>
      </c>
      <c r="D454" s="7">
        <f t="shared" si="18"/>
        <v>49796.244999999995</v>
      </c>
      <c r="E454" s="2">
        <f>VLOOKUP(A454,'2.09.2021'!A$3:'2.09.2021'!I$202,5,)</f>
        <v>43812</v>
      </c>
      <c r="F454" s="2">
        <v>44455</v>
      </c>
      <c r="G454" s="23">
        <f>VLOOKUP(A454,'2.09.2021'!A$3:'2.09.2021'!I$202,7,)</f>
        <v>0.12013888888888889</v>
      </c>
      <c r="H454" t="str">
        <f>VLOOKUP(A454,'2.09.2021'!A$3:'2.09.2021'!I$202,8,)</f>
        <v>POP</v>
      </c>
      <c r="I454" t="str">
        <f>VLOOKUP(A454,'2.09.2021'!A$3:'2.09.2021'!I$202,9,)</f>
        <v>Marea Britanie</v>
      </c>
      <c r="J454" t="str">
        <f t="shared" si="19"/>
        <v>Nu</v>
      </c>
    </row>
    <row r="455" spans="1:10" x14ac:dyDescent="0.2">
      <c r="A455" t="s">
        <v>178</v>
      </c>
      <c r="B455" t="s">
        <v>52</v>
      </c>
      <c r="C455">
        <v>9867544</v>
      </c>
      <c r="D455" s="7">
        <f t="shared" si="18"/>
        <v>49337.72</v>
      </c>
      <c r="E455" s="2">
        <f>VLOOKUP(A455,'2.09.2021'!A$3:'2.09.2021'!I$202,5,)</f>
        <v>44437</v>
      </c>
      <c r="F455" s="2">
        <v>44455</v>
      </c>
      <c r="G455" s="23">
        <f>VLOOKUP(A455,'2.09.2021'!A$3:'2.09.2021'!I$202,7,)</f>
        <v>0.23541666666666669</v>
      </c>
      <c r="H455" t="str">
        <f>VLOOKUP(A455,'2.09.2021'!A$3:'2.09.2021'!I$202,8,)</f>
        <v>HIP-HOP/RAP</v>
      </c>
      <c r="I455" t="str">
        <f>VLOOKUP(A455,'2.09.2021'!A$3:'2.09.2021'!I$202,9,)</f>
        <v>SUA</v>
      </c>
      <c r="J455" t="str">
        <f t="shared" si="19"/>
        <v>Nu</v>
      </c>
    </row>
    <row r="456" spans="1:10" x14ac:dyDescent="0.2">
      <c r="A456" t="s">
        <v>44</v>
      </c>
      <c r="B456" t="s">
        <v>40</v>
      </c>
      <c r="C456">
        <v>9574461</v>
      </c>
      <c r="D456" s="7">
        <f t="shared" si="18"/>
        <v>47872.304999999993</v>
      </c>
      <c r="E456" s="2">
        <f>VLOOKUP(A456,'30.09.2021'!A$3:'30.09.2021'!I$202,5,)</f>
        <v>44445</v>
      </c>
      <c r="F456" s="2">
        <v>44455</v>
      </c>
      <c r="G456" s="23">
        <f>VLOOKUP(A456,'30.09.2021'!A$3:'30.09.2021'!I$202,7,)</f>
        <v>9.8611111111111108E-2</v>
      </c>
      <c r="H456" t="str">
        <f>VLOOKUP(A456,'30.09.2021'!A$3:'30.09.2021'!I$202,8,)</f>
        <v>POP</v>
      </c>
      <c r="I456" t="str">
        <f>VLOOKUP(A456,'30.09.2021'!A$3:'30.09.2021'!I$202,9,)</f>
        <v>Canada</v>
      </c>
      <c r="J456" t="str">
        <f t="shared" si="19"/>
        <v>Nu</v>
      </c>
    </row>
    <row r="457" spans="1:10" x14ac:dyDescent="0.2">
      <c r="A457" t="s">
        <v>87</v>
      </c>
      <c r="B457" t="s">
        <v>88</v>
      </c>
      <c r="C457">
        <v>9556410</v>
      </c>
      <c r="D457" s="7">
        <f t="shared" si="18"/>
        <v>47782.05</v>
      </c>
      <c r="E457" s="2">
        <f>VLOOKUP(A457,'2.09.2021'!A$3:'2.09.2021'!I$202,5,)</f>
        <v>44260</v>
      </c>
      <c r="F457" s="2">
        <v>44455</v>
      </c>
      <c r="G457" s="23">
        <f>VLOOKUP(A457,'2.09.2021'!A$3:'2.09.2021'!I$202,7,)</f>
        <v>0.16805555555555554</v>
      </c>
      <c r="H457" t="str">
        <f>VLOOKUP(A457,'2.09.2021'!A$3:'2.09.2021'!I$202,8,)</f>
        <v>R&amp;B/SOUL</v>
      </c>
      <c r="I457" t="str">
        <f>VLOOKUP(A457,'2.09.2021'!A$3:'2.09.2021'!I$202,9,)</f>
        <v>Puerto Rico</v>
      </c>
      <c r="J457" t="str">
        <f t="shared" si="19"/>
        <v>Nu</v>
      </c>
    </row>
    <row r="458" spans="1:10" x14ac:dyDescent="0.2">
      <c r="A458" t="s">
        <v>81</v>
      </c>
      <c r="B458" t="s">
        <v>82</v>
      </c>
      <c r="C458">
        <v>9494671</v>
      </c>
      <c r="D458" s="7">
        <f t="shared" si="18"/>
        <v>47473.355000000003</v>
      </c>
      <c r="E458" s="2">
        <f>VLOOKUP(A458,'2.09.2021'!A$3:'2.09.2021'!I$202,5,)</f>
        <v>44400</v>
      </c>
      <c r="F458" s="2">
        <v>44455</v>
      </c>
      <c r="G458" s="23">
        <f>VLOOKUP(A458,'2.09.2021'!A$3:'2.09.2021'!I$202,7,)</f>
        <v>0.11388888888888889</v>
      </c>
      <c r="H458" t="str">
        <f>VLOOKUP(A458,'2.09.2021'!A$3:'2.09.2021'!I$202,8,)</f>
        <v>POP</v>
      </c>
      <c r="I458" t="str">
        <f>VLOOKUP(A458,'2.09.2021'!A$3:'2.09.2021'!I$202,9,)</f>
        <v>Cuba</v>
      </c>
      <c r="J458" t="str">
        <f t="shared" si="19"/>
        <v>Nu</v>
      </c>
    </row>
    <row r="459" spans="1:10" x14ac:dyDescent="0.2">
      <c r="A459" t="s">
        <v>91</v>
      </c>
      <c r="B459" t="s">
        <v>92</v>
      </c>
      <c r="C459">
        <v>9402105</v>
      </c>
      <c r="D459" s="7">
        <f t="shared" si="18"/>
        <v>47010.524999999994</v>
      </c>
      <c r="E459" s="2">
        <f>VLOOKUP(A459,'2.09.2021'!A$3:'2.09.2021'!I$202,5,)</f>
        <v>44276</v>
      </c>
      <c r="F459" s="2">
        <v>44455</v>
      </c>
      <c r="G459" s="23">
        <f>VLOOKUP(A459,'2.09.2021'!A$3:'2.09.2021'!I$202,7,)</f>
        <v>0.17500000000000002</v>
      </c>
      <c r="H459" t="str">
        <f>VLOOKUP(A459,'2.09.2021'!A$3:'2.09.2021'!I$202,8,)</f>
        <v>POP</v>
      </c>
      <c r="I459" t="str">
        <f>VLOOKUP(A459,'2.09.2021'!A$3:'2.09.2021'!I$202,9,)</f>
        <v>Marea Britanie</v>
      </c>
      <c r="J459" t="str">
        <f t="shared" si="19"/>
        <v>Nu</v>
      </c>
    </row>
    <row r="460" spans="1:10" x14ac:dyDescent="0.2">
      <c r="A460" t="s">
        <v>95</v>
      </c>
      <c r="B460" t="s">
        <v>17</v>
      </c>
      <c r="C460">
        <v>9335437</v>
      </c>
      <c r="D460" s="7">
        <f t="shared" si="18"/>
        <v>46677.184999999998</v>
      </c>
      <c r="E460" s="2">
        <f>VLOOKUP(A460,'2.09.2021'!A$3:'2.09.2021'!I$202,5,)</f>
        <v>44337</v>
      </c>
      <c r="F460" s="2">
        <v>44455</v>
      </c>
      <c r="G460" s="23">
        <f>VLOOKUP(A460,'2.09.2021'!A$3:'2.09.2021'!I$202,7,)</f>
        <v>0.12152777777777778</v>
      </c>
      <c r="H460" t="str">
        <f>VLOOKUP(A460,'2.09.2021'!A$3:'2.09.2021'!I$202,8,)</f>
        <v>POP</v>
      </c>
      <c r="I460" t="str">
        <f>VLOOKUP(A460,'2.09.2021'!A$3:'2.09.2021'!I$202,9,)</f>
        <v>SUA</v>
      </c>
      <c r="J460" t="str">
        <f t="shared" si="19"/>
        <v>Nu</v>
      </c>
    </row>
    <row r="461" spans="1:10" x14ac:dyDescent="0.2">
      <c r="A461" t="s">
        <v>430</v>
      </c>
      <c r="B461" t="s">
        <v>32</v>
      </c>
      <c r="C461">
        <v>9212447</v>
      </c>
      <c r="D461" s="7">
        <f t="shared" si="18"/>
        <v>46062.235000000001</v>
      </c>
      <c r="E461" s="2">
        <f>VLOOKUP(A461,'2.09.2021'!A$3:'2.09.2021'!I$202,5,)</f>
        <v>44134</v>
      </c>
      <c r="F461" s="2">
        <v>44455</v>
      </c>
      <c r="G461" s="23">
        <f>VLOOKUP(A461,'2.09.2021'!A$3:'2.09.2021'!I$202,7,)</f>
        <v>0.1423611111111111</v>
      </c>
      <c r="H461" t="str">
        <f>VLOOKUP(A461,'2.09.2021'!A$3:'2.09.2021'!I$202,8,)</f>
        <v>LATIN</v>
      </c>
      <c r="I461" t="str">
        <f>VLOOKUP(A461,'2.09.2021'!A$3:'2.09.2021'!I$202,9,)</f>
        <v>Puerto Rico</v>
      </c>
      <c r="J461" t="str">
        <f t="shared" si="19"/>
        <v>Nu</v>
      </c>
    </row>
    <row r="462" spans="1:10" x14ac:dyDescent="0.2">
      <c r="A462" t="s">
        <v>301</v>
      </c>
      <c r="B462" t="s">
        <v>20</v>
      </c>
      <c r="C462">
        <v>9123400</v>
      </c>
      <c r="D462" s="7">
        <f t="shared" si="18"/>
        <v>45617</v>
      </c>
      <c r="E462" s="2">
        <f>VLOOKUP(A462,'23.09.2021'!A$3:'23.09.2021'!I$202,5,)</f>
        <v>44460</v>
      </c>
      <c r="F462" s="2">
        <v>44455</v>
      </c>
      <c r="G462" s="23">
        <f>VLOOKUP(A462,'23.09.2021'!A$3:'23.09.2021'!I$202,7,)</f>
        <v>0.13958333333333334</v>
      </c>
      <c r="H462" s="23" t="str">
        <f>VLOOKUP(B462,'23.09.2021'!B$3:'23.09.2021'!J$202,7,)</f>
        <v>hIP-HOP/RAP</v>
      </c>
      <c r="I462" s="23" t="s">
        <v>420</v>
      </c>
      <c r="J462" t="str">
        <f t="shared" si="19"/>
        <v>Nu</v>
      </c>
    </row>
    <row r="463" spans="1:10" x14ac:dyDescent="0.2">
      <c r="A463" t="s">
        <v>96</v>
      </c>
      <c r="B463" t="s">
        <v>97</v>
      </c>
      <c r="C463">
        <v>9105727</v>
      </c>
      <c r="D463" s="7">
        <f t="shared" si="18"/>
        <v>45528.635000000002</v>
      </c>
      <c r="E463" s="2">
        <f>VLOOKUP(A463,'2.09.2021'!A$3:'2.09.2021'!I$202,5,)</f>
        <v>43083</v>
      </c>
      <c r="F463" s="2">
        <v>44455</v>
      </c>
      <c r="G463" s="23">
        <f>VLOOKUP(A463,'2.09.2021'!A$3:'2.09.2021'!I$202,7,)</f>
        <v>0.1673611111111111</v>
      </c>
      <c r="H463" t="str">
        <f>VLOOKUP(A463,'2.09.2021'!A$3:'2.09.2021'!I$202,8,)</f>
        <v>ELECTRONIC</v>
      </c>
      <c r="I463" t="str">
        <f>VLOOKUP(A463,'2.09.2021'!A$3:'2.09.2021'!I$202,9,)</f>
        <v>Australia</v>
      </c>
      <c r="J463" t="str">
        <f t="shared" si="19"/>
        <v>Nu</v>
      </c>
    </row>
    <row r="464" spans="1:10" x14ac:dyDescent="0.2">
      <c r="A464" t="s">
        <v>441</v>
      </c>
      <c r="B464" t="s">
        <v>76</v>
      </c>
      <c r="C464">
        <v>9098393</v>
      </c>
      <c r="D464" s="7">
        <f t="shared" si="18"/>
        <v>45491.964999999997</v>
      </c>
      <c r="E464" s="2">
        <f>VLOOKUP(A464,'2.09.2021'!A$3:'2.09.2021'!I$202,5,)</f>
        <v>44370</v>
      </c>
      <c r="F464" s="2">
        <v>44455</v>
      </c>
      <c r="G464" s="23">
        <f>VLOOKUP(A464,'2.09.2021'!A$3:'2.09.2021'!I$202,7,)</f>
        <v>0.18124999999999999</v>
      </c>
      <c r="H464" t="str">
        <f>VLOOKUP(A464,'2.09.2021'!A$3:'2.09.2021'!I$202,8,)</f>
        <v>ROCK</v>
      </c>
      <c r="I464" t="str">
        <f>VLOOKUP(A464,'2.09.2021'!A$3:'2.09.2021'!I$202,9,)</f>
        <v>Marea Britanie</v>
      </c>
      <c r="J464" t="str">
        <f t="shared" si="19"/>
        <v>Da</v>
      </c>
    </row>
    <row r="465" spans="1:10" x14ac:dyDescent="0.2">
      <c r="A465" t="s">
        <v>75</v>
      </c>
      <c r="B465" t="s">
        <v>55</v>
      </c>
      <c r="C465">
        <v>9059053</v>
      </c>
      <c r="D465" s="7">
        <f t="shared" si="18"/>
        <v>45295.264999999999</v>
      </c>
      <c r="E465" s="2">
        <f>VLOOKUP(A465,'2.09.2021'!A$3:'2.09.2021'!I$202,5,)</f>
        <v>44386</v>
      </c>
      <c r="F465" s="2">
        <v>44455</v>
      </c>
      <c r="G465" s="23">
        <f>VLOOKUP(A465,'2.09.2021'!A$3:'2.09.2021'!I$202,7,)</f>
        <v>0.12986111111111112</v>
      </c>
      <c r="H465" t="str">
        <f>VLOOKUP(A465,'2.09.2021'!A$3:'2.09.2021'!I$202,8,)</f>
        <v>K-POP</v>
      </c>
      <c r="I465" t="str">
        <f>VLOOKUP(A465,'2.09.2021'!A$3:'2.09.2021'!I$202,9,)</f>
        <v>Korea de Sud</v>
      </c>
      <c r="J465" t="str">
        <f t="shared" si="19"/>
        <v>Nu</v>
      </c>
    </row>
    <row r="466" spans="1:10" x14ac:dyDescent="0.2">
      <c r="A466" t="s">
        <v>442</v>
      </c>
      <c r="B466" t="s">
        <v>98</v>
      </c>
      <c r="C466">
        <v>9054989</v>
      </c>
      <c r="D466" s="7">
        <f t="shared" si="18"/>
        <v>45274.945</v>
      </c>
      <c r="E466" s="2">
        <f>VLOOKUP(A466,'2.09.2021'!A$3:'2.09.2021'!I$202,5,)</f>
        <v>44336</v>
      </c>
      <c r="F466" s="2">
        <v>44455</v>
      </c>
      <c r="G466" s="23">
        <f>VLOOKUP(A466,'2.09.2021'!A$3:'2.09.2021'!I$202,7,)</f>
        <v>9.5138888888888884E-2</v>
      </c>
      <c r="H466" t="str">
        <f>VLOOKUP(A466,'2.09.2021'!A$3:'2.09.2021'!I$202,8,)</f>
        <v>HIP-HOP/RAP</v>
      </c>
      <c r="I466" t="str">
        <f>VLOOKUP(A466,'2.09.2021'!A$3:'2.09.2021'!I$202,9,)</f>
        <v>SUA</v>
      </c>
      <c r="J466" t="str">
        <f t="shared" si="19"/>
        <v>Da</v>
      </c>
    </row>
    <row r="467" spans="1:10" x14ac:dyDescent="0.2">
      <c r="A467" t="s">
        <v>101</v>
      </c>
      <c r="B467" t="s">
        <v>102</v>
      </c>
      <c r="C467">
        <v>8930762</v>
      </c>
      <c r="D467" s="7">
        <f t="shared" ref="D467:D530" si="20">(C467/1000*5)</f>
        <v>44653.810000000005</v>
      </c>
      <c r="E467" s="2">
        <f>VLOOKUP(A467,'2.09.2021'!A$3:'2.09.2021'!I$202,5,)</f>
        <v>44306</v>
      </c>
      <c r="F467" s="2">
        <v>44455</v>
      </c>
      <c r="G467" s="23">
        <f>VLOOKUP(A467,'2.09.2021'!A$3:'2.09.2021'!I$202,7,)</f>
        <v>0.15347222222222223</v>
      </c>
      <c r="H467" t="str">
        <f>VLOOKUP(A467,'2.09.2021'!A$3:'2.09.2021'!I$202,8,)</f>
        <v>DANCE</v>
      </c>
      <c r="I467" t="str">
        <f>VLOOKUP(A467,'2.09.2021'!A$3:'2.09.2021'!I$202,9,)</f>
        <v>SUA</v>
      </c>
      <c r="J467" t="str">
        <f t="shared" si="19"/>
        <v>Nu</v>
      </c>
    </row>
    <row r="468" spans="1:10" x14ac:dyDescent="0.2">
      <c r="A468" t="s">
        <v>127</v>
      </c>
      <c r="B468" t="s">
        <v>12</v>
      </c>
      <c r="C468">
        <v>8916313</v>
      </c>
      <c r="D468" s="7">
        <f t="shared" si="20"/>
        <v>44581.565000000002</v>
      </c>
      <c r="E468" s="2">
        <f>VLOOKUP(A468,'2.09.2021'!A$3:'2.09.2021'!I$202,5,)</f>
        <v>44372</v>
      </c>
      <c r="F468" s="2">
        <v>44455</v>
      </c>
      <c r="G468" s="23">
        <f>VLOOKUP(A468,'2.09.2021'!A$3:'2.09.2021'!I$202,7,)</f>
        <v>0.12083333333333333</v>
      </c>
      <c r="H468" t="str">
        <f>VLOOKUP(A468,'2.09.2021'!A$3:'2.09.2021'!I$202,8,)</f>
        <v>POP</v>
      </c>
      <c r="I468" t="str">
        <f>VLOOKUP(A468,'2.09.2021'!A$3:'2.09.2021'!I$202,9,)</f>
        <v>SUA</v>
      </c>
      <c r="J468" t="str">
        <f t="shared" si="19"/>
        <v>Nu</v>
      </c>
    </row>
    <row r="469" spans="1:10" x14ac:dyDescent="0.2">
      <c r="A469" t="s">
        <v>85</v>
      </c>
      <c r="B469" t="s">
        <v>86</v>
      </c>
      <c r="C469">
        <v>8791698</v>
      </c>
      <c r="D469" s="7">
        <f t="shared" si="20"/>
        <v>43958.490000000005</v>
      </c>
      <c r="E469" s="2">
        <f>VLOOKUP(A469,'2.09.2021'!A$3:'2.09.2021'!I$202,5,)</f>
        <v>44230</v>
      </c>
      <c r="F469" s="2">
        <v>44455</v>
      </c>
      <c r="G469" s="23">
        <f>VLOOKUP(A469,'2.09.2021'!A$3:'2.09.2021'!I$202,7,)</f>
        <v>9.5833333333333326E-2</v>
      </c>
      <c r="H469" t="str">
        <f>VLOOKUP(A469,'2.09.2021'!A$3:'2.09.2021'!I$202,8,)</f>
        <v>R&amp;B/SOUL</v>
      </c>
      <c r="I469" t="str">
        <f>VLOOKUP(A469,'2.09.2021'!A$3:'2.09.2021'!I$202,9,)</f>
        <v>SUA</v>
      </c>
      <c r="J469" t="str">
        <f t="shared" si="19"/>
        <v>Nu</v>
      </c>
    </row>
    <row r="470" spans="1:10" x14ac:dyDescent="0.2">
      <c r="A470" t="s">
        <v>431</v>
      </c>
      <c r="B470" t="s">
        <v>111</v>
      </c>
      <c r="C470">
        <v>8661757</v>
      </c>
      <c r="D470" s="7">
        <f t="shared" si="20"/>
        <v>43308.784999999996</v>
      </c>
      <c r="E470" s="2">
        <f>VLOOKUP(A470,'2.09.2021'!A$3:'2.09.2021'!I$202,5,)</f>
        <v>44317</v>
      </c>
      <c r="F470" s="2">
        <v>44455</v>
      </c>
      <c r="G470" s="23">
        <f>VLOOKUP(A470,'2.09.2021'!A$3:'2.09.2021'!I$202,7,)</f>
        <v>0.11458333333333333</v>
      </c>
      <c r="H470" t="str">
        <f>VLOOKUP(A470,'2.09.2021'!A$3:'2.09.2021'!I$202,8,)</f>
        <v>LATIN URBAN</v>
      </c>
      <c r="I470" t="str">
        <f>VLOOKUP(A470,'2.09.2021'!A$3:'2.09.2021'!I$202,9,)</f>
        <v>Argentina</v>
      </c>
      <c r="J470" t="str">
        <f t="shared" si="19"/>
        <v>Nu</v>
      </c>
    </row>
    <row r="471" spans="1:10" x14ac:dyDescent="0.2">
      <c r="A471" t="s">
        <v>112</v>
      </c>
      <c r="B471" t="s">
        <v>113</v>
      </c>
      <c r="C471">
        <v>8659515</v>
      </c>
      <c r="D471" s="7">
        <f t="shared" si="20"/>
        <v>43297.574999999997</v>
      </c>
      <c r="E471" s="2">
        <f>VLOOKUP(A471,'2.09.2021'!A$3:'2.09.2021'!I$202,5,)</f>
        <v>44238</v>
      </c>
      <c r="F471" s="2">
        <v>44455</v>
      </c>
      <c r="G471" s="23">
        <f>VLOOKUP(A471,'2.09.2021'!A$3:'2.09.2021'!I$202,7,)</f>
        <v>0.20625000000000002</v>
      </c>
      <c r="H471" t="str">
        <f>VLOOKUP(A471,'2.09.2021'!A$3:'2.09.2021'!I$202,8,)</f>
        <v>LATIN URBAN</v>
      </c>
      <c r="I471" t="str">
        <f>VLOOKUP(A471,'2.09.2021'!A$3:'2.09.2021'!I$202,9,)</f>
        <v>Columbia</v>
      </c>
      <c r="J471" t="str">
        <f t="shared" si="19"/>
        <v>Nu</v>
      </c>
    </row>
    <row r="472" spans="1:10" x14ac:dyDescent="0.2">
      <c r="A472" t="s">
        <v>443</v>
      </c>
      <c r="B472" t="s">
        <v>116</v>
      </c>
      <c r="C472">
        <v>8652845</v>
      </c>
      <c r="D472" s="7">
        <f t="shared" si="20"/>
        <v>43264.224999999999</v>
      </c>
      <c r="E472" s="2">
        <f>VLOOKUP(A472,'2.09.2021'!A$3:'2.09.2021'!I$202,5,)</f>
        <v>44211</v>
      </c>
      <c r="F472" s="2">
        <v>44455</v>
      </c>
      <c r="G472" s="23">
        <f>VLOOKUP(A472,'2.09.2021'!A$3:'2.09.2021'!I$202,7,)</f>
        <v>0.1173611111111111</v>
      </c>
      <c r="H472" t="str">
        <f>VLOOKUP(A472,'2.09.2021'!A$3:'2.09.2021'!I$202,8,)</f>
        <v>DANCE</v>
      </c>
      <c r="I472" t="str">
        <f>VLOOKUP(A472,'2.09.2021'!A$3:'2.09.2021'!I$202,9,)</f>
        <v>Marea Britanie</v>
      </c>
      <c r="J472" t="str">
        <f t="shared" si="19"/>
        <v>Da</v>
      </c>
    </row>
    <row r="473" spans="1:10" x14ac:dyDescent="0.2">
      <c r="A473" t="s">
        <v>300</v>
      </c>
      <c r="B473" t="s">
        <v>20</v>
      </c>
      <c r="C473">
        <v>8522529</v>
      </c>
      <c r="D473" s="7">
        <f t="shared" si="20"/>
        <v>42612.645000000004</v>
      </c>
      <c r="E473" s="2">
        <f>VLOOKUP(A473,'23.09.2021'!A$3:'23.09.2021'!I$202,5,)</f>
        <v>44460</v>
      </c>
      <c r="F473" s="2">
        <v>44455</v>
      </c>
      <c r="G473" s="23">
        <f>VLOOKUP(A473,'23.09.2021'!A$3:'23.09.2021'!I$202,7,)</f>
        <v>0.14305555555555557</v>
      </c>
      <c r="H473" s="23" t="str">
        <f>VLOOKUP(B473,'23.09.2021'!B$3:'23.09.2021'!J$202,7,)</f>
        <v>hIP-HOP/RAP</v>
      </c>
      <c r="I473" s="23" t="s">
        <v>420</v>
      </c>
      <c r="J473" t="str">
        <f t="shared" si="19"/>
        <v>Nu</v>
      </c>
    </row>
    <row r="474" spans="1:10" x14ac:dyDescent="0.2">
      <c r="A474" t="s">
        <v>103</v>
      </c>
      <c r="B474" t="s">
        <v>104</v>
      </c>
      <c r="C474">
        <v>8495021</v>
      </c>
      <c r="D474" s="7">
        <f t="shared" si="20"/>
        <v>42475.105000000003</v>
      </c>
      <c r="E474" s="2">
        <f>VLOOKUP(A474,'2.09.2021'!A$3:'2.09.2021'!I$202,5,)</f>
        <v>44229</v>
      </c>
      <c r="F474" s="2">
        <v>44455</v>
      </c>
      <c r="G474" s="23">
        <f>VLOOKUP(A474,'2.09.2021'!A$3:'2.09.2021'!I$202,7,)</f>
        <v>0.14097222222222222</v>
      </c>
      <c r="H474" t="str">
        <f>VLOOKUP(A474,'2.09.2021'!A$3:'2.09.2021'!I$202,8,)</f>
        <v>POP</v>
      </c>
      <c r="I474" t="str">
        <f>VLOOKUP(A474,'2.09.2021'!A$3:'2.09.2021'!I$202,9,)</f>
        <v>SUA</v>
      </c>
      <c r="J474" t="str">
        <f t="shared" si="19"/>
        <v>Nu</v>
      </c>
    </row>
    <row r="475" spans="1:10" x14ac:dyDescent="0.2">
      <c r="A475" t="s">
        <v>99</v>
      </c>
      <c r="B475" t="s">
        <v>55</v>
      </c>
      <c r="C475">
        <v>8494434</v>
      </c>
      <c r="D475" s="7">
        <f t="shared" si="20"/>
        <v>42472.17</v>
      </c>
      <c r="E475" s="2">
        <f>VLOOKUP(A475,'2.09.2021'!A$3:'2.09.2021'!I$202,5,)</f>
        <v>44459</v>
      </c>
      <c r="F475" s="2">
        <v>44455</v>
      </c>
      <c r="G475" s="23">
        <f>VLOOKUP(A475,'2.09.2021'!A$3:'2.09.2021'!I$202,7,)</f>
        <v>9.7916666666666666E-2</v>
      </c>
      <c r="H475" t="str">
        <f>VLOOKUP(A475,'2.09.2021'!A$3:'2.09.2021'!I$202,8,)</f>
        <v>K-POP</v>
      </c>
      <c r="I475" t="str">
        <f>VLOOKUP(A475,'2.09.2021'!A$3:'2.09.2021'!I$202,9,)</f>
        <v>Korea de Sud</v>
      </c>
      <c r="J475" t="str">
        <f t="shared" si="19"/>
        <v>Nu</v>
      </c>
    </row>
    <row r="476" spans="1:10" x14ac:dyDescent="0.2">
      <c r="A476" t="s">
        <v>117</v>
      </c>
      <c r="B476" t="s">
        <v>118</v>
      </c>
      <c r="C476">
        <v>8465865</v>
      </c>
      <c r="D476" s="7">
        <f t="shared" si="20"/>
        <v>42329.324999999997</v>
      </c>
      <c r="E476" s="2">
        <f>VLOOKUP(A476,'2.09.2021'!A$3:'2.09.2021'!I$202,5,)</f>
        <v>44287</v>
      </c>
      <c r="F476" s="2">
        <v>44455</v>
      </c>
      <c r="G476" s="23">
        <f>VLOOKUP(A476,'2.09.2021'!A$3:'2.09.2021'!I$202,7,)</f>
        <v>0.22291666666666665</v>
      </c>
      <c r="H476" t="str">
        <f>VLOOKUP(A476,'2.09.2021'!A$3:'2.09.2021'!I$202,8,)</f>
        <v>LATIN URBAN</v>
      </c>
      <c r="I476" t="str">
        <f>VLOOKUP(A476,'2.09.2021'!A$3:'2.09.2021'!I$202,9,)</f>
        <v>Puerto Rico</v>
      </c>
      <c r="J476" t="str">
        <f t="shared" si="19"/>
        <v>Nu</v>
      </c>
    </row>
    <row r="477" spans="1:10" x14ac:dyDescent="0.2">
      <c r="A477" t="s">
        <v>105</v>
      </c>
      <c r="B477" t="s">
        <v>106</v>
      </c>
      <c r="C477">
        <v>8329722</v>
      </c>
      <c r="D477" s="7">
        <f t="shared" si="20"/>
        <v>41648.61</v>
      </c>
      <c r="E477" s="2">
        <f>VLOOKUP(A477,'2.09.2021'!A$3:'2.09.2021'!I$202,5,)</f>
        <v>44377</v>
      </c>
      <c r="F477" s="2">
        <v>44455</v>
      </c>
      <c r="G477" s="23">
        <f>VLOOKUP(A477,'2.09.2021'!A$3:'2.09.2021'!I$202,7,)</f>
        <v>0.14444444444444446</v>
      </c>
      <c r="H477" t="str">
        <f>VLOOKUP(A477,'2.09.2021'!A$3:'2.09.2021'!I$202,8,)</f>
        <v>HIP-HOP/RAP</v>
      </c>
      <c r="I477" t="str">
        <f>VLOOKUP(A477,'2.09.2021'!A$3:'2.09.2021'!I$202,9,)</f>
        <v>Scoția</v>
      </c>
      <c r="J477" t="str">
        <f t="shared" si="19"/>
        <v>Nu</v>
      </c>
    </row>
    <row r="478" spans="1:10" x14ac:dyDescent="0.2">
      <c r="A478" t="s">
        <v>114</v>
      </c>
      <c r="B478" t="s">
        <v>115</v>
      </c>
      <c r="C478">
        <v>8314437</v>
      </c>
      <c r="D478" s="7">
        <f t="shared" si="20"/>
        <v>41572.184999999998</v>
      </c>
      <c r="E478" s="2">
        <f>VLOOKUP(A478,'2.09.2021'!A$3:'2.09.2021'!I$202,5,)</f>
        <v>44352</v>
      </c>
      <c r="F478" s="2">
        <v>44455</v>
      </c>
      <c r="G478" s="23">
        <f>VLOOKUP(A478,'2.09.2021'!A$3:'2.09.2021'!I$202,7,)</f>
        <v>0.11388888888888889</v>
      </c>
      <c r="H478" t="str">
        <f>VLOOKUP(A478,'2.09.2021'!A$3:'2.09.2021'!I$202,8,)</f>
        <v>HIP-HOP/RAP</v>
      </c>
      <c r="I478" t="str">
        <f>VLOOKUP(A478,'2.09.2021'!A$3:'2.09.2021'!I$202,9,)</f>
        <v>Norvegia</v>
      </c>
      <c r="J478" t="str">
        <f t="shared" si="19"/>
        <v>Nu</v>
      </c>
    </row>
    <row r="479" spans="1:10" x14ac:dyDescent="0.2">
      <c r="A479" t="s">
        <v>107</v>
      </c>
      <c r="B479" t="s">
        <v>108</v>
      </c>
      <c r="C479">
        <v>8298712</v>
      </c>
      <c r="D479" s="7">
        <f t="shared" si="20"/>
        <v>41493.56</v>
      </c>
      <c r="E479" s="2">
        <f>VLOOKUP(A479,'2.09.2021'!A$3:'2.09.2021'!I$202,5,)</f>
        <v>44466</v>
      </c>
      <c r="F479" s="2">
        <v>44455</v>
      </c>
      <c r="G479" s="23">
        <f>VLOOKUP(A479,'2.09.2021'!A$3:'2.09.2021'!I$202,7,)</f>
        <v>0.16805555555555554</v>
      </c>
      <c r="H479" t="str">
        <f>VLOOKUP(A479,'2.09.2021'!A$3:'2.09.2021'!I$202,8,)</f>
        <v>ROCK</v>
      </c>
      <c r="I479" t="str">
        <f>VLOOKUP(A479,'2.09.2021'!A$3:'2.09.2021'!I$202,9,)</f>
        <v>SUA</v>
      </c>
      <c r="J479" t="str">
        <f t="shared" si="19"/>
        <v>Da</v>
      </c>
    </row>
    <row r="480" spans="1:10" x14ac:dyDescent="0.2">
      <c r="A480" t="s">
        <v>119</v>
      </c>
      <c r="B480" t="s">
        <v>120</v>
      </c>
      <c r="C480">
        <v>8259911</v>
      </c>
      <c r="D480" s="7">
        <f t="shared" si="20"/>
        <v>41299.555</v>
      </c>
      <c r="E480" s="2">
        <f>VLOOKUP(A480,'2.09.2021'!A$3:'2.09.2021'!I$202,5,)</f>
        <v>44438</v>
      </c>
      <c r="F480" s="2">
        <v>44455</v>
      </c>
      <c r="G480" s="23">
        <f>VLOOKUP(A480,'2.09.2021'!A$3:'2.09.2021'!I$202,7,)</f>
        <v>0.16874999999999998</v>
      </c>
      <c r="H480" t="str">
        <f>VLOOKUP(A480,'2.09.2021'!A$3:'2.09.2021'!I$202,8,)</f>
        <v>POP</v>
      </c>
      <c r="I480" t="str">
        <f>VLOOKUP(A480,'2.09.2021'!A$3:'2.09.2021'!I$202,9,)</f>
        <v>Australia</v>
      </c>
      <c r="J480" t="str">
        <f t="shared" si="19"/>
        <v>Nu</v>
      </c>
    </row>
    <row r="481" spans="1:10" x14ac:dyDescent="0.2">
      <c r="A481" t="s">
        <v>109</v>
      </c>
      <c r="B481" t="s">
        <v>38</v>
      </c>
      <c r="C481">
        <v>8202435</v>
      </c>
      <c r="D481" s="7">
        <f t="shared" si="20"/>
        <v>41012.174999999996</v>
      </c>
      <c r="E481" s="2">
        <f>VLOOKUP(A481,'2.09.2021'!A$3:'2.09.2021'!I$202,5,)</f>
        <v>44248</v>
      </c>
      <c r="F481" s="2">
        <v>44455</v>
      </c>
      <c r="G481" s="23">
        <f>VLOOKUP(A481,'2.09.2021'!A$3:'2.09.2021'!I$202,7,)</f>
        <v>0.1173611111111111</v>
      </c>
      <c r="H481" t="str">
        <f>VLOOKUP(A481,'2.09.2021'!A$3:'2.09.2021'!I$202,8,)</f>
        <v>K-POP</v>
      </c>
      <c r="I481" t="str">
        <f>VLOOKUP(A481,'2.09.2021'!A$3:'2.09.2021'!I$202,9,)</f>
        <v>Marea Britanie</v>
      </c>
      <c r="J481" t="str">
        <f t="shared" si="19"/>
        <v>Nu</v>
      </c>
    </row>
    <row r="482" spans="1:10" x14ac:dyDescent="0.2">
      <c r="A482" t="s">
        <v>134</v>
      </c>
      <c r="B482" t="s">
        <v>135</v>
      </c>
      <c r="C482">
        <v>8155094</v>
      </c>
      <c r="D482" s="7">
        <f t="shared" si="20"/>
        <v>40775.47</v>
      </c>
      <c r="E482" s="2">
        <f>VLOOKUP(A482,'2.09.2021'!A$3:'2.09.2021'!I$202,5,)</f>
        <v>44386</v>
      </c>
      <c r="F482" s="2">
        <v>44455</v>
      </c>
      <c r="G482" s="23">
        <f>VLOOKUP(A482,'2.09.2021'!A$3:'2.09.2021'!I$202,7,)</f>
        <v>0.14444444444444446</v>
      </c>
      <c r="H482" t="str">
        <f>VLOOKUP(A482,'2.09.2021'!A$3:'2.09.2021'!I$202,8,)</f>
        <v>LATIN URBAN</v>
      </c>
      <c r="I482" t="str">
        <f>VLOOKUP(A482,'2.09.2021'!A$3:'2.09.2021'!I$202,9,)</f>
        <v>Panama</v>
      </c>
      <c r="J482" t="str">
        <f t="shared" si="19"/>
        <v>Nu</v>
      </c>
    </row>
    <row r="483" spans="1:10" x14ac:dyDescent="0.2">
      <c r="A483" t="s">
        <v>125</v>
      </c>
      <c r="B483" t="s">
        <v>17</v>
      </c>
      <c r="C483">
        <v>8077632</v>
      </c>
      <c r="D483" s="7">
        <f t="shared" si="20"/>
        <v>40388.159999999996</v>
      </c>
      <c r="E483" s="2">
        <f>VLOOKUP(A483,'2.09.2021'!A$3:'2.09.2021'!I$202,5,)</f>
        <v>44337</v>
      </c>
      <c r="F483" s="2">
        <v>44455</v>
      </c>
      <c r="G483" s="23">
        <f>VLOOKUP(A483,'2.09.2021'!A$3:'2.09.2021'!I$202,7,)</f>
        <v>0.12013888888888889</v>
      </c>
      <c r="H483" t="str">
        <f>VLOOKUP(A483,'2.09.2021'!A$3:'2.09.2021'!I$202,8,)</f>
        <v>POP</v>
      </c>
      <c r="I483" t="str">
        <f>VLOOKUP(A483,'2.09.2021'!A$3:'2.09.2021'!I$202,9,)</f>
        <v>SUA</v>
      </c>
      <c r="J483" t="str">
        <f t="shared" si="19"/>
        <v>Nu</v>
      </c>
    </row>
    <row r="484" spans="1:10" x14ac:dyDescent="0.2">
      <c r="A484" t="s">
        <v>66</v>
      </c>
      <c r="B484" t="s">
        <v>67</v>
      </c>
      <c r="C484">
        <v>8064157</v>
      </c>
      <c r="D484" s="7">
        <f t="shared" si="20"/>
        <v>40320.785000000003</v>
      </c>
      <c r="E484" s="2">
        <f>VLOOKUP(A484,'23.09.2021'!A$3:'23.09.2021'!I$202,5,)</f>
        <v>43714</v>
      </c>
      <c r="F484" s="2">
        <v>44455</v>
      </c>
      <c r="G484" s="23">
        <f>VLOOKUP(A484,'23.09.2021'!A$3:'23.09.2021'!I$202,7,)</f>
        <v>9.930555555555555E-2</v>
      </c>
      <c r="H484" t="str">
        <f>VLOOKUP(A484,'23.09.2021'!A$3:'23.09.2021'!I$202,8,)</f>
        <v>POP</v>
      </c>
      <c r="I484" t="str">
        <f>VLOOKUP(A484,'23.09.2021'!A$3:'23.09.2021'!I$202,9,)</f>
        <v>SUA</v>
      </c>
      <c r="J484" t="str">
        <f t="shared" si="19"/>
        <v>Nu</v>
      </c>
    </row>
    <row r="485" spans="1:10" x14ac:dyDescent="0.2">
      <c r="A485" t="s">
        <v>302</v>
      </c>
      <c r="B485" t="s">
        <v>20</v>
      </c>
      <c r="C485">
        <v>8039670</v>
      </c>
      <c r="D485" s="7">
        <f t="shared" si="20"/>
        <v>40198.35</v>
      </c>
      <c r="E485" s="2">
        <f>VLOOKUP(A485,'23.09.2021'!A$3:'23.09.2021'!I$202,5,)</f>
        <v>44460</v>
      </c>
      <c r="F485" s="2">
        <v>44455</v>
      </c>
      <c r="G485" s="23">
        <f>VLOOKUP(A485,'23.09.2021'!A$3:'23.09.2021'!I$202,7,)</f>
        <v>9.930555555555555E-2</v>
      </c>
      <c r="H485" t="str">
        <f>VLOOKUP(A485,'23.09.2021'!A$3:'23.09.2021'!I$202,8,)</f>
        <v>HIP-HOP/RAP</v>
      </c>
      <c r="I485" t="str">
        <f>VLOOKUP(A485,'23.09.2021'!A$3:'23.09.2021'!I$202,9,)</f>
        <v>Canada</v>
      </c>
      <c r="J485" t="str">
        <f t="shared" si="19"/>
        <v>Da</v>
      </c>
    </row>
    <row r="486" spans="1:10" x14ac:dyDescent="0.2">
      <c r="A486" t="s">
        <v>303</v>
      </c>
      <c r="B486" t="s">
        <v>20</v>
      </c>
      <c r="C486">
        <v>8007543</v>
      </c>
      <c r="D486" s="7">
        <f t="shared" si="20"/>
        <v>40037.714999999997</v>
      </c>
      <c r="E486" s="2">
        <f>VLOOKUP(A486,'23.09.2021'!A$3:'23.09.2021'!I$202,5,)</f>
        <v>44460</v>
      </c>
      <c r="F486" s="2">
        <v>44455</v>
      </c>
      <c r="G486" s="23">
        <f>VLOOKUP(A486,'23.09.2021'!A$3:'23.09.2021'!I$202,7,)</f>
        <v>0.1277777777777778</v>
      </c>
      <c r="H486" t="str">
        <f>VLOOKUP(A486,'23.09.2021'!A$3:'23.09.2021'!I$202,8,)</f>
        <v>HIP-HOP/RAP</v>
      </c>
      <c r="I486" t="str">
        <f>VLOOKUP(A486,'23.09.2021'!A$3:'23.09.2021'!I$202,9,)</f>
        <v>Canada</v>
      </c>
      <c r="J486" t="str">
        <f t="shared" si="19"/>
        <v>Da</v>
      </c>
    </row>
    <row r="487" spans="1:10" x14ac:dyDescent="0.2">
      <c r="A487" t="s">
        <v>126</v>
      </c>
      <c r="B487" t="s">
        <v>38</v>
      </c>
      <c r="C487">
        <v>8006303</v>
      </c>
      <c r="D487" s="7">
        <f t="shared" si="20"/>
        <v>40031.514999999999</v>
      </c>
      <c r="E487" s="2">
        <f>VLOOKUP(A487,'2.09.2021'!A$3:'2.09.2021'!I$202,5,)</f>
        <v>44259</v>
      </c>
      <c r="F487" s="2">
        <v>44455</v>
      </c>
      <c r="G487" s="23">
        <f>VLOOKUP(A487,'2.09.2021'!A$3:'2.09.2021'!I$202,7,)</f>
        <v>0.14027777777777778</v>
      </c>
      <c r="H487" t="str">
        <f>VLOOKUP(A487,'2.09.2021'!A$3:'2.09.2021'!I$202,8,)</f>
        <v>ELECTRONIC</v>
      </c>
      <c r="I487" t="str">
        <f>VLOOKUP(A487,'2.09.2021'!A$3:'2.09.2021'!I$202,9,)</f>
        <v>Marea Britanie</v>
      </c>
      <c r="J487" t="str">
        <f t="shared" si="19"/>
        <v>Nu</v>
      </c>
    </row>
    <row r="488" spans="1:10" x14ac:dyDescent="0.2">
      <c r="A488" t="s">
        <v>137</v>
      </c>
      <c r="B488" t="s">
        <v>138</v>
      </c>
      <c r="C488">
        <v>8004957</v>
      </c>
      <c r="D488" s="7">
        <f t="shared" si="20"/>
        <v>40024.785000000003</v>
      </c>
      <c r="E488" s="2">
        <f>VLOOKUP(A488,'2.09.2021'!A$3:'2.09.2021'!I$202,5,)</f>
        <v>44428</v>
      </c>
      <c r="F488" s="2">
        <v>44455</v>
      </c>
      <c r="G488" s="23">
        <f>VLOOKUP(A488,'2.09.2021'!A$3:'2.09.2021'!I$202,7,)</f>
        <v>0.1277777777777778</v>
      </c>
      <c r="H488" t="str">
        <f>VLOOKUP(A488,'2.09.2021'!A$3:'2.09.2021'!I$202,8,)</f>
        <v>POP</v>
      </c>
      <c r="I488" t="str">
        <f>VLOOKUP(A488,'2.09.2021'!A$3:'2.09.2021'!I$202,9,)</f>
        <v>Canada</v>
      </c>
      <c r="J488" t="str">
        <f t="shared" si="19"/>
        <v>Nu</v>
      </c>
    </row>
    <row r="489" spans="1:10" x14ac:dyDescent="0.2">
      <c r="A489" t="s">
        <v>122</v>
      </c>
      <c r="B489" t="s">
        <v>59</v>
      </c>
      <c r="C489">
        <v>7804531</v>
      </c>
      <c r="D489" s="7">
        <f t="shared" si="20"/>
        <v>39022.654999999999</v>
      </c>
      <c r="E489" s="2">
        <f>VLOOKUP(A489,'2.09.2021'!A$3:'2.09.2021'!I$202,5,)</f>
        <v>44336</v>
      </c>
      <c r="F489" s="2">
        <v>44455</v>
      </c>
      <c r="G489" s="23">
        <f>VLOOKUP(A489,'2.09.2021'!A$3:'2.09.2021'!I$202,7,)</f>
        <v>0.12152777777777778</v>
      </c>
      <c r="H489" t="str">
        <f>VLOOKUP(A489,'2.09.2021'!A$3:'2.09.2021'!I$202,8,)</f>
        <v>DANCE</v>
      </c>
      <c r="I489" t="str">
        <f>VLOOKUP(A489,'2.09.2021'!A$3:'2.09.2021'!I$202,9,)</f>
        <v>Olanda</v>
      </c>
      <c r="J489" t="str">
        <f t="shared" si="19"/>
        <v>Nu</v>
      </c>
    </row>
    <row r="490" spans="1:10" x14ac:dyDescent="0.2">
      <c r="A490" t="s">
        <v>133</v>
      </c>
      <c r="B490" t="s">
        <v>17</v>
      </c>
      <c r="C490">
        <v>7716236</v>
      </c>
      <c r="D490" s="7">
        <f t="shared" si="20"/>
        <v>38581.18</v>
      </c>
      <c r="E490" s="2">
        <f>VLOOKUP(A490,'2.09.2021'!A$3:'2.09.2021'!I$202,5,)</f>
        <v>44346</v>
      </c>
      <c r="F490" s="2">
        <v>44455</v>
      </c>
      <c r="G490" s="23">
        <f>VLOOKUP(A490,'2.09.2021'!A$3:'2.09.2021'!I$202,7,)</f>
        <v>0.14930555555555555</v>
      </c>
      <c r="H490" t="str">
        <f>VLOOKUP(A490,'2.09.2021'!A$3:'2.09.2021'!I$202,8,)</f>
        <v>ALTERNATIVE</v>
      </c>
      <c r="I490" t="str">
        <f>VLOOKUP(A490,'2.09.2021'!A$3:'2.09.2021'!I$202,9,)</f>
        <v>SUA</v>
      </c>
      <c r="J490" t="str">
        <f t="shared" si="19"/>
        <v>Nu</v>
      </c>
    </row>
    <row r="491" spans="1:10" x14ac:dyDescent="0.2">
      <c r="A491" t="s">
        <v>148</v>
      </c>
      <c r="B491" t="s">
        <v>149</v>
      </c>
      <c r="C491">
        <v>7664269</v>
      </c>
      <c r="D491" s="7">
        <f t="shared" si="20"/>
        <v>38321.345000000001</v>
      </c>
      <c r="E491" s="2">
        <f>VLOOKUP(A491,'2.09.2021'!A$3:'2.09.2021'!I$202,5,)</f>
        <v>44309</v>
      </c>
      <c r="F491" s="2">
        <v>44455</v>
      </c>
      <c r="G491" s="23">
        <f>VLOOKUP(A491,'2.09.2021'!A$3:'2.09.2021'!I$202,7,)</f>
        <v>0.19930555555555554</v>
      </c>
      <c r="H491" t="str">
        <f>VLOOKUP(A491,'2.09.2021'!A$3:'2.09.2021'!I$202,8,)</f>
        <v>K-POP</v>
      </c>
      <c r="I491" t="str">
        <f>VLOOKUP(A491,'2.09.2021'!A$3:'2.09.2021'!I$202,9,)</f>
        <v>SUA</v>
      </c>
      <c r="J491" t="str">
        <f t="shared" si="19"/>
        <v>Nu</v>
      </c>
    </row>
    <row r="492" spans="1:10" x14ac:dyDescent="0.2">
      <c r="A492" t="s">
        <v>304</v>
      </c>
      <c r="B492" t="s">
        <v>20</v>
      </c>
      <c r="C492">
        <v>7553884</v>
      </c>
      <c r="D492" s="7">
        <f t="shared" si="20"/>
        <v>37769.42</v>
      </c>
      <c r="E492" s="2">
        <f>VLOOKUP(A492,'23.09.2021'!A$3:'23.09.2021'!I$202,5,)</f>
        <v>44460</v>
      </c>
      <c r="F492" s="2">
        <v>44455</v>
      </c>
      <c r="G492" s="23">
        <f>VLOOKUP(A492,'23.09.2021'!A$3:'23.09.2021'!I$202,7,)</f>
        <v>0.15763888888888888</v>
      </c>
      <c r="H492" t="str">
        <f>VLOOKUP(A492,'23.09.2021'!A$3:'23.09.2021'!I$202,8,)</f>
        <v>HIP-HOP/RAP</v>
      </c>
      <c r="I492" t="str">
        <f>VLOOKUP(A492,'23.09.2021'!A$3:'23.09.2021'!I$202,9,)</f>
        <v>Canada</v>
      </c>
      <c r="J492" t="str">
        <f t="shared" si="19"/>
        <v>Nu</v>
      </c>
    </row>
    <row r="493" spans="1:10" x14ac:dyDescent="0.2">
      <c r="A493" t="s">
        <v>139</v>
      </c>
      <c r="B493" t="s">
        <v>46</v>
      </c>
      <c r="C493">
        <v>7510269</v>
      </c>
      <c r="D493" s="7">
        <f t="shared" si="20"/>
        <v>37551.345000000001</v>
      </c>
      <c r="E493" s="2">
        <f>VLOOKUP(A493,'2.09.2021'!A$3:'2.09.2021'!I$202,5,)</f>
        <v>44209</v>
      </c>
      <c r="F493" s="2">
        <v>44455</v>
      </c>
      <c r="G493" s="23">
        <f>VLOOKUP(A493,'2.09.2021'!A$3:'2.09.2021'!I$202,7,)</f>
        <v>0.16874999999999998</v>
      </c>
      <c r="H493" t="str">
        <f>VLOOKUP(A493,'2.09.2021'!A$3:'2.09.2021'!I$202,8,)</f>
        <v>ELECTRONIC</v>
      </c>
      <c r="I493" t="str">
        <f>VLOOKUP(A493,'2.09.2021'!A$3:'2.09.2021'!I$202,9,)</f>
        <v>Canada</v>
      </c>
      <c r="J493" t="str">
        <f t="shared" si="19"/>
        <v>Nu</v>
      </c>
    </row>
    <row r="494" spans="1:10" x14ac:dyDescent="0.2">
      <c r="A494" t="s">
        <v>445</v>
      </c>
      <c r="B494" t="s">
        <v>140</v>
      </c>
      <c r="C494">
        <v>7506959</v>
      </c>
      <c r="D494" s="7">
        <f t="shared" si="20"/>
        <v>37534.794999999998</v>
      </c>
      <c r="E494" s="2">
        <f>VLOOKUP(A494,'2.09.2021'!A$3:'2.09.2021'!I$202,5,)</f>
        <v>44389</v>
      </c>
      <c r="F494" s="2">
        <v>44455</v>
      </c>
      <c r="G494" s="23">
        <f>VLOOKUP(A494,'2.09.2021'!A$3:'2.09.2021'!I$202,7,)</f>
        <v>0.20694444444444446</v>
      </c>
      <c r="H494" t="str">
        <f>VLOOKUP(A494,'2.09.2021'!A$3:'2.09.2021'!I$202,8,)</f>
        <v>ALTERNATIVE</v>
      </c>
      <c r="I494" t="str">
        <f>VLOOKUP(A494,'2.09.2021'!A$3:'2.09.2021'!I$202,9,)</f>
        <v>SUA</v>
      </c>
      <c r="J494" t="str">
        <f t="shared" si="19"/>
        <v>Da</v>
      </c>
    </row>
    <row r="495" spans="1:10" x14ac:dyDescent="0.2">
      <c r="A495" t="s">
        <v>181</v>
      </c>
      <c r="B495" t="s">
        <v>42</v>
      </c>
      <c r="C495">
        <v>7486880</v>
      </c>
      <c r="D495" s="7">
        <f t="shared" si="20"/>
        <v>37434.400000000001</v>
      </c>
      <c r="E495" s="2">
        <f>VLOOKUP(A495,'2.09.2021'!A$3:'2.09.2021'!I$202,5,)</f>
        <v>44316</v>
      </c>
      <c r="F495" s="2">
        <v>44455</v>
      </c>
      <c r="G495" s="23">
        <f>VLOOKUP(A495,'2.09.2021'!A$3:'2.09.2021'!I$202,7,)</f>
        <v>0.12013888888888889</v>
      </c>
      <c r="H495" t="str">
        <f>VLOOKUP(A495,'2.09.2021'!A$3:'2.09.2021'!I$202,8,)</f>
        <v>ELECTRONIC</v>
      </c>
      <c r="I495" t="str">
        <f>VLOOKUP(A495,'2.09.2021'!A$3:'2.09.2021'!I$202,9,)</f>
        <v>Columbia</v>
      </c>
      <c r="J495" t="str">
        <f t="shared" si="19"/>
        <v>Nu</v>
      </c>
    </row>
    <row r="496" spans="1:10" x14ac:dyDescent="0.2">
      <c r="A496" t="s">
        <v>165</v>
      </c>
      <c r="B496" t="s">
        <v>166</v>
      </c>
      <c r="C496">
        <v>7393139</v>
      </c>
      <c r="D496" s="7">
        <f t="shared" si="20"/>
        <v>36965.695</v>
      </c>
      <c r="E496" s="2">
        <f>VLOOKUP(A496,'2.09.2021'!A$3:'2.09.2021'!I$202,5,)</f>
        <v>44406</v>
      </c>
      <c r="F496" s="2">
        <v>44455</v>
      </c>
      <c r="G496" s="23">
        <f>VLOOKUP(A496,'2.09.2021'!A$3:'2.09.2021'!I$202,7,)</f>
        <v>0.14652777777777778</v>
      </c>
      <c r="H496" t="str">
        <f>VLOOKUP(A496,'2.09.2021'!A$3:'2.09.2021'!I$202,8,)</f>
        <v>LATIN</v>
      </c>
      <c r="I496" t="str">
        <f>VLOOKUP(A496,'2.09.2021'!A$3:'2.09.2021'!I$202,9,)</f>
        <v>India</v>
      </c>
      <c r="J496" t="str">
        <f t="shared" si="19"/>
        <v>Nu</v>
      </c>
    </row>
    <row r="497" spans="1:10" x14ac:dyDescent="0.2">
      <c r="A497" t="s">
        <v>444</v>
      </c>
      <c r="B497" t="s">
        <v>121</v>
      </c>
      <c r="C497">
        <v>7337211</v>
      </c>
      <c r="D497" s="7">
        <f t="shared" si="20"/>
        <v>36686.055</v>
      </c>
      <c r="E497" s="2">
        <f>VLOOKUP(A497,'2.09.2021'!A$3:'2.09.2021'!I$202,5,)</f>
        <v>43945</v>
      </c>
      <c r="F497" s="2">
        <v>44455</v>
      </c>
      <c r="G497" s="23">
        <f>VLOOKUP(A497,'2.09.2021'!A$3:'2.09.2021'!I$202,7,)</f>
        <v>9.0277777777777776E-2</v>
      </c>
      <c r="H497" t="str">
        <f>VLOOKUP(A497,'2.09.2021'!A$3:'2.09.2021'!I$202,8,)</f>
        <v>R&amp;B/SOUL</v>
      </c>
      <c r="I497" t="str">
        <f>VLOOKUP(A497,'2.09.2021'!A$3:'2.09.2021'!I$202,9,)</f>
        <v>Canada</v>
      </c>
      <c r="J497" t="str">
        <f t="shared" si="19"/>
        <v>Da</v>
      </c>
    </row>
    <row r="498" spans="1:10" x14ac:dyDescent="0.2">
      <c r="A498" t="s">
        <v>155</v>
      </c>
      <c r="B498" t="s">
        <v>156</v>
      </c>
      <c r="C498">
        <v>7335785</v>
      </c>
      <c r="D498" s="7">
        <f t="shared" si="20"/>
        <v>36678.925000000003</v>
      </c>
      <c r="E498" s="2">
        <f>VLOOKUP(A498,'2.09.2021'!A$3:'2.09.2021'!I$202,5,)</f>
        <v>44245</v>
      </c>
      <c r="F498" s="2">
        <v>44455</v>
      </c>
      <c r="G498" s="23">
        <f>VLOOKUP(A498,'2.09.2021'!A$3:'2.09.2021'!I$202,7,)</f>
        <v>0.10069444444444443</v>
      </c>
      <c r="H498" t="str">
        <f>VLOOKUP(A498,'2.09.2021'!A$3:'2.09.2021'!I$202,8,)</f>
        <v>RHYTHM &amp; BLUES</v>
      </c>
      <c r="I498" t="str">
        <f>VLOOKUP(A498,'2.09.2021'!A$3:'2.09.2021'!I$202,9,)</f>
        <v>SUA</v>
      </c>
      <c r="J498" t="str">
        <f t="shared" si="19"/>
        <v>Nu</v>
      </c>
    </row>
    <row r="499" spans="1:10" x14ac:dyDescent="0.2">
      <c r="A499" t="s">
        <v>313</v>
      </c>
      <c r="B499" t="s">
        <v>52</v>
      </c>
      <c r="C499">
        <v>7290622</v>
      </c>
      <c r="D499" s="7">
        <f t="shared" si="20"/>
        <v>36453.11</v>
      </c>
      <c r="E499" s="2">
        <f>VLOOKUP(A499,'2.09.2021'!A$3:'2.09.2021'!I$202,5,)</f>
        <v>44437</v>
      </c>
      <c r="F499" s="2">
        <v>44455</v>
      </c>
      <c r="G499" s="23">
        <f>VLOOKUP(A499,'2.09.2021'!A$3:'2.09.2021'!I$202,7,)</f>
        <v>0.20625000000000002</v>
      </c>
      <c r="H499" t="str">
        <f>VLOOKUP(A499,'2.09.2021'!A$3:'2.09.2021'!I$202,8,)</f>
        <v>HIP-HOP/RAP</v>
      </c>
      <c r="I499" t="str">
        <f>VLOOKUP(A499,'2.09.2021'!A$3:'2.09.2021'!I$202,9,)</f>
        <v>SUA</v>
      </c>
      <c r="J499" t="str">
        <f t="shared" si="19"/>
        <v>Nu</v>
      </c>
    </row>
    <row r="500" spans="1:10" x14ac:dyDescent="0.2">
      <c r="A500" t="s">
        <v>150</v>
      </c>
      <c r="B500" t="s">
        <v>151</v>
      </c>
      <c r="C500">
        <v>7057115</v>
      </c>
      <c r="D500" s="7">
        <f t="shared" si="20"/>
        <v>35285.574999999997</v>
      </c>
      <c r="E500" s="2">
        <f>VLOOKUP(A500,'2.09.2021'!A$3:'2.09.2021'!I$202,5,)</f>
        <v>44244</v>
      </c>
      <c r="F500" s="2">
        <v>44455</v>
      </c>
      <c r="G500" s="23">
        <f>VLOOKUP(A500,'2.09.2021'!A$3:'2.09.2021'!I$202,7,)</f>
        <v>0.1173611111111111</v>
      </c>
      <c r="H500" t="str">
        <f>VLOOKUP(A500,'2.09.2021'!A$3:'2.09.2021'!I$202,8,)</f>
        <v>LATIN URBAN</v>
      </c>
      <c r="I500" t="str">
        <f>VLOOKUP(A500,'2.09.2021'!A$3:'2.09.2021'!I$202,9,)</f>
        <v>Brazilia</v>
      </c>
      <c r="J500" t="str">
        <f t="shared" si="19"/>
        <v>Nu</v>
      </c>
    </row>
    <row r="501" spans="1:10" x14ac:dyDescent="0.2">
      <c r="A501" t="s">
        <v>170</v>
      </c>
      <c r="B501" t="s">
        <v>171</v>
      </c>
      <c r="C501">
        <v>7005873</v>
      </c>
      <c r="D501" s="7">
        <f t="shared" si="20"/>
        <v>35029.364999999998</v>
      </c>
      <c r="E501" s="2">
        <f>VLOOKUP(A501,'2.09.2021'!A$3:'2.09.2021'!I$202,5,)</f>
        <v>44446</v>
      </c>
      <c r="F501" s="2">
        <v>44455</v>
      </c>
      <c r="G501" s="23">
        <f>VLOOKUP(A501,'2.09.2021'!A$3:'2.09.2021'!I$202,7,)</f>
        <v>9.5138888888888884E-2</v>
      </c>
      <c r="H501" t="str">
        <f>VLOOKUP(A501,'2.09.2021'!A$3:'2.09.2021'!I$202,8,)</f>
        <v>ALTERNATIVE</v>
      </c>
      <c r="I501" t="str">
        <f>VLOOKUP(A501,'2.09.2021'!A$3:'2.09.2021'!I$202,9,)</f>
        <v>SUA</v>
      </c>
      <c r="J501" t="str">
        <f t="shared" si="19"/>
        <v>Nu</v>
      </c>
    </row>
    <row r="502" spans="1:10" x14ac:dyDescent="0.2">
      <c r="A502" t="s">
        <v>205</v>
      </c>
      <c r="B502" t="s">
        <v>206</v>
      </c>
      <c r="C502">
        <v>6966457</v>
      </c>
      <c r="D502" s="7">
        <f t="shared" si="20"/>
        <v>34832.285000000003</v>
      </c>
      <c r="E502" s="2">
        <f>VLOOKUP(A502,'2.09.2021'!A$3:'2.09.2021'!I$202,5,)</f>
        <v>44308</v>
      </c>
      <c r="F502" s="2">
        <v>44455</v>
      </c>
      <c r="G502" s="23">
        <f>VLOOKUP(A502,'2.09.2021'!A$3:'2.09.2021'!I$202,7,)</f>
        <v>0.14722222222222223</v>
      </c>
      <c r="H502" t="str">
        <f>VLOOKUP(A502,'2.09.2021'!A$3:'2.09.2021'!I$202,8,)</f>
        <v>HIP-HOP/RAP</v>
      </c>
      <c r="I502" t="str">
        <f>VLOOKUP(A502,'2.09.2021'!A$3:'2.09.2021'!I$202,9,)</f>
        <v>India</v>
      </c>
      <c r="J502" t="str">
        <f t="shared" si="19"/>
        <v>Nu</v>
      </c>
    </row>
    <row r="503" spans="1:10" x14ac:dyDescent="0.2">
      <c r="A503" t="s">
        <v>146</v>
      </c>
      <c r="B503" t="s">
        <v>147</v>
      </c>
      <c r="C503">
        <v>6952543</v>
      </c>
      <c r="D503" s="7">
        <f t="shared" si="20"/>
        <v>34762.714999999997</v>
      </c>
      <c r="E503" s="2">
        <f>VLOOKUP(A503,'2.09.2021'!A$3:'2.09.2021'!I$202,5,)</f>
        <v>44370</v>
      </c>
      <c r="F503" s="2">
        <v>44455</v>
      </c>
      <c r="G503" s="23">
        <f>VLOOKUP(A503,'2.09.2021'!A$3:'2.09.2021'!I$202,7,)</f>
        <v>0.15972222222222224</v>
      </c>
      <c r="H503" t="str">
        <f>VLOOKUP(A503,'2.09.2021'!A$3:'2.09.2021'!I$202,8,)</f>
        <v>HIP-HOP/RAP</v>
      </c>
      <c r="I503" t="str">
        <f>VLOOKUP(A503,'2.09.2021'!A$3:'2.09.2021'!I$202,9,)</f>
        <v>SUA</v>
      </c>
      <c r="J503" t="str">
        <f t="shared" si="19"/>
        <v>Nu</v>
      </c>
    </row>
    <row r="504" spans="1:10" x14ac:dyDescent="0.2">
      <c r="A504" t="s">
        <v>130</v>
      </c>
      <c r="B504" t="s">
        <v>23</v>
      </c>
      <c r="C504">
        <v>6914740</v>
      </c>
      <c r="D504" s="7">
        <f t="shared" si="20"/>
        <v>34573.699999999997</v>
      </c>
      <c r="E504" s="2">
        <f>VLOOKUP(A504,'2.09.2021'!A$3:'2.09.2021'!I$202,5,)</f>
        <v>44385</v>
      </c>
      <c r="F504" s="2">
        <v>44455</v>
      </c>
      <c r="G504" s="23">
        <f>VLOOKUP(A504,'2.09.2021'!A$3:'2.09.2021'!I$202,7,)</f>
        <v>0.16805555555555554</v>
      </c>
      <c r="H504" t="str">
        <f>VLOOKUP(A504,'2.09.2021'!A$3:'2.09.2021'!I$202,8,)</f>
        <v>LATIN URBAN</v>
      </c>
      <c r="I504" t="str">
        <f>VLOOKUP(A504,'2.09.2021'!A$3:'2.09.2021'!I$202,9,)</f>
        <v>SUA</v>
      </c>
      <c r="J504" t="str">
        <f t="shared" si="19"/>
        <v>Da</v>
      </c>
    </row>
    <row r="505" spans="1:10" x14ac:dyDescent="0.2">
      <c r="A505" t="s">
        <v>136</v>
      </c>
      <c r="B505" t="s">
        <v>10</v>
      </c>
      <c r="C505">
        <v>6881233</v>
      </c>
      <c r="D505" s="7">
        <f t="shared" si="20"/>
        <v>34406.165000000001</v>
      </c>
      <c r="E505" s="2">
        <f>VLOOKUP(A505,'2.09.2021'!A$3:'2.09.2021'!I$202,5,)</f>
        <v>44240</v>
      </c>
      <c r="F505" s="2">
        <v>44455</v>
      </c>
      <c r="G505" s="23">
        <f>VLOOKUP(A505,'2.09.2021'!A$3:'2.09.2021'!I$202,7,)</f>
        <v>0.13958333333333334</v>
      </c>
      <c r="H505" t="str">
        <f>VLOOKUP(A505,'2.09.2021'!A$3:'2.09.2021'!I$202,8,)</f>
        <v>POP</v>
      </c>
      <c r="I505" t="str">
        <f>VLOOKUP(A505,'2.09.2021'!A$3:'2.09.2021'!I$202,9,)</f>
        <v>Marea Britanie</v>
      </c>
      <c r="J505" t="str">
        <f t="shared" si="19"/>
        <v>Nu</v>
      </c>
    </row>
    <row r="506" spans="1:10" x14ac:dyDescent="0.2">
      <c r="A506" t="s">
        <v>152</v>
      </c>
      <c r="B506" t="s">
        <v>106</v>
      </c>
      <c r="C506">
        <v>6854130</v>
      </c>
      <c r="D506" s="7">
        <f t="shared" si="20"/>
        <v>34270.65</v>
      </c>
      <c r="E506" s="2">
        <f>VLOOKUP(A506,'2.09.2021'!A$3:'2.09.2021'!I$202,5,)</f>
        <v>44226</v>
      </c>
      <c r="F506" s="2">
        <v>44455</v>
      </c>
      <c r="G506" s="23">
        <f>VLOOKUP(A506,'2.09.2021'!A$3:'2.09.2021'!I$202,7,)</f>
        <v>0.13541666666666666</v>
      </c>
      <c r="H506" t="str">
        <f>VLOOKUP(A506,'2.09.2021'!A$3:'2.09.2021'!I$202,8,)</f>
        <v>HIP-HOP/RAP</v>
      </c>
      <c r="I506" t="str">
        <f>VLOOKUP(A506,'2.09.2021'!A$3:'2.09.2021'!I$202,9,)</f>
        <v>Scoția</v>
      </c>
      <c r="J506" t="str">
        <f t="shared" si="19"/>
        <v>Nu</v>
      </c>
    </row>
    <row r="507" spans="1:10" x14ac:dyDescent="0.2">
      <c r="A507" t="s">
        <v>153</v>
      </c>
      <c r="B507" t="s">
        <v>154</v>
      </c>
      <c r="C507">
        <v>6842222</v>
      </c>
      <c r="D507" s="7">
        <f t="shared" si="20"/>
        <v>34211.11</v>
      </c>
      <c r="E507" s="2">
        <f>VLOOKUP(A507,'2.09.2021'!A$3:'2.09.2021'!I$202,5,)</f>
        <v>44307</v>
      </c>
      <c r="F507" s="2">
        <v>44455</v>
      </c>
      <c r="G507" s="23">
        <f>VLOOKUP(A507,'2.09.2021'!A$3:'2.09.2021'!I$202,7,)</f>
        <v>0.15069444444444444</v>
      </c>
      <c r="H507" t="str">
        <f>VLOOKUP(A507,'2.09.2021'!A$3:'2.09.2021'!I$202,8,)</f>
        <v>POP</v>
      </c>
      <c r="I507" t="str">
        <f>VLOOKUP(A507,'2.09.2021'!A$3:'2.09.2021'!I$202,9,)</f>
        <v>SUA</v>
      </c>
      <c r="J507" t="str">
        <f t="shared" si="19"/>
        <v>Nu</v>
      </c>
    </row>
    <row r="508" spans="1:10" x14ac:dyDescent="0.2">
      <c r="A508" t="s">
        <v>89</v>
      </c>
      <c r="B508" t="s">
        <v>34</v>
      </c>
      <c r="C508">
        <v>6827051</v>
      </c>
      <c r="D508" s="7">
        <f t="shared" si="20"/>
        <v>34135.255000000005</v>
      </c>
      <c r="E508" s="2">
        <v>44276</v>
      </c>
      <c r="F508" s="2">
        <v>44455</v>
      </c>
      <c r="G508" s="23">
        <v>0.18124999999999999</v>
      </c>
      <c r="H508" t="s">
        <v>418</v>
      </c>
      <c r="I508" t="s">
        <v>474</v>
      </c>
      <c r="J508" t="str">
        <f t="shared" si="19"/>
        <v>Nu</v>
      </c>
    </row>
    <row r="509" spans="1:10" x14ac:dyDescent="0.2">
      <c r="A509" t="s">
        <v>208</v>
      </c>
      <c r="B509" t="s">
        <v>209</v>
      </c>
      <c r="C509">
        <v>6821787</v>
      </c>
      <c r="D509" s="7">
        <f t="shared" si="20"/>
        <v>34108.934999999998</v>
      </c>
      <c r="E509" s="2">
        <f>VLOOKUP(A509,'2.09.2021'!A$3:'2.09.2021'!I$202,5,)</f>
        <v>44452</v>
      </c>
      <c r="F509" s="2">
        <v>44455</v>
      </c>
      <c r="G509" s="23">
        <f>VLOOKUP(A509,'2.09.2021'!A$3:'2.09.2021'!I$202,7,)</f>
        <v>0.13819444444444443</v>
      </c>
      <c r="H509" t="str">
        <f>VLOOKUP(A509,'2.09.2021'!A$3:'2.09.2021'!I$202,8,)</f>
        <v>HIP-HOP/RAP</v>
      </c>
      <c r="I509" t="str">
        <f>VLOOKUP(A509,'2.09.2021'!A$3:'2.09.2021'!I$202,9,)</f>
        <v>Brazilia</v>
      </c>
      <c r="J509" t="str">
        <f t="shared" si="19"/>
        <v>Nu</v>
      </c>
    </row>
    <row r="510" spans="1:10" x14ac:dyDescent="0.2">
      <c r="A510" t="s">
        <v>161</v>
      </c>
      <c r="B510" t="s">
        <v>162</v>
      </c>
      <c r="C510">
        <v>6808681</v>
      </c>
      <c r="D510" s="7">
        <f t="shared" si="20"/>
        <v>34043.404999999999</v>
      </c>
      <c r="E510" s="2">
        <f>VLOOKUP(A510,'2.09.2021'!A$3:'2.09.2021'!I$202,5,)</f>
        <v>44408</v>
      </c>
      <c r="F510" s="2">
        <v>44455</v>
      </c>
      <c r="G510" s="23">
        <f>VLOOKUP(A510,'2.09.2021'!A$3:'2.09.2021'!I$202,7,)</f>
        <v>0.15277777777777776</v>
      </c>
      <c r="H510" t="str">
        <f>VLOOKUP(A510,'2.09.2021'!A$3:'2.09.2021'!I$202,8,)</f>
        <v>HIP-HOP/RAP</v>
      </c>
      <c r="I510" t="str">
        <f>VLOOKUP(A510,'2.09.2021'!A$3:'2.09.2021'!I$202,9,)</f>
        <v>Australia</v>
      </c>
      <c r="J510" t="str">
        <f t="shared" si="19"/>
        <v>Nu</v>
      </c>
    </row>
    <row r="511" spans="1:10" x14ac:dyDescent="0.2">
      <c r="A511" t="s">
        <v>157</v>
      </c>
      <c r="B511" t="s">
        <v>158</v>
      </c>
      <c r="C511">
        <v>6802792</v>
      </c>
      <c r="D511" s="7">
        <f t="shared" si="20"/>
        <v>34013.96</v>
      </c>
      <c r="E511" s="2">
        <f>VLOOKUP(A511,'2.09.2021'!A$3:'2.09.2021'!I$202,5,)</f>
        <v>44245</v>
      </c>
      <c r="F511" s="2">
        <v>44455</v>
      </c>
      <c r="G511" s="23">
        <f>VLOOKUP(A511,'2.09.2021'!A$3:'2.09.2021'!I$202,7,)</f>
        <v>0.14305555555555557</v>
      </c>
      <c r="H511" t="str">
        <f>VLOOKUP(A511,'2.09.2021'!A$3:'2.09.2021'!I$202,8,)</f>
        <v>POP</v>
      </c>
      <c r="I511" t="str">
        <f>VLOOKUP(A511,'2.09.2021'!A$3:'2.09.2021'!I$202,9,)</f>
        <v>SUA</v>
      </c>
      <c r="J511" t="str">
        <f t="shared" si="19"/>
        <v>Nu</v>
      </c>
    </row>
    <row r="512" spans="1:10" x14ac:dyDescent="0.2">
      <c r="A512" t="s">
        <v>248</v>
      </c>
      <c r="B512" t="s">
        <v>211</v>
      </c>
      <c r="C512">
        <v>6789965</v>
      </c>
      <c r="D512" s="7">
        <f t="shared" si="20"/>
        <v>33949.824999999997</v>
      </c>
      <c r="E512" s="2">
        <f>VLOOKUP(A512,'2.09.2021'!A$3:'2.09.2021'!I$202,5,)</f>
        <v>44282</v>
      </c>
      <c r="F512" s="2">
        <v>44455</v>
      </c>
      <c r="G512" s="23">
        <f>VLOOKUP(A512,'2.09.2021'!A$3:'2.09.2021'!I$202,7,)</f>
        <v>9.7916666666666666E-2</v>
      </c>
      <c r="H512" t="str">
        <f>VLOOKUP(A512,'2.09.2021'!A$3:'2.09.2021'!I$202,8,)</f>
        <v>R&amp;B/SOUL</v>
      </c>
      <c r="I512" t="str">
        <f>VLOOKUP(A512,'2.09.2021'!A$3:'2.09.2021'!I$202,9,)</f>
        <v>SUA</v>
      </c>
      <c r="J512" t="str">
        <f t="shared" si="19"/>
        <v>Nu</v>
      </c>
    </row>
    <row r="513" spans="1:10" x14ac:dyDescent="0.2">
      <c r="A513" t="s">
        <v>450</v>
      </c>
      <c r="B513" t="s">
        <v>55</v>
      </c>
      <c r="C513">
        <v>6764457</v>
      </c>
      <c r="D513" s="7">
        <f t="shared" si="20"/>
        <v>33822.285000000003</v>
      </c>
      <c r="E513" s="2">
        <f>VLOOKUP(A513,'2.09.2021'!A$3:'2.09.2021'!I$202,5,)</f>
        <v>44435</v>
      </c>
      <c r="F513" s="2">
        <v>44455</v>
      </c>
      <c r="G513" s="23">
        <f>VLOOKUP(A513,'2.09.2021'!A$3:'2.09.2021'!I$202,7,)</f>
        <v>0.11388888888888889</v>
      </c>
      <c r="H513" t="str">
        <f>VLOOKUP(A513,'2.09.2021'!A$3:'2.09.2021'!I$202,8,)</f>
        <v>K-POP</v>
      </c>
      <c r="I513" t="str">
        <f>VLOOKUP(A513,'2.09.2021'!A$3:'2.09.2021'!I$202,9,)</f>
        <v>Korea de Sud</v>
      </c>
      <c r="J513" t="str">
        <f t="shared" si="19"/>
        <v>Da</v>
      </c>
    </row>
    <row r="514" spans="1:10" x14ac:dyDescent="0.2">
      <c r="A514" t="s">
        <v>179</v>
      </c>
      <c r="B514" t="s">
        <v>180</v>
      </c>
      <c r="C514">
        <v>6629131</v>
      </c>
      <c r="D514" s="7">
        <f t="shared" si="20"/>
        <v>33145.654999999999</v>
      </c>
      <c r="E514" s="2">
        <f>VLOOKUP(A514,'2.09.2021'!A$3:'2.09.2021'!I$202,5,)</f>
        <v>44303</v>
      </c>
      <c r="F514" s="2">
        <v>44455</v>
      </c>
      <c r="G514" s="23">
        <f>VLOOKUP(A514,'2.09.2021'!A$3:'2.09.2021'!I$202,7,)</f>
        <v>0.15902777777777777</v>
      </c>
      <c r="H514" t="str">
        <f>VLOOKUP(A514,'2.09.2021'!A$3:'2.09.2021'!I$202,8,)</f>
        <v>HIP-HOP/RAP</v>
      </c>
      <c r="I514" t="str">
        <f>VLOOKUP(A514,'2.09.2021'!A$3:'2.09.2021'!I$202,9,)</f>
        <v>Olanda</v>
      </c>
      <c r="J514" t="str">
        <f t="shared" ref="J514:J577" si="21">IF(ISNUMBER(SEARCH("with",A514)),"Da","Nu")</f>
        <v>Nu</v>
      </c>
    </row>
    <row r="515" spans="1:10" x14ac:dyDescent="0.2">
      <c r="A515" t="s">
        <v>351</v>
      </c>
      <c r="B515" t="s">
        <v>80</v>
      </c>
      <c r="C515">
        <v>6609971</v>
      </c>
      <c r="D515" s="7">
        <f t="shared" si="20"/>
        <v>33049.854999999996</v>
      </c>
      <c r="E515" s="2">
        <v>44303</v>
      </c>
      <c r="F515" s="2">
        <v>44455</v>
      </c>
      <c r="G515" s="23">
        <v>0.13958333333333334</v>
      </c>
      <c r="H515" t="s">
        <v>423</v>
      </c>
      <c r="I515" t="s">
        <v>503</v>
      </c>
      <c r="J515" t="str">
        <f t="shared" si="21"/>
        <v>Da</v>
      </c>
    </row>
    <row r="516" spans="1:10" x14ac:dyDescent="0.2">
      <c r="A516" t="s">
        <v>256</v>
      </c>
      <c r="B516" t="s">
        <v>257</v>
      </c>
      <c r="C516">
        <v>6521903</v>
      </c>
      <c r="D516" s="7">
        <f t="shared" si="20"/>
        <v>32609.514999999999</v>
      </c>
      <c r="E516" s="2">
        <f>VLOOKUP(A516,'2.09.2021'!A$3:'2.09.2021'!I$202,5,)</f>
        <v>44307</v>
      </c>
      <c r="F516" s="2">
        <v>44455</v>
      </c>
      <c r="G516" s="23">
        <f>VLOOKUP(A516,'2.09.2021'!A$3:'2.09.2021'!I$202,7,)</f>
        <v>0.14583333333333334</v>
      </c>
      <c r="H516" t="str">
        <f>VLOOKUP(A516,'2.09.2021'!A$3:'2.09.2021'!I$202,8,)</f>
        <v>R&amp;B/SOUL</v>
      </c>
      <c r="I516" t="str">
        <f>VLOOKUP(A516,'2.09.2021'!A$3:'2.09.2021'!I$202,9,)</f>
        <v>Brazilia</v>
      </c>
      <c r="J516" t="str">
        <f t="shared" si="21"/>
        <v>Nu</v>
      </c>
    </row>
    <row r="517" spans="1:10" x14ac:dyDescent="0.2">
      <c r="A517" t="s">
        <v>194</v>
      </c>
      <c r="B517" t="s">
        <v>12</v>
      </c>
      <c r="C517">
        <v>6505182</v>
      </c>
      <c r="D517" s="7">
        <f t="shared" si="20"/>
        <v>32525.91</v>
      </c>
      <c r="E517" s="2">
        <f>VLOOKUP(A517,'2.09.2021'!A$3:'2.09.2021'!I$202,5,)</f>
        <v>44262</v>
      </c>
      <c r="F517" s="2">
        <v>44455</v>
      </c>
      <c r="G517" s="23">
        <f>VLOOKUP(A517,'2.09.2021'!A$3:'2.09.2021'!I$202,7,)</f>
        <v>0.10833333333333334</v>
      </c>
      <c r="H517" t="str">
        <f>VLOOKUP(A517,'2.09.2021'!A$3:'2.09.2021'!I$202,8,)</f>
        <v>LATIN URBAN</v>
      </c>
      <c r="I517" t="str">
        <f>VLOOKUP(A517,'2.09.2021'!A$3:'2.09.2021'!I$202,9,)</f>
        <v>SUA</v>
      </c>
      <c r="J517" t="str">
        <f t="shared" si="21"/>
        <v>Nu</v>
      </c>
    </row>
    <row r="518" spans="1:10" x14ac:dyDescent="0.2">
      <c r="A518" t="s">
        <v>221</v>
      </c>
      <c r="B518" t="s">
        <v>222</v>
      </c>
      <c r="C518">
        <v>6486642</v>
      </c>
      <c r="D518" s="7">
        <f t="shared" si="20"/>
        <v>32433.21</v>
      </c>
      <c r="E518" s="2">
        <f>VLOOKUP(A518,'2.09.2021'!A$3:'2.09.2021'!I$202,5,)</f>
        <v>44286</v>
      </c>
      <c r="F518" s="2">
        <v>44455</v>
      </c>
      <c r="G518" s="23">
        <f>VLOOKUP(A518,'2.09.2021'!A$3:'2.09.2021'!I$202,7,)</f>
        <v>8.8888888888888892E-2</v>
      </c>
      <c r="H518" t="str">
        <f>VLOOKUP(A518,'2.09.2021'!A$3:'2.09.2021'!I$202,8,)</f>
        <v>HIP-HOP/RAP</v>
      </c>
      <c r="I518" t="str">
        <f>VLOOKUP(A518,'2.09.2021'!A$3:'2.09.2021'!I$202,9,)</f>
        <v>Brazilia</v>
      </c>
      <c r="J518" t="str">
        <f t="shared" si="21"/>
        <v>Nu</v>
      </c>
    </row>
    <row r="519" spans="1:10" x14ac:dyDescent="0.2">
      <c r="A519" t="s">
        <v>172</v>
      </c>
      <c r="B519" t="s">
        <v>173</v>
      </c>
      <c r="C519">
        <v>6475476</v>
      </c>
      <c r="D519" s="7">
        <f t="shared" si="20"/>
        <v>32377.379999999997</v>
      </c>
      <c r="E519" s="2">
        <f>VLOOKUP(A519,'2.09.2021'!A$3:'2.09.2021'!I$202,5,)</f>
        <v>44227</v>
      </c>
      <c r="F519" s="2">
        <v>44455</v>
      </c>
      <c r="G519" s="23">
        <f>VLOOKUP(A519,'2.09.2021'!A$3:'2.09.2021'!I$202,7,)</f>
        <v>0.23124999999999998</v>
      </c>
      <c r="H519" t="str">
        <f>VLOOKUP(A519,'2.09.2021'!A$3:'2.09.2021'!I$202,8,)</f>
        <v>HIP-HOP/RAP</v>
      </c>
      <c r="I519" t="str">
        <f>VLOOKUP(A519,'2.09.2021'!A$3:'2.09.2021'!I$202,9,)</f>
        <v>SUA</v>
      </c>
      <c r="J519" t="str">
        <f t="shared" si="21"/>
        <v>Nu</v>
      </c>
    </row>
    <row r="520" spans="1:10" x14ac:dyDescent="0.2">
      <c r="A520" t="s">
        <v>163</v>
      </c>
      <c r="B520" t="s">
        <v>164</v>
      </c>
      <c r="C520">
        <v>6462929</v>
      </c>
      <c r="D520" s="7">
        <f t="shared" si="20"/>
        <v>32314.645</v>
      </c>
      <c r="E520" s="2">
        <f>VLOOKUP(A520,'2.09.2021'!A$3:'2.09.2021'!I$202,5,)</f>
        <v>44412</v>
      </c>
      <c r="F520" s="2">
        <v>44455</v>
      </c>
      <c r="G520" s="23">
        <f>VLOOKUP(A520,'2.09.2021'!A$3:'2.09.2021'!I$202,7,)</f>
        <v>0.10069444444444443</v>
      </c>
      <c r="H520" t="str">
        <f>VLOOKUP(A520,'2.09.2021'!A$3:'2.09.2021'!I$202,8,)</f>
        <v>HIP-HOP/RAP</v>
      </c>
      <c r="I520" t="str">
        <f>VLOOKUP(A520,'2.09.2021'!A$3:'2.09.2021'!I$202,9,)</f>
        <v>SUA</v>
      </c>
      <c r="J520" t="str">
        <f t="shared" si="21"/>
        <v>Nu</v>
      </c>
    </row>
    <row r="521" spans="1:10" x14ac:dyDescent="0.2">
      <c r="A521" t="s">
        <v>168</v>
      </c>
      <c r="B521" t="s">
        <v>158</v>
      </c>
      <c r="C521">
        <v>6448362</v>
      </c>
      <c r="D521" s="7">
        <f t="shared" si="20"/>
        <v>32241.81</v>
      </c>
      <c r="E521" s="2">
        <f>VLOOKUP(A521,'2.09.2021'!A$3:'2.09.2021'!I$202,5,)</f>
        <v>44464</v>
      </c>
      <c r="F521" s="2">
        <v>44455</v>
      </c>
      <c r="G521" s="23">
        <f>VLOOKUP(A521,'2.09.2021'!A$3:'2.09.2021'!I$202,7,)</f>
        <v>0.12361111111111112</v>
      </c>
      <c r="H521" t="str">
        <f>VLOOKUP(A521,'2.09.2021'!A$3:'2.09.2021'!I$202,8,)</f>
        <v>LATIN URBAN</v>
      </c>
      <c r="I521" t="str">
        <f>VLOOKUP(A521,'2.09.2021'!A$3:'2.09.2021'!I$202,9,)</f>
        <v>SUA</v>
      </c>
      <c r="J521" t="str">
        <f t="shared" si="21"/>
        <v>Nu</v>
      </c>
    </row>
    <row r="522" spans="1:10" x14ac:dyDescent="0.2">
      <c r="A522" t="s">
        <v>454</v>
      </c>
      <c r="B522" t="s">
        <v>279</v>
      </c>
      <c r="C522">
        <v>6435858</v>
      </c>
      <c r="D522" s="7">
        <f t="shared" si="20"/>
        <v>32179.29</v>
      </c>
      <c r="E522" s="2">
        <f>VLOOKUP(A522,'2.09.2021'!A$3:'2.09.2021'!I$202,5,)</f>
        <v>44383</v>
      </c>
      <c r="F522" s="2">
        <v>44455</v>
      </c>
      <c r="G522" s="23">
        <f>VLOOKUP(A522,'2.09.2021'!A$3:'2.09.2021'!I$202,7,)</f>
        <v>0.13958333333333334</v>
      </c>
      <c r="H522" t="str">
        <f>VLOOKUP(A522,'2.09.2021'!A$3:'2.09.2021'!I$202,8,)</f>
        <v>HIP-HOP/RAP</v>
      </c>
      <c r="I522" t="str">
        <f>VLOOKUP(A522,'2.09.2021'!A$3:'2.09.2021'!I$202,9,)</f>
        <v>Argentina</v>
      </c>
      <c r="J522" t="str">
        <f t="shared" si="21"/>
        <v>Da</v>
      </c>
    </row>
    <row r="523" spans="1:10" x14ac:dyDescent="0.2">
      <c r="A523" t="s">
        <v>305</v>
      </c>
      <c r="B523" t="s">
        <v>20</v>
      </c>
      <c r="C523">
        <v>6333718</v>
      </c>
      <c r="D523" s="7">
        <f t="shared" si="20"/>
        <v>31668.59</v>
      </c>
      <c r="E523" s="2">
        <f>VLOOKUP(A523,'23.09.2021'!A$3:'23.09.2021'!I$202,5,)</f>
        <v>44460</v>
      </c>
      <c r="F523" s="2">
        <v>44455</v>
      </c>
      <c r="G523" s="23">
        <f>VLOOKUP(A523,'23.09.2021'!A$3:'23.09.2021'!I$202,7,)</f>
        <v>0.15625</v>
      </c>
      <c r="H523" s="23" t="str">
        <f>VLOOKUP(B523,'23.09.2021'!B$3:'23.09.2021'!J$202,7,)</f>
        <v>hIP-HOP/RAP</v>
      </c>
      <c r="I523" s="23" t="s">
        <v>420</v>
      </c>
      <c r="J523" t="str">
        <f t="shared" si="21"/>
        <v>Nu</v>
      </c>
    </row>
    <row r="524" spans="1:10" x14ac:dyDescent="0.2">
      <c r="A524" t="s">
        <v>195</v>
      </c>
      <c r="B524" t="s">
        <v>196</v>
      </c>
      <c r="C524">
        <v>6312982</v>
      </c>
      <c r="D524" s="7">
        <f t="shared" si="20"/>
        <v>31564.91</v>
      </c>
      <c r="E524" s="2">
        <f>VLOOKUP(A524,'23.09.2021'!A$3:'23.09.2021'!I$202,5,)</f>
        <v>44246</v>
      </c>
      <c r="F524" s="2">
        <v>44455</v>
      </c>
      <c r="G524" s="23">
        <f>VLOOKUP(A524,'23.09.2021'!A$3:'23.09.2021'!I$202,7,)</f>
        <v>0.10416666666666667</v>
      </c>
      <c r="H524" s="23" t="str">
        <f>VLOOKUP(B524,'23.09.2021'!B$3:'23.09.2021'!J$202,7,)</f>
        <v>LATIN</v>
      </c>
      <c r="I524" t="s">
        <v>472</v>
      </c>
      <c r="J524" t="str">
        <f t="shared" si="21"/>
        <v>Nu</v>
      </c>
    </row>
    <row r="525" spans="1:10" x14ac:dyDescent="0.2">
      <c r="A525" t="s">
        <v>169</v>
      </c>
      <c r="B525" t="s">
        <v>10</v>
      </c>
      <c r="C525">
        <v>6310216</v>
      </c>
      <c r="D525" s="7">
        <f t="shared" si="20"/>
        <v>31551.08</v>
      </c>
      <c r="E525" s="2">
        <f>VLOOKUP(A525,'2.09.2021'!A$3:'2.09.2021'!I$202,5,)</f>
        <v>44309</v>
      </c>
      <c r="F525" s="2">
        <v>44455</v>
      </c>
      <c r="G525" s="23">
        <f>VLOOKUP(A525,'2.09.2021'!A$3:'2.09.2021'!I$202,7,)</f>
        <v>0.1076388888888889</v>
      </c>
      <c r="H525" t="str">
        <f>VLOOKUP(A525,'2.09.2021'!A$3:'2.09.2021'!I$202,8,)</f>
        <v>LATIN URBAN</v>
      </c>
      <c r="I525" t="str">
        <f>VLOOKUP(A525,'2.09.2021'!A$3:'2.09.2021'!I$202,9,)</f>
        <v>Marea Britanie</v>
      </c>
      <c r="J525" t="str">
        <f t="shared" si="21"/>
        <v>Nu</v>
      </c>
    </row>
    <row r="526" spans="1:10" x14ac:dyDescent="0.2">
      <c r="A526" t="s">
        <v>197</v>
      </c>
      <c r="B526" t="s">
        <v>1</v>
      </c>
      <c r="C526">
        <v>6306718</v>
      </c>
      <c r="D526" s="7">
        <f t="shared" si="20"/>
        <v>31533.59</v>
      </c>
      <c r="E526" s="2">
        <f>VLOOKUP(A526,'2.09.2021'!A$3:'2.09.2021'!I$202,5,)</f>
        <v>44243</v>
      </c>
      <c r="F526" s="2">
        <v>44455</v>
      </c>
      <c r="G526" s="23">
        <f>VLOOKUP(A526,'2.09.2021'!A$3:'2.09.2021'!I$202,7,)</f>
        <v>0.11388888888888889</v>
      </c>
      <c r="H526" t="str">
        <f>VLOOKUP(A526,'2.09.2021'!A$3:'2.09.2021'!I$202,8,)</f>
        <v>LATIN URBAN</v>
      </c>
      <c r="I526" t="str">
        <f>VLOOKUP(A526,'2.09.2021'!A$3:'2.09.2021'!I$202,9,)</f>
        <v>Australia</v>
      </c>
      <c r="J526" t="str">
        <f t="shared" si="21"/>
        <v>Da</v>
      </c>
    </row>
    <row r="527" spans="1:10" x14ac:dyDescent="0.2">
      <c r="A527" t="s">
        <v>218</v>
      </c>
      <c r="B527" t="s">
        <v>219</v>
      </c>
      <c r="C527">
        <v>6303244</v>
      </c>
      <c r="D527" s="7">
        <f t="shared" si="20"/>
        <v>31516.219999999998</v>
      </c>
      <c r="E527" s="2">
        <f>VLOOKUP(A527,'2.09.2021'!A$3:'2.09.2021'!I$202,5,)</f>
        <v>44320</v>
      </c>
      <c r="F527" s="2">
        <v>44455</v>
      </c>
      <c r="G527" s="23">
        <f>VLOOKUP(A527,'2.09.2021'!A$3:'2.09.2021'!I$202,7,)</f>
        <v>0.18958333333333333</v>
      </c>
      <c r="H527" t="str">
        <f>VLOOKUP(A527,'2.09.2021'!A$3:'2.09.2021'!I$202,8,)</f>
        <v>POP</v>
      </c>
      <c r="I527" t="str">
        <f>VLOOKUP(A527,'2.09.2021'!A$3:'2.09.2021'!I$202,9,)</f>
        <v>Puerto Rico</v>
      </c>
      <c r="J527" t="str">
        <f t="shared" si="21"/>
        <v>Nu</v>
      </c>
    </row>
    <row r="528" spans="1:10" x14ac:dyDescent="0.2">
      <c r="A528" t="s">
        <v>186</v>
      </c>
      <c r="B528" t="s">
        <v>38</v>
      </c>
      <c r="C528">
        <v>6268894</v>
      </c>
      <c r="D528" s="7">
        <f t="shared" si="20"/>
        <v>31344.47</v>
      </c>
      <c r="E528" s="2">
        <f>VLOOKUP(A528,'2.09.2021'!A$3:'2.09.2021'!I$202,5,)</f>
        <v>44315</v>
      </c>
      <c r="F528" s="2">
        <v>44455</v>
      </c>
      <c r="G528" s="23">
        <f>VLOOKUP(A528,'2.09.2021'!A$3:'2.09.2021'!I$202,7,)</f>
        <v>0.14097222222222222</v>
      </c>
      <c r="H528" t="str">
        <f>VLOOKUP(A528,'2.09.2021'!A$3:'2.09.2021'!I$202,8,)</f>
        <v>LATIN URBAN</v>
      </c>
      <c r="I528" t="str">
        <f>VLOOKUP(A528,'2.09.2021'!A$3:'2.09.2021'!I$202,9,)</f>
        <v>Marea Britanie</v>
      </c>
      <c r="J528" t="str">
        <f t="shared" si="21"/>
        <v>Nu</v>
      </c>
    </row>
    <row r="529" spans="1:10" x14ac:dyDescent="0.2">
      <c r="A529" t="s">
        <v>144</v>
      </c>
      <c r="B529" t="s">
        <v>23</v>
      </c>
      <c r="C529">
        <v>6259285</v>
      </c>
      <c r="D529" s="7">
        <f t="shared" si="20"/>
        <v>31296.424999999999</v>
      </c>
      <c r="E529" s="2">
        <f>VLOOKUP(A529,'30.09.2021'!A$3:'30.09.2021'!I$202,5,)</f>
        <v>44332</v>
      </c>
      <c r="F529" s="2">
        <v>44455</v>
      </c>
      <c r="G529" s="23">
        <f>VLOOKUP(A529,'30.09.2021'!A$3:'30.09.2021'!I$202,7,)</f>
        <v>0.14791666666666667</v>
      </c>
      <c r="H529" s="23" t="str">
        <f>VLOOKUP(B529,'30.09.2021'!B$3:'30.09.2021'!J$202,7,)</f>
        <v>ALTERNATIVE</v>
      </c>
      <c r="I529" s="23" t="s">
        <v>468</v>
      </c>
      <c r="J529" t="str">
        <f t="shared" si="21"/>
        <v>Nu</v>
      </c>
    </row>
    <row r="530" spans="1:10" x14ac:dyDescent="0.2">
      <c r="A530" t="s">
        <v>272</v>
      </c>
      <c r="B530" t="s">
        <v>273</v>
      </c>
      <c r="C530">
        <v>6254534</v>
      </c>
      <c r="D530" s="7">
        <f t="shared" si="20"/>
        <v>31272.67</v>
      </c>
      <c r="E530" s="2">
        <f>VLOOKUP(A530,'2.09.2021'!A$3:'2.09.2021'!I$202,5,)</f>
        <v>44360</v>
      </c>
      <c r="F530" s="2">
        <v>44455</v>
      </c>
      <c r="G530" s="23">
        <f>VLOOKUP(A530,'2.09.2021'!A$3:'2.09.2021'!I$202,7,)</f>
        <v>0.15694444444444444</v>
      </c>
      <c r="H530" t="str">
        <f>VLOOKUP(A530,'2.09.2021'!A$3:'2.09.2021'!I$202,8,)</f>
        <v>POP</v>
      </c>
      <c r="I530" t="str">
        <f>VLOOKUP(A530,'2.09.2021'!A$3:'2.09.2021'!I$202,9,)</f>
        <v>India</v>
      </c>
      <c r="J530" t="str">
        <f t="shared" si="21"/>
        <v>Nu</v>
      </c>
    </row>
    <row r="531" spans="1:10" x14ac:dyDescent="0.2">
      <c r="A531" t="s">
        <v>452</v>
      </c>
      <c r="B531" t="s">
        <v>233</v>
      </c>
      <c r="C531">
        <v>6254413</v>
      </c>
      <c r="D531" s="7">
        <f t="shared" ref="D531:D594" si="22">(C531/1000*5)</f>
        <v>31272.064999999999</v>
      </c>
      <c r="E531" s="2">
        <f>VLOOKUP(A531,'2.09.2021'!A$3:'2.09.2021'!I$202,5,)</f>
        <v>44341</v>
      </c>
      <c r="F531" s="2">
        <v>44455</v>
      </c>
      <c r="G531" s="23">
        <f>VLOOKUP(A531,'2.09.2021'!A$3:'2.09.2021'!I$202,7,)</f>
        <v>0.14097222222222222</v>
      </c>
      <c r="H531" t="str">
        <f>VLOOKUP(A531,'2.09.2021'!A$3:'2.09.2021'!I$202,8,)</f>
        <v>HIP-HOP/RAP</v>
      </c>
      <c r="I531" t="str">
        <f>VLOOKUP(A531,'2.09.2021'!A$3:'2.09.2021'!I$202,9,)</f>
        <v>SUA</v>
      </c>
      <c r="J531" t="str">
        <f t="shared" si="21"/>
        <v>Da</v>
      </c>
    </row>
    <row r="532" spans="1:10" x14ac:dyDescent="0.2">
      <c r="A532" t="s">
        <v>128</v>
      </c>
      <c r="B532" t="s">
        <v>129</v>
      </c>
      <c r="C532">
        <v>6247305</v>
      </c>
      <c r="D532" s="7">
        <f t="shared" si="22"/>
        <v>31236.525000000001</v>
      </c>
      <c r="E532" s="2">
        <v>44307</v>
      </c>
      <c r="F532" s="2">
        <v>44455</v>
      </c>
      <c r="G532" s="23">
        <v>0.12430555555555556</v>
      </c>
      <c r="H532" t="s">
        <v>426</v>
      </c>
      <c r="I532" t="s">
        <v>472</v>
      </c>
      <c r="J532" t="str">
        <f t="shared" si="21"/>
        <v>Nu</v>
      </c>
    </row>
    <row r="533" spans="1:10" x14ac:dyDescent="0.2">
      <c r="A533" t="s">
        <v>159</v>
      </c>
      <c r="B533" t="s">
        <v>160</v>
      </c>
      <c r="C533">
        <v>6138420</v>
      </c>
      <c r="D533" s="7">
        <f t="shared" si="22"/>
        <v>30692.1</v>
      </c>
      <c r="E533" s="2">
        <f>VLOOKUP(A533,'2.09.2021'!A$3:'2.09.2021'!I$202,5,)</f>
        <v>44329</v>
      </c>
      <c r="F533" s="2">
        <v>44455</v>
      </c>
      <c r="G533" s="23">
        <f>VLOOKUP(A533,'2.09.2021'!A$3:'2.09.2021'!I$202,7,)</f>
        <v>0.14930555555555555</v>
      </c>
      <c r="H533" t="str">
        <f>VLOOKUP(A533,'2.09.2021'!A$3:'2.09.2021'!I$202,8,)</f>
        <v>RHYTHM &amp; BLUES</v>
      </c>
      <c r="I533" t="str">
        <f>VLOOKUP(A533,'2.09.2021'!A$3:'2.09.2021'!I$202,9,)</f>
        <v>SUA</v>
      </c>
      <c r="J533" t="str">
        <f t="shared" si="21"/>
        <v>Nu</v>
      </c>
    </row>
    <row r="534" spans="1:10" x14ac:dyDescent="0.2">
      <c r="A534" t="s">
        <v>230</v>
      </c>
      <c r="B534" t="s">
        <v>231</v>
      </c>
      <c r="C534">
        <v>6116311</v>
      </c>
      <c r="D534" s="7">
        <f t="shared" si="22"/>
        <v>30581.555</v>
      </c>
      <c r="E534" s="2">
        <f>VLOOKUP(A534,'2.09.2021'!A$3:'2.09.2021'!I$202,5,)</f>
        <v>44339</v>
      </c>
      <c r="F534" s="2">
        <v>44455</v>
      </c>
      <c r="G534" s="23">
        <f>VLOOKUP(A534,'2.09.2021'!A$3:'2.09.2021'!I$202,7,)</f>
        <v>0.16805555555555554</v>
      </c>
      <c r="H534" t="str">
        <f>VLOOKUP(A534,'2.09.2021'!A$3:'2.09.2021'!I$202,8,)</f>
        <v>HIP-HOP/RAP</v>
      </c>
      <c r="I534" t="str">
        <f>VLOOKUP(A534,'2.09.2021'!A$3:'2.09.2021'!I$202,9,)</f>
        <v>Mexic</v>
      </c>
      <c r="J534" t="str">
        <f t="shared" si="21"/>
        <v>Nu</v>
      </c>
    </row>
    <row r="535" spans="1:10" x14ac:dyDescent="0.2">
      <c r="A535" t="s">
        <v>184</v>
      </c>
      <c r="B535" t="s">
        <v>185</v>
      </c>
      <c r="C535">
        <v>6087940</v>
      </c>
      <c r="D535" s="7">
        <f t="shared" si="22"/>
        <v>30439.699999999997</v>
      </c>
      <c r="E535" s="2">
        <f>VLOOKUP(A535,'2.09.2021'!A$3:'2.09.2021'!I$202,5,)</f>
        <v>44321</v>
      </c>
      <c r="F535" s="2">
        <v>44455</v>
      </c>
      <c r="G535" s="23">
        <f>VLOOKUP(A535,'2.09.2021'!A$3:'2.09.2021'!I$202,7,)</f>
        <v>0.16805555555555554</v>
      </c>
      <c r="H535" t="str">
        <f>VLOOKUP(A535,'2.09.2021'!A$3:'2.09.2021'!I$202,8,)</f>
        <v>HIP-HOP/RAP</v>
      </c>
      <c r="I535" t="str">
        <f>VLOOKUP(A535,'2.09.2021'!A$3:'2.09.2021'!I$202,9,)</f>
        <v>SUA</v>
      </c>
      <c r="J535" t="str">
        <f t="shared" si="21"/>
        <v>Nu</v>
      </c>
    </row>
    <row r="536" spans="1:10" x14ac:dyDescent="0.2">
      <c r="A536" t="s">
        <v>236</v>
      </c>
      <c r="B536" t="s">
        <v>17</v>
      </c>
      <c r="C536">
        <v>6058526</v>
      </c>
      <c r="D536" s="7">
        <f t="shared" si="22"/>
        <v>30292.629999999997</v>
      </c>
      <c r="E536" s="2">
        <f>VLOOKUP(A536,'2.09.2021'!A$3:'2.09.2021'!I$202,5,)</f>
        <v>44347</v>
      </c>
      <c r="F536" s="2">
        <v>44455</v>
      </c>
      <c r="G536" s="23">
        <f>VLOOKUP(A536,'2.09.2021'!A$3:'2.09.2021'!I$202,7,)</f>
        <v>0.12013888888888889</v>
      </c>
      <c r="H536" t="str">
        <f>VLOOKUP(A536,'2.09.2021'!A$3:'2.09.2021'!I$202,8,)</f>
        <v>HIP-HOP/RAP</v>
      </c>
      <c r="I536" t="str">
        <f>VLOOKUP(A536,'2.09.2021'!A$3:'2.09.2021'!I$202,9,)</f>
        <v>SUA</v>
      </c>
      <c r="J536" t="str">
        <f t="shared" si="21"/>
        <v>Nu</v>
      </c>
    </row>
    <row r="537" spans="1:10" x14ac:dyDescent="0.2">
      <c r="A537" t="s">
        <v>352</v>
      </c>
      <c r="B537" t="s">
        <v>353</v>
      </c>
      <c r="C537">
        <v>6055602</v>
      </c>
      <c r="D537" s="7">
        <f t="shared" si="22"/>
        <v>30278.01</v>
      </c>
      <c r="E537" s="2">
        <v>44398</v>
      </c>
      <c r="F537" s="2">
        <v>44455</v>
      </c>
      <c r="G537" s="23">
        <v>0.21319444444444444</v>
      </c>
      <c r="H537" t="s">
        <v>418</v>
      </c>
      <c r="I537" t="s">
        <v>474</v>
      </c>
      <c r="J537" t="str">
        <f t="shared" si="21"/>
        <v>Nu</v>
      </c>
    </row>
    <row r="538" spans="1:10" x14ac:dyDescent="0.2">
      <c r="A538" t="s">
        <v>249</v>
      </c>
      <c r="B538" t="s">
        <v>250</v>
      </c>
      <c r="C538">
        <v>6040731</v>
      </c>
      <c r="D538" s="7">
        <f t="shared" si="22"/>
        <v>30203.654999999999</v>
      </c>
      <c r="E538" s="2">
        <f>VLOOKUP(A538,'2.09.2021'!A$3:'2.09.2021'!I$202,5,)</f>
        <v>44340</v>
      </c>
      <c r="F538" s="2">
        <v>44455</v>
      </c>
      <c r="G538" s="23">
        <f>VLOOKUP(A538,'2.09.2021'!A$3:'2.09.2021'!I$202,7,)</f>
        <v>0.23541666666666669</v>
      </c>
      <c r="H538" t="str">
        <f>VLOOKUP(A538,'2.09.2021'!A$3:'2.09.2021'!I$202,8,)</f>
        <v>LATIN URBAN</v>
      </c>
      <c r="I538" t="str">
        <f>VLOOKUP(A538,'2.09.2021'!A$3:'2.09.2021'!I$202,9,)</f>
        <v>Suedia</v>
      </c>
      <c r="J538" t="str">
        <f t="shared" si="21"/>
        <v>Da</v>
      </c>
    </row>
    <row r="539" spans="1:10" x14ac:dyDescent="0.2">
      <c r="A539" t="s">
        <v>176</v>
      </c>
      <c r="B539" t="s">
        <v>177</v>
      </c>
      <c r="C539">
        <v>6036598</v>
      </c>
      <c r="D539" s="7">
        <f t="shared" si="22"/>
        <v>30182.989999999998</v>
      </c>
      <c r="E539" s="2">
        <f>VLOOKUP(A539,'30.09.2021'!A$3:'30.09.2021'!I$202,5,)</f>
        <v>44391</v>
      </c>
      <c r="F539" s="2">
        <v>44455</v>
      </c>
      <c r="G539" s="23">
        <f>VLOOKUP(A539,'30.09.2021'!A$3:'30.09.2021'!I$202,7,)</f>
        <v>0.14097222222222222</v>
      </c>
      <c r="H539" t="str">
        <f>VLOOKUP(A539,'30.09.2021'!A$3:'30.09.2021'!I$202,8,)</f>
        <v>LATIN</v>
      </c>
      <c r="I539" t="str">
        <f>VLOOKUP(A539,'30.09.2021'!A$3:'30.09.2021'!I$202,9,)</f>
        <v>Columbia</v>
      </c>
      <c r="J539" t="str">
        <f t="shared" si="21"/>
        <v>Nu</v>
      </c>
    </row>
    <row r="540" spans="1:10" x14ac:dyDescent="0.2">
      <c r="A540" t="s">
        <v>198</v>
      </c>
      <c r="B540" t="s">
        <v>138</v>
      </c>
      <c r="C540">
        <v>6025235</v>
      </c>
      <c r="D540" s="7">
        <f t="shared" si="22"/>
        <v>30126.174999999999</v>
      </c>
      <c r="E540" s="2">
        <f>VLOOKUP(A540,'2.09.2021'!A$3:'2.09.2021'!I$202,5,)</f>
        <v>44295</v>
      </c>
      <c r="F540" s="2">
        <v>44455</v>
      </c>
      <c r="G540" s="23">
        <f>VLOOKUP(A540,'2.09.2021'!A$3:'2.09.2021'!I$202,7,)</f>
        <v>0.37361111111111112</v>
      </c>
      <c r="H540" t="str">
        <f>VLOOKUP(A540,'2.09.2021'!A$3:'2.09.2021'!I$202,8,)</f>
        <v>K-POP</v>
      </c>
      <c r="I540" t="str">
        <f>VLOOKUP(A540,'2.09.2021'!A$3:'2.09.2021'!I$202,9,)</f>
        <v>Canada</v>
      </c>
      <c r="J540" t="str">
        <f t="shared" si="21"/>
        <v>Nu</v>
      </c>
    </row>
    <row r="541" spans="1:10" x14ac:dyDescent="0.2">
      <c r="A541" t="s">
        <v>264</v>
      </c>
      <c r="B541" t="s">
        <v>265</v>
      </c>
      <c r="C541">
        <v>6017085</v>
      </c>
      <c r="D541" s="7">
        <f t="shared" si="22"/>
        <v>30085.424999999999</v>
      </c>
      <c r="E541" s="2">
        <f>VLOOKUP(A541,'2.09.2021'!A$3:'2.09.2021'!I$202,5,)</f>
        <v>44414</v>
      </c>
      <c r="F541" s="2">
        <v>44455</v>
      </c>
      <c r="G541" s="23">
        <f>VLOOKUP(A541,'2.09.2021'!A$3:'2.09.2021'!I$202,7,)</f>
        <v>0.12013888888888889</v>
      </c>
      <c r="H541" t="str">
        <f>VLOOKUP(A541,'2.09.2021'!A$3:'2.09.2021'!I$202,8,)</f>
        <v>LATIN URBAN</v>
      </c>
      <c r="I541" t="str">
        <f>VLOOKUP(A541,'2.09.2021'!A$3:'2.09.2021'!I$202,9,)</f>
        <v>Australia</v>
      </c>
      <c r="J541" t="str">
        <f t="shared" si="21"/>
        <v>Nu</v>
      </c>
    </row>
    <row r="542" spans="1:10" x14ac:dyDescent="0.2">
      <c r="A542" t="s">
        <v>220</v>
      </c>
      <c r="B542" t="s">
        <v>215</v>
      </c>
      <c r="C542">
        <v>6016274</v>
      </c>
      <c r="D542" s="7">
        <f t="shared" si="22"/>
        <v>30081.370000000003</v>
      </c>
      <c r="E542" s="2">
        <f>VLOOKUP(A542,'2.09.2021'!A$3:'2.09.2021'!I$202,5,)</f>
        <v>44412</v>
      </c>
      <c r="F542" s="2">
        <v>44455</v>
      </c>
      <c r="G542" s="23">
        <f>VLOOKUP(A542,'2.09.2021'!A$3:'2.09.2021'!I$202,7,)</f>
        <v>0.1673611111111111</v>
      </c>
      <c r="H542" t="str">
        <f>VLOOKUP(A542,'2.09.2021'!A$3:'2.09.2021'!I$202,8,)</f>
        <v>POP</v>
      </c>
      <c r="I542" t="str">
        <f>VLOOKUP(A542,'2.09.2021'!A$3:'2.09.2021'!I$202,9,)</f>
        <v>Puerto Rico</v>
      </c>
      <c r="J542" t="str">
        <f t="shared" si="21"/>
        <v>Nu</v>
      </c>
    </row>
    <row r="543" spans="1:10" x14ac:dyDescent="0.2">
      <c r="A543" t="s">
        <v>449</v>
      </c>
      <c r="B543" t="s">
        <v>76</v>
      </c>
      <c r="C543">
        <v>6008844</v>
      </c>
      <c r="D543" s="7">
        <f t="shared" si="22"/>
        <v>30044.22</v>
      </c>
      <c r="E543" s="2">
        <f>VLOOKUP(A543,'2.09.2021'!A$3:'2.09.2021'!I$202,5,)</f>
        <v>44391</v>
      </c>
      <c r="F543" s="2">
        <v>44455</v>
      </c>
      <c r="G543" s="23">
        <f>VLOOKUP(A543,'2.09.2021'!A$3:'2.09.2021'!I$202,7,)</f>
        <v>0.10208333333333335</v>
      </c>
      <c r="H543" t="str">
        <f>VLOOKUP(A543,'2.09.2021'!A$3:'2.09.2021'!I$202,8,)</f>
        <v>LATIN URBAN</v>
      </c>
      <c r="I543" t="str">
        <f>VLOOKUP(A543,'2.09.2021'!A$3:'2.09.2021'!I$202,9,)</f>
        <v>Marea Britanie</v>
      </c>
      <c r="J543" t="str">
        <f t="shared" si="21"/>
        <v>Da</v>
      </c>
    </row>
    <row r="544" spans="1:10" x14ac:dyDescent="0.2">
      <c r="A544" t="s">
        <v>191</v>
      </c>
      <c r="B544" t="s">
        <v>192</v>
      </c>
      <c r="C544">
        <v>5997232</v>
      </c>
      <c r="D544" s="7">
        <f t="shared" si="22"/>
        <v>29986.16</v>
      </c>
      <c r="E544" s="2">
        <f>VLOOKUP(A544,'2.09.2021'!A$3:'2.09.2021'!I$202,5,)</f>
        <v>44413</v>
      </c>
      <c r="F544" s="2">
        <v>44455</v>
      </c>
      <c r="G544" s="23">
        <f>VLOOKUP(A544,'2.09.2021'!A$3:'2.09.2021'!I$202,7,)</f>
        <v>0.12013888888888889</v>
      </c>
      <c r="H544" t="str">
        <f>VLOOKUP(A544,'2.09.2021'!A$3:'2.09.2021'!I$202,8,)</f>
        <v>LATIN</v>
      </c>
      <c r="I544" t="str">
        <f>VLOOKUP(A544,'2.09.2021'!A$3:'2.09.2021'!I$202,9,)</f>
        <v>Canada</v>
      </c>
      <c r="J544" t="str">
        <f t="shared" si="21"/>
        <v>Nu</v>
      </c>
    </row>
    <row r="545" spans="1:10" x14ac:dyDescent="0.2">
      <c r="A545" t="s">
        <v>203</v>
      </c>
      <c r="B545" t="s">
        <v>204</v>
      </c>
      <c r="C545">
        <v>5996779</v>
      </c>
      <c r="D545" s="7">
        <f t="shared" si="22"/>
        <v>29983.895000000004</v>
      </c>
      <c r="E545" s="2">
        <f>VLOOKUP(A545,'2.09.2021'!A$3:'2.09.2021'!I$202,5,)</f>
        <v>44254</v>
      </c>
      <c r="F545" s="2">
        <v>44455</v>
      </c>
      <c r="G545" s="23">
        <f>VLOOKUP(A545,'2.09.2021'!A$3:'2.09.2021'!I$202,7,)</f>
        <v>0.15277777777777776</v>
      </c>
      <c r="H545" t="str">
        <f>VLOOKUP(A545,'2.09.2021'!A$3:'2.09.2021'!I$202,8,)</f>
        <v>K-POP</v>
      </c>
      <c r="I545" t="str">
        <f>VLOOKUP(A545,'2.09.2021'!A$3:'2.09.2021'!I$202,9,)</f>
        <v>SUA</v>
      </c>
      <c r="J545" t="str">
        <f t="shared" si="21"/>
        <v>Nu</v>
      </c>
    </row>
    <row r="546" spans="1:10" x14ac:dyDescent="0.2">
      <c r="A546" t="s">
        <v>259</v>
      </c>
      <c r="B546" t="s">
        <v>260</v>
      </c>
      <c r="C546">
        <v>5980474</v>
      </c>
      <c r="D546" s="7">
        <f t="shared" si="22"/>
        <v>29902.370000000003</v>
      </c>
      <c r="E546" s="2">
        <f>VLOOKUP(A546,'30.09.2021'!A$3:'30.09.2021'!I$202,5,)</f>
        <v>44397</v>
      </c>
      <c r="F546" s="2">
        <v>44455</v>
      </c>
      <c r="G546" s="23">
        <f>VLOOKUP(A546,'30.09.2021'!A$3:'30.09.2021'!I$202,7,)</f>
        <v>0.20555555555555557</v>
      </c>
      <c r="H546" t="str">
        <f>VLOOKUP(A546,'30.09.2021'!A$3:'30.09.2021'!I$202,8,)</f>
        <v>POP</v>
      </c>
      <c r="I546" t="str">
        <f>VLOOKUP(A546,'30.09.2021'!A$3:'30.09.2021'!I$202,9,)</f>
        <v>SUA</v>
      </c>
      <c r="J546" t="str">
        <f t="shared" si="21"/>
        <v>Da</v>
      </c>
    </row>
    <row r="547" spans="1:10" x14ac:dyDescent="0.2">
      <c r="A547" t="s">
        <v>193</v>
      </c>
      <c r="B547" t="s">
        <v>86</v>
      </c>
      <c r="C547">
        <v>5963043</v>
      </c>
      <c r="D547" s="7">
        <f t="shared" si="22"/>
        <v>29815.214999999997</v>
      </c>
      <c r="E547" s="2">
        <f>VLOOKUP(A547,'2.09.2021'!A$3:'2.09.2021'!I$202,5,)</f>
        <v>44230</v>
      </c>
      <c r="F547" s="2">
        <v>44455</v>
      </c>
      <c r="G547" s="23">
        <f>VLOOKUP(A547,'2.09.2021'!A$3:'2.09.2021'!I$202,7,)</f>
        <v>0.12083333333333333</v>
      </c>
      <c r="H547" t="str">
        <f>VLOOKUP(A547,'2.09.2021'!A$3:'2.09.2021'!I$202,8,)</f>
        <v>HIP-HOP/RAP</v>
      </c>
      <c r="I547" t="str">
        <f>VLOOKUP(A547,'2.09.2021'!A$3:'2.09.2021'!I$202,9,)</f>
        <v>SUA</v>
      </c>
      <c r="J547" t="str">
        <f t="shared" si="21"/>
        <v>Nu</v>
      </c>
    </row>
    <row r="548" spans="1:10" x14ac:dyDescent="0.2">
      <c r="A548" t="s">
        <v>453</v>
      </c>
      <c r="B548" t="s">
        <v>20</v>
      </c>
      <c r="C548">
        <v>5902579</v>
      </c>
      <c r="D548" s="7">
        <f t="shared" si="22"/>
        <v>29512.894999999997</v>
      </c>
      <c r="E548" s="2">
        <f>VLOOKUP(A548,'2.09.2021'!A$3:'2.09.2021'!I$202,5,)</f>
        <v>44381</v>
      </c>
      <c r="F548" s="2">
        <v>44455</v>
      </c>
      <c r="G548" s="23">
        <f>VLOOKUP(A548,'2.09.2021'!A$3:'2.09.2021'!I$202,7,)</f>
        <v>0.14444444444444446</v>
      </c>
      <c r="H548" t="str">
        <f>VLOOKUP(A548,'2.09.2021'!A$3:'2.09.2021'!I$202,8,)</f>
        <v>HIP-HOP/RAP</v>
      </c>
      <c r="I548" t="str">
        <f>VLOOKUP(A548,'2.09.2021'!A$3:'2.09.2021'!I$202,9,)</f>
        <v>Canada</v>
      </c>
      <c r="J548" t="str">
        <f t="shared" si="21"/>
        <v>Da</v>
      </c>
    </row>
    <row r="549" spans="1:10" x14ac:dyDescent="0.2">
      <c r="A549" t="s">
        <v>254</v>
      </c>
      <c r="B549" t="s">
        <v>255</v>
      </c>
      <c r="C549">
        <v>5888838</v>
      </c>
      <c r="D549" s="7">
        <f t="shared" si="22"/>
        <v>29444.19</v>
      </c>
      <c r="E549" s="2">
        <f>VLOOKUP(A549,'2.09.2021'!A$3:'2.09.2021'!I$202,5,)</f>
        <v>44339</v>
      </c>
      <c r="F549" s="2">
        <v>44455</v>
      </c>
      <c r="G549" s="23">
        <f>VLOOKUP(A549,'2.09.2021'!A$3:'2.09.2021'!I$202,7,)</f>
        <v>0.24861111111111112</v>
      </c>
      <c r="H549" t="str">
        <f>VLOOKUP(A549,'2.09.2021'!A$3:'2.09.2021'!I$202,8,)</f>
        <v>ROCK</v>
      </c>
      <c r="I549" t="s">
        <v>472</v>
      </c>
      <c r="J549" t="str">
        <f t="shared" si="21"/>
        <v>Nu</v>
      </c>
    </row>
    <row r="550" spans="1:10" x14ac:dyDescent="0.2">
      <c r="A550" t="s">
        <v>253</v>
      </c>
      <c r="B550" t="s">
        <v>34</v>
      </c>
      <c r="C550">
        <v>5886748</v>
      </c>
      <c r="D550" s="7">
        <f t="shared" si="22"/>
        <v>29433.739999999998</v>
      </c>
      <c r="E550" s="2">
        <f>VLOOKUP(A550,'2.09.2021'!A$3:'2.09.2021'!I$202,5,)</f>
        <v>44454</v>
      </c>
      <c r="F550" s="2">
        <v>44455</v>
      </c>
      <c r="G550" s="23">
        <f>VLOOKUP(A550,'2.09.2021'!A$3:'2.09.2021'!I$202,7,)</f>
        <v>0.17500000000000002</v>
      </c>
      <c r="H550" t="str">
        <f>VLOOKUP(A550,'2.09.2021'!A$3:'2.09.2021'!I$202,8,)</f>
        <v>DANCE</v>
      </c>
      <c r="I550" t="str">
        <f>VLOOKUP(A550,'2.09.2021'!A$3:'2.09.2021'!I$202,9,)</f>
        <v>Puerto Rico</v>
      </c>
      <c r="J550" t="str">
        <f t="shared" si="21"/>
        <v>Nu</v>
      </c>
    </row>
    <row r="551" spans="1:10" x14ac:dyDescent="0.2">
      <c r="A551" t="s">
        <v>187</v>
      </c>
      <c r="B551" t="s">
        <v>188</v>
      </c>
      <c r="C551">
        <v>5886479</v>
      </c>
      <c r="D551" s="7">
        <f t="shared" si="22"/>
        <v>29432.395</v>
      </c>
      <c r="E551" s="2">
        <f>VLOOKUP(A551,'2.09.2021'!A$3:'2.09.2021'!I$202,5,)</f>
        <v>44362</v>
      </c>
      <c r="F551" s="2">
        <v>44455</v>
      </c>
      <c r="G551" s="23">
        <f>VLOOKUP(A551,'2.09.2021'!A$3:'2.09.2021'!I$202,7,)</f>
        <v>0.14027777777777778</v>
      </c>
      <c r="H551" t="str">
        <f>VLOOKUP(A551,'2.09.2021'!A$3:'2.09.2021'!I$202,8,)</f>
        <v>HIP-HOP/RAP</v>
      </c>
      <c r="I551" t="str">
        <f>VLOOKUP(A551,'2.09.2021'!A$3:'2.09.2021'!I$202,9,)</f>
        <v>Marea Britanie</v>
      </c>
      <c r="J551" t="str">
        <f t="shared" si="21"/>
        <v>Nu</v>
      </c>
    </row>
    <row r="552" spans="1:10" x14ac:dyDescent="0.2">
      <c r="A552" t="s">
        <v>309</v>
      </c>
      <c r="B552" t="s">
        <v>20</v>
      </c>
      <c r="C552">
        <v>5885848</v>
      </c>
      <c r="D552" s="7">
        <f t="shared" si="22"/>
        <v>29429.239999999998</v>
      </c>
      <c r="E552" s="2">
        <v>44460</v>
      </c>
      <c r="F552" s="2">
        <v>44455</v>
      </c>
      <c r="G552" s="23">
        <v>0.12083333333333333</v>
      </c>
      <c r="H552" t="s">
        <v>423</v>
      </c>
      <c r="I552" t="s">
        <v>420</v>
      </c>
      <c r="J552" t="str">
        <f t="shared" si="21"/>
        <v>Da</v>
      </c>
    </row>
    <row r="553" spans="1:10" x14ac:dyDescent="0.2">
      <c r="A553" t="s">
        <v>456</v>
      </c>
      <c r="B553" t="s">
        <v>324</v>
      </c>
      <c r="C553">
        <v>5879656</v>
      </c>
      <c r="D553" s="7">
        <f t="shared" si="22"/>
        <v>29398.28</v>
      </c>
      <c r="E553" s="2">
        <f>VLOOKUP(A553,'2.09.2021'!A$3:'2.09.2021'!I$202,5,)</f>
        <v>44409</v>
      </c>
      <c r="F553" s="2">
        <v>44455</v>
      </c>
      <c r="G553" s="23">
        <f>VLOOKUP(A553,'2.09.2021'!A$3:'2.09.2021'!I$202,7,)</f>
        <v>8.5416666666666655E-2</v>
      </c>
      <c r="H553" t="str">
        <f>VLOOKUP(A553,'2.09.2021'!A$3:'2.09.2021'!I$202,8,)</f>
        <v>ROCK</v>
      </c>
      <c r="I553" t="str">
        <f>VLOOKUP(A553,'2.09.2021'!A$3:'2.09.2021'!I$202,9,)</f>
        <v>SUA</v>
      </c>
      <c r="J553" t="str">
        <f t="shared" si="21"/>
        <v>Da</v>
      </c>
    </row>
    <row r="554" spans="1:10" x14ac:dyDescent="0.2">
      <c r="A554" t="s">
        <v>189</v>
      </c>
      <c r="B554" t="s">
        <v>190</v>
      </c>
      <c r="C554">
        <v>5862405</v>
      </c>
      <c r="D554" s="7">
        <f t="shared" si="22"/>
        <v>29312.024999999998</v>
      </c>
      <c r="E554" s="2">
        <f>VLOOKUP(A554,'30.09.2021'!A$3:'30.09.2021'!I$202,5,)</f>
        <v>44246</v>
      </c>
      <c r="F554" s="2">
        <v>44455</v>
      </c>
      <c r="G554" s="23">
        <f>VLOOKUP(A554,'30.09.2021'!A$3:'30.09.2021'!I$202,7,)</f>
        <v>9.8611111111111108E-2</v>
      </c>
      <c r="H554" t="str">
        <f>VLOOKUP(A554,'30.09.2021'!A$3:'30.09.2021'!I$202,8,)</f>
        <v>LATIN</v>
      </c>
      <c r="I554" t="str">
        <f>VLOOKUP(A554,'30.09.2021'!A$3:'30.09.2021'!I$202,9,)</f>
        <v>Columbia</v>
      </c>
      <c r="J554" t="str">
        <f t="shared" si="21"/>
        <v>Nu</v>
      </c>
    </row>
    <row r="555" spans="1:10" x14ac:dyDescent="0.2">
      <c r="A555" t="s">
        <v>223</v>
      </c>
      <c r="B555" t="s">
        <v>88</v>
      </c>
      <c r="C555">
        <v>5818652</v>
      </c>
      <c r="D555" s="7">
        <f t="shared" si="22"/>
        <v>29093.260000000002</v>
      </c>
      <c r="E555" s="2">
        <f>VLOOKUP(A555,'2.09.2021'!A$3:'2.09.2021'!I$202,5,)</f>
        <v>44351</v>
      </c>
      <c r="F555" s="2">
        <v>44455</v>
      </c>
      <c r="G555" s="23">
        <f>VLOOKUP(A555,'2.09.2021'!A$3:'2.09.2021'!I$202,7,)</f>
        <v>0.15347222222222223</v>
      </c>
      <c r="H555" t="s">
        <v>422</v>
      </c>
      <c r="I555" t="str">
        <f>VLOOKUP(A555,'2.09.2021'!A$3:'2.09.2021'!I$202,9,)</f>
        <v>SUA</v>
      </c>
      <c r="J555" t="str">
        <f t="shared" si="21"/>
        <v>Nu</v>
      </c>
    </row>
    <row r="556" spans="1:10" x14ac:dyDescent="0.2">
      <c r="A556" t="s">
        <v>448</v>
      </c>
      <c r="B556" t="s">
        <v>207</v>
      </c>
      <c r="C556">
        <v>5806510</v>
      </c>
      <c r="D556" s="7">
        <f t="shared" si="22"/>
        <v>29032.550000000003</v>
      </c>
      <c r="E556" s="2">
        <f>VLOOKUP(A556,'2.09.2021'!A$3:'2.09.2021'!I$202,5,)</f>
        <v>44309</v>
      </c>
      <c r="F556" s="2">
        <v>44455</v>
      </c>
      <c r="G556" s="23">
        <f>VLOOKUP(A556,'2.09.2021'!A$3:'2.09.2021'!I$202,7,)</f>
        <v>0.13333333333333333</v>
      </c>
      <c r="H556" t="str">
        <f>VLOOKUP(A556,'2.09.2021'!A$3:'2.09.2021'!I$202,8,)</f>
        <v>LATIN</v>
      </c>
      <c r="I556" t="str">
        <f>VLOOKUP(A556,'2.09.2021'!A$3:'2.09.2021'!I$202,9,)</f>
        <v>SUA</v>
      </c>
      <c r="J556" t="str">
        <f t="shared" si="21"/>
        <v>Da</v>
      </c>
    </row>
    <row r="557" spans="1:10" x14ac:dyDescent="0.2">
      <c r="A557" t="s">
        <v>251</v>
      </c>
      <c r="B557" t="s">
        <v>229</v>
      </c>
      <c r="C557">
        <v>5802977</v>
      </c>
      <c r="D557" s="7">
        <f t="shared" si="22"/>
        <v>29014.884999999998</v>
      </c>
      <c r="E557" s="2">
        <f>VLOOKUP(A557,'2.09.2021'!A$3:'2.09.2021'!I$202,5,)</f>
        <v>44413</v>
      </c>
      <c r="F557" s="2">
        <v>44455</v>
      </c>
      <c r="G557" s="23">
        <f>VLOOKUP(A557,'2.09.2021'!A$3:'2.09.2021'!I$202,7,)</f>
        <v>0.12152777777777778</v>
      </c>
      <c r="H557" t="str">
        <f>VLOOKUP(A557,'2.09.2021'!A$3:'2.09.2021'!I$202,8,)</f>
        <v>HIP-HOP/RAP</v>
      </c>
      <c r="I557" t="str">
        <f>VLOOKUP(A557,'2.09.2021'!A$3:'2.09.2021'!I$202,9,)</f>
        <v>SUA</v>
      </c>
      <c r="J557" t="str">
        <f t="shared" si="21"/>
        <v>Nu</v>
      </c>
    </row>
    <row r="558" spans="1:10" x14ac:dyDescent="0.2">
      <c r="A558" t="s">
        <v>212</v>
      </c>
      <c r="B558" t="s">
        <v>213</v>
      </c>
      <c r="C558">
        <v>5783422</v>
      </c>
      <c r="D558" s="7">
        <f t="shared" si="22"/>
        <v>28917.109999999997</v>
      </c>
      <c r="E558" s="2">
        <f>VLOOKUP(A558,'2.09.2021'!A$3:'2.09.2021'!I$202,5,)</f>
        <v>44337</v>
      </c>
      <c r="F558" s="2">
        <v>44455</v>
      </c>
      <c r="G558" s="23">
        <f>VLOOKUP(A558,'2.09.2021'!A$3:'2.09.2021'!I$202,7,)</f>
        <v>0.22291666666666665</v>
      </c>
      <c r="H558" t="str">
        <f>VLOOKUP(A558,'2.09.2021'!A$3:'2.09.2021'!I$202,8,)</f>
        <v>LATIN URBAN</v>
      </c>
      <c r="I558" t="str">
        <f>VLOOKUP(A558,'2.09.2021'!A$3:'2.09.2021'!I$202,9,)</f>
        <v>Suedia</v>
      </c>
      <c r="J558" t="str">
        <f t="shared" si="21"/>
        <v>Nu</v>
      </c>
    </row>
    <row r="559" spans="1:10" x14ac:dyDescent="0.2">
      <c r="A559" t="s">
        <v>308</v>
      </c>
      <c r="B559" t="s">
        <v>20</v>
      </c>
      <c r="C559">
        <v>5771408</v>
      </c>
      <c r="D559" s="7">
        <f t="shared" si="22"/>
        <v>28857.040000000001</v>
      </c>
      <c r="E559" s="2">
        <f>VLOOKUP(A559,'23.09.2021'!A$3:'23.09.2021'!I$202,5,)</f>
        <v>44460</v>
      </c>
      <c r="F559" s="2">
        <v>44455</v>
      </c>
      <c r="G559" s="23">
        <f>VLOOKUP(A559,'23.09.2021'!A$3:'23.09.2021'!I$202,7,)</f>
        <v>0.13333333333333333</v>
      </c>
      <c r="H559" t="str">
        <f>VLOOKUP(A559,'23.09.2021'!A$3:'23.09.2021'!I$202,8,)</f>
        <v>HIP-HOP/RAP</v>
      </c>
      <c r="I559" t="str">
        <f>VLOOKUP(A559,'23.09.2021'!A$3:'23.09.2021'!I$202,9,)</f>
        <v>Canada</v>
      </c>
      <c r="J559" t="str">
        <f t="shared" si="21"/>
        <v>Da</v>
      </c>
    </row>
    <row r="560" spans="1:10" x14ac:dyDescent="0.2">
      <c r="A560" t="s">
        <v>234</v>
      </c>
      <c r="B560" t="s">
        <v>235</v>
      </c>
      <c r="C560">
        <v>5744049</v>
      </c>
      <c r="D560" s="7">
        <f t="shared" si="22"/>
        <v>28720.244999999999</v>
      </c>
      <c r="E560" s="2">
        <f>VLOOKUP(A560,'2.09.2021'!A$3:'2.09.2021'!I$202,5,)</f>
        <v>44285</v>
      </c>
      <c r="F560" s="2">
        <v>44455</v>
      </c>
      <c r="G560" s="23">
        <f>VLOOKUP(A560,'2.09.2021'!A$3:'2.09.2021'!I$202,7,)</f>
        <v>0.12708333333333333</v>
      </c>
      <c r="H560" t="str">
        <f>VLOOKUP(A560,'2.09.2021'!A$3:'2.09.2021'!I$202,8,)</f>
        <v>HIP-HOP/RAP</v>
      </c>
      <c r="I560" t="str">
        <f>VLOOKUP(A560,'2.09.2021'!A$3:'2.09.2021'!I$202,9,)</f>
        <v>Marea Britanie</v>
      </c>
      <c r="J560" t="str">
        <f t="shared" si="21"/>
        <v>Nu</v>
      </c>
    </row>
    <row r="561" spans="1:10" x14ac:dyDescent="0.2">
      <c r="A561" t="s">
        <v>210</v>
      </c>
      <c r="B561" t="s">
        <v>211</v>
      </c>
      <c r="C561">
        <v>5723039</v>
      </c>
      <c r="D561" s="7">
        <f t="shared" si="22"/>
        <v>28615.195</v>
      </c>
      <c r="E561" s="2">
        <f>VLOOKUP(A561,'2.09.2021'!A$3:'2.09.2021'!I$202,5,)</f>
        <v>44456</v>
      </c>
      <c r="F561" s="2">
        <v>44455</v>
      </c>
      <c r="G561" s="23">
        <f>VLOOKUP(A561,'2.09.2021'!A$3:'2.09.2021'!I$202,7,)</f>
        <v>0.12361111111111112</v>
      </c>
      <c r="H561" t="str">
        <f>VLOOKUP(A561,'2.09.2021'!A$3:'2.09.2021'!I$202,8,)</f>
        <v>ROCK</v>
      </c>
      <c r="I561" t="str">
        <f>VLOOKUP(A561,'2.09.2021'!A$3:'2.09.2021'!I$202,9,)</f>
        <v>SUA</v>
      </c>
      <c r="J561" t="str">
        <f t="shared" si="21"/>
        <v>Nu</v>
      </c>
    </row>
    <row r="562" spans="1:10" x14ac:dyDescent="0.2">
      <c r="A562" t="s">
        <v>325</v>
      </c>
      <c r="B562" t="s">
        <v>326</v>
      </c>
      <c r="C562">
        <v>5713536</v>
      </c>
      <c r="D562" s="7">
        <f t="shared" si="22"/>
        <v>28567.68</v>
      </c>
      <c r="E562" s="2">
        <f>VLOOKUP(A562,'2.09.2021'!A$3:'2.09.2021'!I$202,5,)</f>
        <v>42909</v>
      </c>
      <c r="F562" s="2">
        <v>44455</v>
      </c>
      <c r="G562" s="23">
        <f>VLOOKUP(A562,'2.09.2021'!A$3:'2.09.2021'!I$202,7,)</f>
        <v>0.13749999999999998</v>
      </c>
      <c r="H562" t="str">
        <f>VLOOKUP(A562,'2.09.2021'!A$3:'2.09.2021'!I$202,8,)</f>
        <v>RHYTHM &amp; BLUES</v>
      </c>
      <c r="I562" t="str">
        <f>VLOOKUP(A562,'2.09.2021'!A$3:'2.09.2021'!I$202,9,)</f>
        <v>Brazilia</v>
      </c>
      <c r="J562" t="str">
        <f t="shared" si="21"/>
        <v>Nu</v>
      </c>
    </row>
    <row r="563" spans="1:10" x14ac:dyDescent="0.2">
      <c r="A563" t="s">
        <v>306</v>
      </c>
      <c r="B563" t="s">
        <v>20</v>
      </c>
      <c r="C563">
        <v>5693268</v>
      </c>
      <c r="D563" s="7">
        <f t="shared" si="22"/>
        <v>28466.34</v>
      </c>
      <c r="E563" s="2">
        <f>VLOOKUP(A563,'23.09.2021'!A$3:'23.09.2021'!I$202,5,)</f>
        <v>44460</v>
      </c>
      <c r="F563" s="2">
        <v>44455</v>
      </c>
      <c r="G563" s="23">
        <f>VLOOKUP(A563,'23.09.2021'!A$3:'23.09.2021'!I$202,7,)</f>
        <v>0.10486111111111111</v>
      </c>
      <c r="H563" t="str">
        <f>VLOOKUP(A563,'23.09.2021'!A$3:'23.09.2021'!I$202,8,)</f>
        <v>HIP-HOP/RAP</v>
      </c>
      <c r="I563" t="str">
        <f>VLOOKUP(A563,'23.09.2021'!A$3:'23.09.2021'!I$202,9,)</f>
        <v>Canada</v>
      </c>
      <c r="J563" t="str">
        <f t="shared" si="21"/>
        <v>Nu</v>
      </c>
    </row>
    <row r="564" spans="1:10" x14ac:dyDescent="0.2">
      <c r="A564" t="s">
        <v>226</v>
      </c>
      <c r="B564" t="s">
        <v>227</v>
      </c>
      <c r="C564">
        <v>5683088</v>
      </c>
      <c r="D564" s="7">
        <f t="shared" si="22"/>
        <v>28415.439999999999</v>
      </c>
      <c r="E564" s="2">
        <f>VLOOKUP(A564,'2.09.2021'!A$3:'2.09.2021'!I$202,5,)</f>
        <v>44437</v>
      </c>
      <c r="F564" s="2">
        <v>44455</v>
      </c>
      <c r="G564" s="23">
        <f>VLOOKUP(A564,'2.09.2021'!A$3:'2.09.2021'!I$202,7,)</f>
        <v>0.19930555555555554</v>
      </c>
      <c r="H564" t="str">
        <f>VLOOKUP(A564,'2.09.2021'!A$3:'2.09.2021'!I$202,8,)</f>
        <v>LATIN URBAN</v>
      </c>
      <c r="I564" t="str">
        <f>VLOOKUP(A564,'2.09.2021'!A$3:'2.09.2021'!I$202,9,)</f>
        <v>SUA</v>
      </c>
      <c r="J564" t="str">
        <f t="shared" si="21"/>
        <v>Nu</v>
      </c>
    </row>
    <row r="565" spans="1:10" x14ac:dyDescent="0.2">
      <c r="A565" t="s">
        <v>228</v>
      </c>
      <c r="B565" t="s">
        <v>229</v>
      </c>
      <c r="C565">
        <v>5682183</v>
      </c>
      <c r="D565" s="7">
        <f t="shared" si="22"/>
        <v>28410.915000000001</v>
      </c>
      <c r="E565" s="2">
        <f>VLOOKUP(A565,'2.09.2021'!A$3:'2.09.2021'!I$202,5,)</f>
        <v>44336</v>
      </c>
      <c r="F565" s="2">
        <v>44455</v>
      </c>
      <c r="G565" s="23">
        <f>VLOOKUP(A565,'2.09.2021'!A$3:'2.09.2021'!I$202,7,)</f>
        <v>9.7916666666666666E-2</v>
      </c>
      <c r="H565" t="str">
        <f>VLOOKUP(A565,'2.09.2021'!A$3:'2.09.2021'!I$202,8,)</f>
        <v>DANCE</v>
      </c>
      <c r="I565" t="str">
        <f>VLOOKUP(A565,'2.09.2021'!A$3:'2.09.2021'!I$202,9,)</f>
        <v>SUA</v>
      </c>
      <c r="J565" t="str">
        <f t="shared" si="21"/>
        <v>Nu</v>
      </c>
    </row>
    <row r="566" spans="1:10" x14ac:dyDescent="0.2">
      <c r="A566" t="s">
        <v>232</v>
      </c>
      <c r="B566" t="s">
        <v>233</v>
      </c>
      <c r="C566">
        <v>5678164</v>
      </c>
      <c r="D566" s="7">
        <f t="shared" si="22"/>
        <v>28390.82</v>
      </c>
      <c r="E566" s="2">
        <f>VLOOKUP(A566,'2.09.2021'!A$3:'2.09.2021'!I$202,5,)</f>
        <v>44389</v>
      </c>
      <c r="F566" s="2">
        <v>44455</v>
      </c>
      <c r="G566" s="23">
        <f>VLOOKUP(A566,'2.09.2021'!A$3:'2.09.2021'!I$202,7,)</f>
        <v>0.14097222222222222</v>
      </c>
      <c r="H566" t="str">
        <f>VLOOKUP(A566,'2.09.2021'!A$3:'2.09.2021'!I$202,8,)</f>
        <v>POP</v>
      </c>
      <c r="I566" t="str">
        <f>VLOOKUP(A566,'2.09.2021'!A$3:'2.09.2021'!I$202,9,)</f>
        <v>SUA</v>
      </c>
      <c r="J566" t="str">
        <f t="shared" si="21"/>
        <v>Nu</v>
      </c>
    </row>
    <row r="567" spans="1:10" x14ac:dyDescent="0.2">
      <c r="A567" t="s">
        <v>307</v>
      </c>
      <c r="B567" t="s">
        <v>20</v>
      </c>
      <c r="C567">
        <v>5676743</v>
      </c>
      <c r="D567" s="7">
        <f t="shared" si="22"/>
        <v>28383.715000000004</v>
      </c>
      <c r="E567" s="2">
        <f>VLOOKUP(A567,'23.09.2021'!A$3:'23.09.2021'!I$202,5,)</f>
        <v>44460</v>
      </c>
      <c r="F567" s="2">
        <v>44455</v>
      </c>
      <c r="G567" s="23">
        <f>VLOOKUP(A567,'23.09.2021'!A$3:'23.09.2021'!I$202,7,)</f>
        <v>8.8888888888888892E-2</v>
      </c>
      <c r="H567" t="str">
        <f>VLOOKUP(A567,'23.09.2021'!A$3:'23.09.2021'!I$202,8,)</f>
        <v>HIP-HOP/RAP</v>
      </c>
      <c r="I567" t="str">
        <f>VLOOKUP(A567,'23.09.2021'!A$3:'23.09.2021'!I$202,9,)</f>
        <v>Canada</v>
      </c>
      <c r="J567" t="str">
        <f t="shared" si="21"/>
        <v>Nu</v>
      </c>
    </row>
    <row r="568" spans="1:10" x14ac:dyDescent="0.2">
      <c r="A568" t="s">
        <v>167</v>
      </c>
      <c r="B568" t="s">
        <v>4</v>
      </c>
      <c r="C568">
        <v>5674909</v>
      </c>
      <c r="D568" s="7">
        <f t="shared" si="22"/>
        <v>28374.544999999998</v>
      </c>
      <c r="E568" s="2">
        <f>VLOOKUP(A568,'2.09.2021'!A$3:'2.09.2021'!I$202,5,)</f>
        <v>44437</v>
      </c>
      <c r="F568" s="2">
        <v>44455</v>
      </c>
      <c r="G568" s="23">
        <f>VLOOKUP(A568,'2.09.2021'!A$3:'2.09.2021'!I$202,7,)</f>
        <v>0.20625000000000002</v>
      </c>
      <c r="H568" t="str">
        <f>VLOOKUP(A568,'2.09.2021'!A$3:'2.09.2021'!I$202,8,)</f>
        <v>RHYTHM &amp; BLUES</v>
      </c>
      <c r="I568" t="str">
        <f>VLOOKUP(A568,'2.09.2021'!A$3:'2.09.2021'!I$202,9,)</f>
        <v>Marea Britanie</v>
      </c>
      <c r="J568" t="str">
        <f t="shared" si="21"/>
        <v>Nu</v>
      </c>
    </row>
    <row r="569" spans="1:10" x14ac:dyDescent="0.2">
      <c r="A569" t="s">
        <v>446</v>
      </c>
      <c r="B569" t="s">
        <v>25</v>
      </c>
      <c r="C569">
        <v>5667385</v>
      </c>
      <c r="D569" s="7">
        <f t="shared" si="22"/>
        <v>28336.925000000003</v>
      </c>
      <c r="E569" s="2">
        <f>VLOOKUP(A569,'30.09.2021'!A$3:'30.09.2021'!I$202,5,)</f>
        <v>44245</v>
      </c>
      <c r="F569" s="2">
        <v>44455</v>
      </c>
      <c r="G569" s="23">
        <f>VLOOKUP(A569,'30.09.2021'!A$3:'30.09.2021'!I$202,7,)</f>
        <v>0.18263888888888891</v>
      </c>
      <c r="H569" t="str">
        <f>VLOOKUP(A569,'30.09.2021'!A$3:'30.09.2021'!I$202,8,)</f>
        <v>RHYTHM &amp; BLUES</v>
      </c>
      <c r="I569" t="str">
        <f>VLOOKUP(A569,'30.09.2021'!A$3:'30.09.2021'!I$202,9,)</f>
        <v>Africa</v>
      </c>
      <c r="J569" t="str">
        <f t="shared" si="21"/>
        <v>Da</v>
      </c>
    </row>
    <row r="570" spans="1:10" x14ac:dyDescent="0.2">
      <c r="A570" t="s">
        <v>201</v>
      </c>
      <c r="B570" t="s">
        <v>202</v>
      </c>
      <c r="C570">
        <v>5663458</v>
      </c>
      <c r="D570" s="7">
        <f t="shared" si="22"/>
        <v>28317.289999999997</v>
      </c>
      <c r="E570" s="2">
        <f>VLOOKUP(A570,'30.09.2021'!A$3:'30.09.2021'!I$202,5,)</f>
        <v>44366</v>
      </c>
      <c r="F570" s="2">
        <v>44455</v>
      </c>
      <c r="G570" s="23">
        <f>VLOOKUP(A570,'30.09.2021'!A$3:'30.09.2021'!I$202,7,)</f>
        <v>0.11805555555555557</v>
      </c>
      <c r="H570" t="str">
        <f>VLOOKUP(A570,'30.09.2021'!A$3:'30.09.2021'!I$202,8,)</f>
        <v>POP</v>
      </c>
      <c r="I570" t="str">
        <f>VLOOKUP(A570,'30.09.2021'!A$3:'30.09.2021'!I$202,9,)</f>
        <v>SUA</v>
      </c>
      <c r="J570" t="str">
        <f t="shared" si="21"/>
        <v>Nu</v>
      </c>
    </row>
    <row r="571" spans="1:10" x14ac:dyDescent="0.2">
      <c r="A571" t="s">
        <v>316</v>
      </c>
      <c r="B571" t="s">
        <v>52</v>
      </c>
      <c r="C571">
        <v>5658179</v>
      </c>
      <c r="D571" s="7">
        <f t="shared" si="22"/>
        <v>28290.895</v>
      </c>
      <c r="E571" s="2">
        <f>VLOOKUP(A571,'2.09.2021'!A$3:'2.09.2021'!I$202,5,)</f>
        <v>44437</v>
      </c>
      <c r="F571" s="2">
        <v>44455</v>
      </c>
      <c r="G571" s="23">
        <f>VLOOKUP(A571,'2.09.2021'!A$3:'2.09.2021'!I$202,7,)</f>
        <v>0.15694444444444444</v>
      </c>
      <c r="H571" t="str">
        <f>VLOOKUP(A571,'2.09.2021'!A$3:'2.09.2021'!I$202,8,)</f>
        <v>HIP-HOP/RAP</v>
      </c>
      <c r="I571" t="str">
        <f>VLOOKUP(A571,'2.09.2021'!A$3:'2.09.2021'!I$202,9,)</f>
        <v>SUA</v>
      </c>
      <c r="J571" t="str">
        <f t="shared" si="21"/>
        <v>Nu</v>
      </c>
    </row>
    <row r="572" spans="1:10" x14ac:dyDescent="0.2">
      <c r="A572" t="s">
        <v>216</v>
      </c>
      <c r="B572" t="s">
        <v>217</v>
      </c>
      <c r="C572">
        <v>5633120</v>
      </c>
      <c r="D572" s="7">
        <f t="shared" si="22"/>
        <v>28165.599999999999</v>
      </c>
      <c r="E572" s="2">
        <f>VLOOKUP(A572,'2.09.2021'!A$3:'2.09.2021'!I$202,5,)</f>
        <v>44316</v>
      </c>
      <c r="F572" s="2">
        <v>44455</v>
      </c>
      <c r="G572" s="23">
        <f>VLOOKUP(A572,'2.09.2021'!A$3:'2.09.2021'!I$202,7,)</f>
        <v>0.14305555555555557</v>
      </c>
      <c r="H572" t="str">
        <f>VLOOKUP(A572,'2.09.2021'!A$3:'2.09.2021'!I$202,8,)</f>
        <v>LATIN</v>
      </c>
      <c r="I572" t="str">
        <f>VLOOKUP(A572,'2.09.2021'!A$3:'2.09.2021'!I$202,9,)</f>
        <v>Canada</v>
      </c>
      <c r="J572" t="str">
        <f t="shared" si="21"/>
        <v>Nu</v>
      </c>
    </row>
    <row r="573" spans="1:10" x14ac:dyDescent="0.2">
      <c r="A573" t="s">
        <v>245</v>
      </c>
      <c r="B573" t="s">
        <v>246</v>
      </c>
      <c r="C573">
        <v>5627698</v>
      </c>
      <c r="D573" s="7">
        <f t="shared" si="22"/>
        <v>28138.49</v>
      </c>
      <c r="E573" s="2">
        <f>VLOOKUP(A573,'2.09.2021'!A$3:'2.09.2021'!I$202,5,)</f>
        <v>44244</v>
      </c>
      <c r="F573" s="2">
        <v>44455</v>
      </c>
      <c r="G573" s="23">
        <f>VLOOKUP(A573,'2.09.2021'!A$3:'2.09.2021'!I$202,7,)</f>
        <v>0.12013888888888889</v>
      </c>
      <c r="H573" t="str">
        <f>VLOOKUP(A573,'2.09.2021'!A$3:'2.09.2021'!I$202,8,)</f>
        <v>LATIN URBAN</v>
      </c>
      <c r="I573" t="str">
        <f>VLOOKUP(A573,'2.09.2021'!A$3:'2.09.2021'!I$202,9,)</f>
        <v>Australia</v>
      </c>
      <c r="J573" t="str">
        <f t="shared" si="21"/>
        <v>Nu</v>
      </c>
    </row>
    <row r="574" spans="1:10" x14ac:dyDescent="0.2">
      <c r="A574" t="s">
        <v>24</v>
      </c>
      <c r="B574" t="s">
        <v>25</v>
      </c>
      <c r="C574">
        <v>5619053</v>
      </c>
      <c r="D574" s="7">
        <f t="shared" si="22"/>
        <v>28095.264999999999</v>
      </c>
      <c r="E574" s="2">
        <f>VLOOKUP(A574,'30.09.2021'!A$3:'30.09.2021'!I$202,5,)</f>
        <v>44337</v>
      </c>
      <c r="F574" s="2">
        <v>44455</v>
      </c>
      <c r="G574" s="23">
        <f>VLOOKUP(A574,'30.09.2021'!A$3:'30.09.2021'!I$202,7,)</f>
        <v>0.1013888888888889</v>
      </c>
      <c r="H574" t="str">
        <f>VLOOKUP(A574,'30.09.2021'!A$3:'30.09.2021'!I$202,8,)</f>
        <v>AFROBEATS</v>
      </c>
      <c r="I574" t="str">
        <f>VLOOKUP(A574,'30.09.2021'!A$3:'30.09.2021'!I$202,9,)</f>
        <v>Africa</v>
      </c>
      <c r="J574" t="str">
        <f t="shared" si="21"/>
        <v>Nu</v>
      </c>
    </row>
    <row r="575" spans="1:10" x14ac:dyDescent="0.2">
      <c r="A575" t="s">
        <v>224</v>
      </c>
      <c r="B575" t="s">
        <v>225</v>
      </c>
      <c r="C575">
        <v>5609629</v>
      </c>
      <c r="D575" s="7">
        <f t="shared" si="22"/>
        <v>28048.145</v>
      </c>
      <c r="E575" s="2">
        <f>VLOOKUP(A575,'2.09.2021'!A$3:'2.09.2021'!I$202,5,)</f>
        <v>44460</v>
      </c>
      <c r="F575" s="2">
        <v>44455</v>
      </c>
      <c r="G575" s="23">
        <f>VLOOKUP(A575,'2.09.2021'!A$3:'2.09.2021'!I$202,7,)</f>
        <v>0.15694444444444444</v>
      </c>
      <c r="H575" t="str">
        <f>VLOOKUP(A575,'2.09.2021'!A$3:'2.09.2021'!I$202,8,)</f>
        <v>HIP-HOP/RAP</v>
      </c>
      <c r="I575" t="str">
        <f>VLOOKUP(A575,'2.09.2021'!A$3:'2.09.2021'!I$202,9,)</f>
        <v>Marea Britanie</v>
      </c>
      <c r="J575" t="str">
        <f t="shared" si="21"/>
        <v>Nu</v>
      </c>
    </row>
    <row r="576" spans="1:10" x14ac:dyDescent="0.2">
      <c r="A576" t="s">
        <v>214</v>
      </c>
      <c r="B576" t="s">
        <v>215</v>
      </c>
      <c r="C576">
        <v>5605816</v>
      </c>
      <c r="D576" s="7">
        <f t="shared" si="22"/>
        <v>28029.079999999998</v>
      </c>
      <c r="E576" s="2">
        <f>VLOOKUP(A576,'23.09.2021'!A$3:'23.09.2021'!I$202,5,)</f>
        <v>44305</v>
      </c>
      <c r="F576" s="2">
        <v>44455</v>
      </c>
      <c r="G576" s="23">
        <f>VLOOKUP(A576,'23.09.2021'!A$3:'23.09.2021'!I$202,7,)</f>
        <v>9.7916666666666666E-2</v>
      </c>
      <c r="H576" t="str">
        <f>VLOOKUP(A576,'23.09.2021'!A$3:'23.09.2021'!I$202,8,)</f>
        <v>LATIN</v>
      </c>
      <c r="I576" t="str">
        <f>VLOOKUP(A576,'23.09.2021'!A$3:'23.09.2021'!I$202,9,)</f>
        <v>Columbia</v>
      </c>
      <c r="J576" t="str">
        <f t="shared" si="21"/>
        <v>Nu</v>
      </c>
    </row>
    <row r="577" spans="1:10" x14ac:dyDescent="0.2">
      <c r="A577" t="s">
        <v>239</v>
      </c>
      <c r="B577" t="s">
        <v>240</v>
      </c>
      <c r="C577">
        <v>5556773</v>
      </c>
      <c r="D577" s="7">
        <f t="shared" si="22"/>
        <v>27783.865000000002</v>
      </c>
      <c r="E577" s="2">
        <f>VLOOKUP(A577,'2.09.2021'!A$3:'2.09.2021'!I$202,5,)</f>
        <v>44407</v>
      </c>
      <c r="F577" s="2">
        <v>44455</v>
      </c>
      <c r="G577" s="23">
        <f>VLOOKUP(A577,'2.09.2021'!A$3:'2.09.2021'!I$202,7,)</f>
        <v>0.16874999999999998</v>
      </c>
      <c r="H577" t="str">
        <f>VLOOKUP(A577,'2.09.2021'!A$3:'2.09.2021'!I$202,8,)</f>
        <v>POP</v>
      </c>
      <c r="I577" t="str">
        <f>VLOOKUP(A577,'2.09.2021'!A$3:'2.09.2021'!I$202,9,)</f>
        <v>Irlanda</v>
      </c>
      <c r="J577" t="str">
        <f t="shared" si="21"/>
        <v>Nu</v>
      </c>
    </row>
    <row r="578" spans="1:10" x14ac:dyDescent="0.2">
      <c r="A578" t="s">
        <v>295</v>
      </c>
      <c r="B578" t="s">
        <v>296</v>
      </c>
      <c r="C578">
        <v>5551341</v>
      </c>
      <c r="D578" s="7">
        <f t="shared" si="22"/>
        <v>27756.705000000002</v>
      </c>
      <c r="E578" s="2">
        <f>VLOOKUP(A578,'2.09.2021'!A$3:'2.09.2021'!I$202,5,)</f>
        <v>44214</v>
      </c>
      <c r="F578" s="2">
        <v>44455</v>
      </c>
      <c r="G578" s="23">
        <f>VLOOKUP(A578,'2.09.2021'!A$3:'2.09.2021'!I$202,7,)</f>
        <v>0.11388888888888889</v>
      </c>
      <c r="H578" t="str">
        <f>VLOOKUP(A578,'2.09.2021'!A$3:'2.09.2021'!I$202,8,)</f>
        <v>HIP-HOP/RAP</v>
      </c>
      <c r="I578" t="str">
        <f>VLOOKUP(A578,'2.09.2021'!A$3:'2.09.2021'!I$202,9,)</f>
        <v>Germania</v>
      </c>
      <c r="J578" t="str">
        <f t="shared" ref="J578:J641" si="23">IF(ISNUMBER(SEARCH("with",A578)),"Da","Nu")</f>
        <v>Nu</v>
      </c>
    </row>
    <row r="579" spans="1:10" x14ac:dyDescent="0.2">
      <c r="A579" t="s">
        <v>199</v>
      </c>
      <c r="B579" t="s">
        <v>200</v>
      </c>
      <c r="C579">
        <v>5536712</v>
      </c>
      <c r="D579" s="7">
        <f t="shared" si="22"/>
        <v>27683.56</v>
      </c>
      <c r="E579" s="2">
        <f>VLOOKUP(A579,'30.09.2021'!A$3:'30.09.2021'!I$202,5,)</f>
        <v>36603</v>
      </c>
      <c r="F579" s="2">
        <v>44455</v>
      </c>
      <c r="G579" s="23">
        <f>VLOOKUP(A579,'30.09.2021'!A$3:'30.09.2021'!I$202,7,)</f>
        <v>0.19722222222222222</v>
      </c>
      <c r="H579" t="str">
        <f>VLOOKUP(A579,'30.09.2021'!A$3:'30.09.2021'!I$202,8,)</f>
        <v>HIP-HOP/RAP</v>
      </c>
      <c r="I579" t="s">
        <v>468</v>
      </c>
      <c r="J579" t="str">
        <f t="shared" si="23"/>
        <v>Nu</v>
      </c>
    </row>
    <row r="580" spans="1:10" x14ac:dyDescent="0.2">
      <c r="A580" t="s">
        <v>333</v>
      </c>
      <c r="B580" t="s">
        <v>334</v>
      </c>
      <c r="C580">
        <v>5526898</v>
      </c>
      <c r="D580" s="7">
        <f t="shared" si="22"/>
        <v>27634.49</v>
      </c>
      <c r="E580" s="2">
        <f>VLOOKUP(A580,'2.09.2021'!A$3:'2.09.2021'!I$202,5,)</f>
        <v>44351</v>
      </c>
      <c r="F580" s="2">
        <v>44455</v>
      </c>
      <c r="G580" s="23">
        <f>VLOOKUP(A580,'2.09.2021'!A$3:'2.09.2021'!I$202,7,)</f>
        <v>0.11458333333333333</v>
      </c>
      <c r="H580" t="str">
        <f>VLOOKUP(A580,'2.09.2021'!A$3:'2.09.2021'!I$202,8,)</f>
        <v>HIP-HOP/RAP</v>
      </c>
      <c r="I580" t="str">
        <f>VLOOKUP(A580,'2.09.2021'!A$3:'2.09.2021'!I$202,9,)</f>
        <v>Brazilia</v>
      </c>
      <c r="J580" t="str">
        <f t="shared" si="23"/>
        <v>Nu</v>
      </c>
    </row>
    <row r="581" spans="1:10" x14ac:dyDescent="0.2">
      <c r="A581" t="s">
        <v>252</v>
      </c>
      <c r="B581" t="s">
        <v>154</v>
      </c>
      <c r="C581">
        <v>5525535</v>
      </c>
      <c r="D581" s="7">
        <f t="shared" si="22"/>
        <v>27627.674999999999</v>
      </c>
      <c r="E581" s="2">
        <f>VLOOKUP(A581,'2.09.2021'!A$3:'2.09.2021'!I$202,5,)</f>
        <v>44338</v>
      </c>
      <c r="F581" s="2">
        <v>44455</v>
      </c>
      <c r="G581" s="23">
        <f>VLOOKUP(A581,'2.09.2021'!A$3:'2.09.2021'!I$202,7,)</f>
        <v>0.10069444444444443</v>
      </c>
      <c r="H581" t="str">
        <f>VLOOKUP(A581,'2.09.2021'!A$3:'2.09.2021'!I$202,8,)</f>
        <v>R&amp;B/SOUL</v>
      </c>
      <c r="I581" t="str">
        <f>VLOOKUP(A581,'2.09.2021'!A$3:'2.09.2021'!I$202,9,)</f>
        <v>SUA</v>
      </c>
      <c r="J581" t="str">
        <f t="shared" si="23"/>
        <v>Nu</v>
      </c>
    </row>
    <row r="582" spans="1:10" x14ac:dyDescent="0.2">
      <c r="A582" t="s">
        <v>268</v>
      </c>
      <c r="B582" t="s">
        <v>269</v>
      </c>
      <c r="C582">
        <v>5525427</v>
      </c>
      <c r="D582" s="7">
        <f t="shared" si="22"/>
        <v>27627.134999999998</v>
      </c>
      <c r="E582" s="2">
        <f>VLOOKUP(A582,'2.09.2021'!A$3:'2.09.2021'!I$202,5,)</f>
        <v>44350</v>
      </c>
      <c r="F582" s="2">
        <v>44455</v>
      </c>
      <c r="G582" s="23">
        <f>VLOOKUP(A582,'2.09.2021'!A$3:'2.09.2021'!I$202,7,)</f>
        <v>0.14444444444444446</v>
      </c>
      <c r="H582" t="str">
        <f>VLOOKUP(A582,'2.09.2021'!A$3:'2.09.2021'!I$202,8,)</f>
        <v>HIP-HOP/RAP</v>
      </c>
      <c r="I582" t="str">
        <f>VLOOKUP(A582,'2.09.2021'!A$3:'2.09.2021'!I$202,9,)</f>
        <v>SUA</v>
      </c>
      <c r="J582" t="str">
        <f t="shared" si="23"/>
        <v>Nu</v>
      </c>
    </row>
    <row r="583" spans="1:10" x14ac:dyDescent="0.2">
      <c r="A583" t="s">
        <v>263</v>
      </c>
      <c r="B583" t="s">
        <v>213</v>
      </c>
      <c r="C583">
        <v>5510213</v>
      </c>
      <c r="D583" s="7">
        <f t="shared" si="22"/>
        <v>27551.064999999999</v>
      </c>
      <c r="E583" s="2">
        <f>VLOOKUP(A583,'2.09.2021'!A$3:'2.09.2021'!I$202,5,)</f>
        <v>44256</v>
      </c>
      <c r="F583" s="2">
        <v>44455</v>
      </c>
      <c r="G583" s="23">
        <f>VLOOKUP(A583,'2.09.2021'!A$3:'2.09.2021'!I$202,7,)</f>
        <v>0.13749999999999998</v>
      </c>
      <c r="H583" t="str">
        <f>VLOOKUP(A583,'2.09.2021'!A$3:'2.09.2021'!I$202,8,)</f>
        <v>HIP-HOP/RAP</v>
      </c>
      <c r="I583" t="str">
        <f>VLOOKUP(A583,'2.09.2021'!A$3:'2.09.2021'!I$202,9,)</f>
        <v>Suedia</v>
      </c>
      <c r="J583" t="str">
        <f t="shared" si="23"/>
        <v>Nu</v>
      </c>
    </row>
    <row r="584" spans="1:10" x14ac:dyDescent="0.2">
      <c r="A584" t="s">
        <v>241</v>
      </c>
      <c r="B584" t="s">
        <v>242</v>
      </c>
      <c r="C584">
        <v>5476455</v>
      </c>
      <c r="D584" s="7">
        <f t="shared" si="22"/>
        <v>27382.275000000001</v>
      </c>
      <c r="E584" s="2">
        <f>VLOOKUP(A584,'2.09.2021'!A$3:'2.09.2021'!I$202,5,)</f>
        <v>44377</v>
      </c>
      <c r="F584" s="2">
        <v>44455</v>
      </c>
      <c r="G584" s="23">
        <f>VLOOKUP(A584,'2.09.2021'!A$3:'2.09.2021'!I$202,7,)</f>
        <v>0.16527777777777777</v>
      </c>
      <c r="H584" t="str">
        <f>VLOOKUP(A584,'2.09.2021'!A$3:'2.09.2021'!I$202,8,)</f>
        <v>HIP-HOP/RAP</v>
      </c>
      <c r="I584" t="str">
        <f>VLOOKUP(A584,'2.09.2021'!A$3:'2.09.2021'!I$202,9,)</f>
        <v>Marea Britanie</v>
      </c>
      <c r="J584" t="str">
        <f t="shared" si="23"/>
        <v>Nu</v>
      </c>
    </row>
    <row r="585" spans="1:10" x14ac:dyDescent="0.2">
      <c r="A585" t="s">
        <v>285</v>
      </c>
      <c r="B585" t="s">
        <v>286</v>
      </c>
      <c r="C585">
        <v>5447371</v>
      </c>
      <c r="D585" s="7">
        <f t="shared" si="22"/>
        <v>27236.855</v>
      </c>
      <c r="E585" s="2">
        <f>VLOOKUP(A585,'2.09.2021'!A$3:'2.09.2021'!I$202,5,)</f>
        <v>44439</v>
      </c>
      <c r="F585" s="2">
        <v>44455</v>
      </c>
      <c r="G585" s="23">
        <f>VLOOKUP(A585,'2.09.2021'!A$3:'2.09.2021'!I$202,7,)</f>
        <v>9.5833333333333326E-2</v>
      </c>
      <c r="H585" t="str">
        <f>VLOOKUP(A585,'2.09.2021'!A$3:'2.09.2021'!I$202,8,)</f>
        <v>HIP-HOP/RAP</v>
      </c>
      <c r="I585" t="str">
        <f>VLOOKUP(A585,'2.09.2021'!A$3:'2.09.2021'!I$202,9,)</f>
        <v>Marea Britanie</v>
      </c>
      <c r="J585" t="str">
        <f t="shared" si="23"/>
        <v>Nu</v>
      </c>
    </row>
    <row r="586" spans="1:10" x14ac:dyDescent="0.2">
      <c r="A586" t="s">
        <v>336</v>
      </c>
      <c r="B586" t="s">
        <v>337</v>
      </c>
      <c r="C586">
        <v>5445808</v>
      </c>
      <c r="D586" s="7">
        <f t="shared" si="22"/>
        <v>27229.040000000001</v>
      </c>
      <c r="E586" s="2">
        <f>VLOOKUP(A586,'2.09.2021'!A$3:'2.09.2021'!I$202,5,)</f>
        <v>44304</v>
      </c>
      <c r="F586" s="2">
        <v>44455</v>
      </c>
      <c r="G586" s="23">
        <f>VLOOKUP(A586,'2.09.2021'!A$3:'2.09.2021'!I$202,7,)</f>
        <v>0.14930555555555555</v>
      </c>
      <c r="H586" t="str">
        <f>VLOOKUP(A586,'2.09.2021'!A$3:'2.09.2021'!I$202,8,)</f>
        <v>HIP-HOP/RAP</v>
      </c>
      <c r="I586" t="str">
        <f>VLOOKUP(A586,'2.09.2021'!A$3:'2.09.2021'!I$202,9,)</f>
        <v>Puerto Rico</v>
      </c>
      <c r="J586" t="str">
        <f t="shared" si="23"/>
        <v>Nu</v>
      </c>
    </row>
    <row r="587" spans="1:10" x14ac:dyDescent="0.2">
      <c r="A587" t="s">
        <v>292</v>
      </c>
      <c r="B587" t="s">
        <v>43</v>
      </c>
      <c r="C587">
        <v>5439098</v>
      </c>
      <c r="D587" s="7">
        <f t="shared" si="22"/>
        <v>27195.489999999998</v>
      </c>
      <c r="E587" s="2">
        <f>VLOOKUP(A587,'2.09.2021'!A$3:'2.09.2021'!I$202,5,)</f>
        <v>44242</v>
      </c>
      <c r="F587" s="2">
        <v>44455</v>
      </c>
      <c r="G587" s="23">
        <f>VLOOKUP(A587,'2.09.2021'!A$3:'2.09.2021'!I$202,7,)</f>
        <v>0.14652777777777778</v>
      </c>
      <c r="H587" t="str">
        <f>VLOOKUP(A587,'2.09.2021'!A$3:'2.09.2021'!I$202,8,)</f>
        <v>RHYTHM &amp; BLUES</v>
      </c>
      <c r="I587" t="str">
        <f>VLOOKUP(A587,'2.09.2021'!A$3:'2.09.2021'!I$202,9,)</f>
        <v>Canada</v>
      </c>
      <c r="J587" t="str">
        <f t="shared" si="23"/>
        <v>Nu</v>
      </c>
    </row>
    <row r="588" spans="1:10" x14ac:dyDescent="0.2">
      <c r="A588" t="s">
        <v>341</v>
      </c>
      <c r="B588" t="s">
        <v>132</v>
      </c>
      <c r="C588">
        <v>5395263</v>
      </c>
      <c r="D588" s="7">
        <f t="shared" si="22"/>
        <v>26976.314999999999</v>
      </c>
      <c r="E588" s="2">
        <f>VLOOKUP(A588,'2.09.2021'!A$3:'2.09.2021'!I$202,5,)</f>
        <v>44370</v>
      </c>
      <c r="F588" s="2">
        <v>44455</v>
      </c>
      <c r="G588" s="23">
        <f>VLOOKUP(A588,'2.09.2021'!A$3:'2.09.2021'!I$202,7,)</f>
        <v>0.12986111111111112</v>
      </c>
      <c r="H588" t="str">
        <f>VLOOKUP(A588,'2.09.2021'!A$3:'2.09.2021'!I$202,8,)</f>
        <v>POP</v>
      </c>
      <c r="I588" t="str">
        <f>VLOOKUP(A588,'2.09.2021'!A$3:'2.09.2021'!I$202,9,)</f>
        <v>Columbia</v>
      </c>
      <c r="J588" t="str">
        <f t="shared" si="23"/>
        <v>Nu</v>
      </c>
    </row>
    <row r="589" spans="1:10" x14ac:dyDescent="0.2">
      <c r="A589" t="s">
        <v>354</v>
      </c>
      <c r="B589" t="s">
        <v>355</v>
      </c>
      <c r="C589">
        <v>5371072</v>
      </c>
      <c r="D589" s="7">
        <f t="shared" si="22"/>
        <v>26855.360000000001</v>
      </c>
      <c r="E589" s="2">
        <v>44404</v>
      </c>
      <c r="F589" s="2">
        <v>44455</v>
      </c>
      <c r="G589" s="23">
        <v>8.4027777777777771E-2</v>
      </c>
      <c r="H589" t="s">
        <v>422</v>
      </c>
      <c r="I589" t="s">
        <v>469</v>
      </c>
      <c r="J589" t="str">
        <f t="shared" si="23"/>
        <v>Nu</v>
      </c>
    </row>
    <row r="590" spans="1:10" x14ac:dyDescent="0.2">
      <c r="A590" t="s">
        <v>290</v>
      </c>
      <c r="B590" t="s">
        <v>158</v>
      </c>
      <c r="C590">
        <v>5357724</v>
      </c>
      <c r="D590" s="7">
        <f t="shared" si="22"/>
        <v>26788.620000000003</v>
      </c>
      <c r="E590" s="2">
        <f>VLOOKUP(A590,'2.09.2021'!A$3:'2.09.2021'!I$202,5,)</f>
        <v>44208</v>
      </c>
      <c r="F590" s="2">
        <v>44455</v>
      </c>
      <c r="G590" s="23">
        <f>VLOOKUP(A590,'2.09.2021'!A$3:'2.09.2021'!I$202,7,)</f>
        <v>0.16527777777777777</v>
      </c>
      <c r="H590" t="str">
        <f>VLOOKUP(A590,'2.09.2021'!A$3:'2.09.2021'!I$202,8,)</f>
        <v>ROCK</v>
      </c>
      <c r="I590" t="str">
        <f>VLOOKUP(A590,'2.09.2021'!A$3:'2.09.2021'!I$202,9,)</f>
        <v>SUA</v>
      </c>
      <c r="J590" t="str">
        <f t="shared" si="23"/>
        <v>Nu</v>
      </c>
    </row>
    <row r="591" spans="1:10" x14ac:dyDescent="0.2">
      <c r="A591" t="s">
        <v>277</v>
      </c>
      <c r="B591" t="s">
        <v>69</v>
      </c>
      <c r="C591">
        <v>5354121</v>
      </c>
      <c r="D591" s="7">
        <f t="shared" si="22"/>
        <v>26770.605</v>
      </c>
      <c r="E591" s="2">
        <f>VLOOKUP(A591,'2.09.2021'!A$3:'2.09.2021'!I$202,5,)</f>
        <v>44248</v>
      </c>
      <c r="F591" s="2">
        <v>44455</v>
      </c>
      <c r="G591" s="23">
        <f>VLOOKUP(A591,'2.09.2021'!A$3:'2.09.2021'!I$202,7,)</f>
        <v>0.15972222222222224</v>
      </c>
      <c r="H591" t="str">
        <f>VLOOKUP(A591,'2.09.2021'!A$3:'2.09.2021'!I$202,8,)</f>
        <v>HIP-HOP/RAP</v>
      </c>
      <c r="I591" t="str">
        <f>VLOOKUP(A591,'2.09.2021'!A$3:'2.09.2021'!I$202,9,)</f>
        <v>Columbia</v>
      </c>
      <c r="J591" t="str">
        <f t="shared" si="23"/>
        <v>Nu</v>
      </c>
    </row>
    <row r="592" spans="1:10" x14ac:dyDescent="0.2">
      <c r="A592" t="s">
        <v>275</v>
      </c>
      <c r="B592" t="s">
        <v>276</v>
      </c>
      <c r="C592">
        <v>5351049</v>
      </c>
      <c r="D592" s="7">
        <f t="shared" si="22"/>
        <v>26755.244999999999</v>
      </c>
      <c r="E592" s="2">
        <f>VLOOKUP(A592,'2.09.2021'!A$3:'2.09.2021'!I$202,5,)</f>
        <v>44209</v>
      </c>
      <c r="F592" s="2">
        <v>44455</v>
      </c>
      <c r="G592" s="23">
        <f>VLOOKUP(A592,'2.09.2021'!A$3:'2.09.2021'!I$202,7,)</f>
        <v>0.15902777777777777</v>
      </c>
      <c r="H592" t="str">
        <f>VLOOKUP(A592,'2.09.2021'!A$3:'2.09.2021'!I$202,8,)</f>
        <v>LATIN</v>
      </c>
      <c r="I592" t="str">
        <f>VLOOKUP(A592,'2.09.2021'!A$3:'2.09.2021'!I$202,9,)</f>
        <v>Franța</v>
      </c>
      <c r="J592" t="str">
        <f t="shared" si="23"/>
        <v>Nu</v>
      </c>
    </row>
    <row r="593" spans="1:10" x14ac:dyDescent="0.2">
      <c r="A593" t="s">
        <v>298</v>
      </c>
      <c r="B593" t="s">
        <v>299</v>
      </c>
      <c r="C593">
        <v>5343959</v>
      </c>
      <c r="D593" s="7">
        <f t="shared" si="22"/>
        <v>26719.794999999998</v>
      </c>
      <c r="E593" s="2">
        <f>VLOOKUP(A593,'30.09.2021'!A$3:'30.09.2021'!I$202,5,)</f>
        <v>44375</v>
      </c>
      <c r="F593" s="2">
        <v>44455</v>
      </c>
      <c r="G593" s="23">
        <f>VLOOKUP(A593,'30.09.2021'!A$3:'30.09.2021'!I$202,7,)</f>
        <v>0.13958333333333334</v>
      </c>
      <c r="H593" t="str">
        <f>VLOOKUP(A593,'30.09.2021'!A$3:'30.09.2021'!I$202,8,)</f>
        <v>LATIN URBAN</v>
      </c>
      <c r="I593" t="str">
        <f>VLOOKUP(A593,'30.09.2021'!A$3:'30.09.2021'!I$202,9,)</f>
        <v>Puerto Rico</v>
      </c>
      <c r="J593" t="str">
        <f t="shared" si="23"/>
        <v>Nu</v>
      </c>
    </row>
    <row r="594" spans="1:10" x14ac:dyDescent="0.2">
      <c r="A594" t="s">
        <v>270</v>
      </c>
      <c r="B594" t="s">
        <v>271</v>
      </c>
      <c r="C594">
        <v>5338308</v>
      </c>
      <c r="D594" s="7">
        <f t="shared" si="22"/>
        <v>26691.54</v>
      </c>
      <c r="E594" s="2">
        <f>VLOOKUP(A594,'2.09.2021'!A$3:'2.09.2021'!I$202,5,)</f>
        <v>44309</v>
      </c>
      <c r="F594" s="2">
        <v>44455</v>
      </c>
      <c r="G594" s="23">
        <f>VLOOKUP(A594,'2.09.2021'!A$3:'2.09.2021'!I$202,7,)</f>
        <v>0.16805555555555554</v>
      </c>
      <c r="H594" t="str">
        <f>VLOOKUP(A594,'2.09.2021'!A$3:'2.09.2021'!I$202,8,)</f>
        <v>HIP-HOP/RAP</v>
      </c>
      <c r="I594" t="str">
        <f>VLOOKUP(A594,'2.09.2021'!A$3:'2.09.2021'!I$202,9,)</f>
        <v>SUA</v>
      </c>
      <c r="J594" t="str">
        <f t="shared" si="23"/>
        <v>Nu</v>
      </c>
    </row>
    <row r="595" spans="1:10" x14ac:dyDescent="0.2">
      <c r="A595" t="s">
        <v>261</v>
      </c>
      <c r="B595" t="s">
        <v>262</v>
      </c>
      <c r="C595">
        <v>5322838</v>
      </c>
      <c r="D595" s="7">
        <f t="shared" ref="D595:D601" si="24">(C595/1000*5)</f>
        <v>26614.19</v>
      </c>
      <c r="E595" s="2">
        <f>VLOOKUP(A595,'2.09.2021'!A$3:'2.09.2021'!I$202,5,)</f>
        <v>44259</v>
      </c>
      <c r="F595" s="2">
        <v>44455</v>
      </c>
      <c r="G595" s="23">
        <f>VLOOKUP(A595,'2.09.2021'!A$3:'2.09.2021'!I$202,7,)</f>
        <v>0.10833333333333334</v>
      </c>
      <c r="H595" t="str">
        <f>VLOOKUP(A595,'2.09.2021'!A$3:'2.09.2021'!I$202,8,)</f>
        <v>HIP-HOP/RAP</v>
      </c>
      <c r="I595" t="str">
        <f>VLOOKUP(A595,'2.09.2021'!A$3:'2.09.2021'!I$202,9,)</f>
        <v>Marea Britanie</v>
      </c>
      <c r="J595" t="str">
        <f t="shared" si="23"/>
        <v>Nu</v>
      </c>
    </row>
    <row r="596" spans="1:10" x14ac:dyDescent="0.2">
      <c r="A596" t="s">
        <v>451</v>
      </c>
      <c r="B596" t="s">
        <v>244</v>
      </c>
      <c r="C596">
        <v>5310723</v>
      </c>
      <c r="D596" s="7">
        <f t="shared" si="24"/>
        <v>26553.614999999998</v>
      </c>
      <c r="E596" s="2">
        <f>VLOOKUP(A596,'30.09.2021'!A$3:'30.09.2021'!I$202,5,)</f>
        <v>44199</v>
      </c>
      <c r="F596" s="2">
        <v>44455</v>
      </c>
      <c r="G596" s="23">
        <f>VLOOKUP(A596,'30.09.2021'!A$3:'30.09.2021'!I$202,7,)</f>
        <v>0.12430555555555556</v>
      </c>
      <c r="H596" t="str">
        <f>VLOOKUP(A596,'30.09.2021'!A$3:'30.09.2021'!I$202,8,)</f>
        <v>HIP-HOP/RAP</v>
      </c>
      <c r="I596" t="s">
        <v>468</v>
      </c>
      <c r="J596" t="str">
        <f t="shared" si="23"/>
        <v>Da</v>
      </c>
    </row>
    <row r="597" spans="1:10" x14ac:dyDescent="0.2">
      <c r="A597" t="s">
        <v>258</v>
      </c>
      <c r="B597" t="s">
        <v>23</v>
      </c>
      <c r="C597">
        <v>5310598</v>
      </c>
      <c r="D597" s="7">
        <f t="shared" si="24"/>
        <v>26552.989999999998</v>
      </c>
      <c r="E597" s="2">
        <f>VLOOKUP(A597,'2.09.2021'!A$3:'2.09.2021'!I$202,5,)</f>
        <v>44245</v>
      </c>
      <c r="F597" s="2">
        <v>44455</v>
      </c>
      <c r="G597" s="23">
        <f>VLOOKUP(A597,'2.09.2021'!A$3:'2.09.2021'!I$202,7,)</f>
        <v>0.11388888888888889</v>
      </c>
      <c r="H597" t="str">
        <f>VLOOKUP(A597,'2.09.2021'!A$3:'2.09.2021'!I$202,8,)</f>
        <v>LATIN URBAN</v>
      </c>
      <c r="I597" t="str">
        <f>VLOOKUP(A597,'2.09.2021'!A$3:'2.09.2021'!I$202,9,)</f>
        <v>SUA</v>
      </c>
      <c r="J597" t="str">
        <f t="shared" si="23"/>
        <v>Nu</v>
      </c>
    </row>
    <row r="598" spans="1:10" x14ac:dyDescent="0.2">
      <c r="A598" t="s">
        <v>243</v>
      </c>
      <c r="B598" t="s">
        <v>244</v>
      </c>
      <c r="C598">
        <v>5297116</v>
      </c>
      <c r="D598" s="7">
        <f t="shared" si="24"/>
        <v>26485.58</v>
      </c>
      <c r="E598" s="2">
        <f>VLOOKUP(A598,'30.09.2021'!A$3:'30.09.2021'!I$202,5,)</f>
        <v>44199</v>
      </c>
      <c r="F598" s="2">
        <v>44455</v>
      </c>
      <c r="G598" s="23">
        <f>VLOOKUP(A598,'30.09.2021'!A$3:'30.09.2021'!I$202,7,)</f>
        <v>9.930555555555555E-2</v>
      </c>
      <c r="H598" t="s">
        <v>502</v>
      </c>
      <c r="I598" t="s">
        <v>468</v>
      </c>
      <c r="J598" t="str">
        <f t="shared" si="23"/>
        <v>Nu</v>
      </c>
    </row>
    <row r="599" spans="1:10" x14ac:dyDescent="0.2">
      <c r="A599" t="s">
        <v>330</v>
      </c>
      <c r="B599" t="s">
        <v>10</v>
      </c>
      <c r="C599">
        <v>5292027</v>
      </c>
      <c r="D599" s="7">
        <f t="shared" si="24"/>
        <v>26460.135000000002</v>
      </c>
      <c r="E599" s="2">
        <f>VLOOKUP(A599,'2.09.2021'!A$3:'2.09.2021'!I$202,5,)</f>
        <v>44254</v>
      </c>
      <c r="F599" s="2">
        <v>44455</v>
      </c>
      <c r="G599" s="23">
        <f>VLOOKUP(A599,'2.09.2021'!A$3:'2.09.2021'!I$202,7,)</f>
        <v>0.14722222222222223</v>
      </c>
      <c r="H599" t="str">
        <f>VLOOKUP(A599,'2.09.2021'!A$3:'2.09.2021'!I$202,8,)</f>
        <v>POP</v>
      </c>
      <c r="I599" t="str">
        <f>VLOOKUP(A599,'2.09.2021'!A$3:'2.09.2021'!I$202,9,)</f>
        <v>Marea Britanie</v>
      </c>
      <c r="J599" t="str">
        <f t="shared" si="23"/>
        <v>Nu</v>
      </c>
    </row>
    <row r="600" spans="1:10" x14ac:dyDescent="0.2">
      <c r="A600" t="s">
        <v>266</v>
      </c>
      <c r="B600" t="s">
        <v>267</v>
      </c>
      <c r="C600">
        <v>5276238</v>
      </c>
      <c r="D600" s="7">
        <f t="shared" si="24"/>
        <v>26381.190000000002</v>
      </c>
      <c r="E600" s="2">
        <f>VLOOKUP(A600,'30.09.2021'!A$3:'30.09.2021'!I$202,5,)</f>
        <v>43498</v>
      </c>
      <c r="F600" s="2">
        <v>44455</v>
      </c>
      <c r="G600" s="23">
        <f>VLOOKUP(A600,'30.09.2021'!A$3:'30.09.2021'!I$202,7,)</f>
        <v>0.14097222222222222</v>
      </c>
      <c r="H600" t="str">
        <f>VLOOKUP(A600,'30.09.2021'!A$3:'30.09.2021'!I$202,8,)</f>
        <v>POP</v>
      </c>
      <c r="I600" t="str">
        <f>VLOOKUP(A600,'30.09.2021'!A$3:'30.09.2021'!I$202,9,)</f>
        <v>Marea Britanie</v>
      </c>
      <c r="J600" t="str">
        <f t="shared" si="23"/>
        <v>Nu</v>
      </c>
    </row>
    <row r="601" spans="1:10" x14ac:dyDescent="0.2">
      <c r="A601" t="s">
        <v>347</v>
      </c>
      <c r="B601" t="s">
        <v>348</v>
      </c>
      <c r="C601">
        <v>5272783</v>
      </c>
      <c r="D601" s="7">
        <f t="shared" si="24"/>
        <v>26363.915000000001</v>
      </c>
      <c r="E601" s="2">
        <f>VLOOKUP(A601,'2.09.2021'!A$3:'2.09.2021'!I$202,5,)</f>
        <v>44238</v>
      </c>
      <c r="F601" s="2">
        <v>44455</v>
      </c>
      <c r="G601" s="23">
        <f>VLOOKUP(A601,'2.09.2021'!A$3:'2.09.2021'!I$202,7,)</f>
        <v>0.14722222222222223</v>
      </c>
      <c r="H601" t="str">
        <f>VLOOKUP(A601,'2.09.2021'!A$3:'2.09.2021'!I$202,8,)</f>
        <v>LATIN URBAN</v>
      </c>
      <c r="I601" t="str">
        <f>VLOOKUP(A601,'2.09.2021'!A$3:'2.09.2021'!I$202,9,)</f>
        <v>Puerto Rico</v>
      </c>
      <c r="J601" t="str">
        <f t="shared" si="23"/>
        <v>Nu</v>
      </c>
    </row>
    <row r="602" spans="1:10" x14ac:dyDescent="0.2">
      <c r="A602" t="s">
        <v>0</v>
      </c>
      <c r="B602" t="s">
        <v>1</v>
      </c>
      <c r="C602">
        <v>65706259</v>
      </c>
      <c r="D602" s="7">
        <f>(C602/1000*5)</f>
        <v>328531.29500000004</v>
      </c>
      <c r="E602" s="2">
        <f>VLOOKUP(A602,'2.09.2021'!A$3:'2.09.2021'!I$202,5,)</f>
        <v>44386</v>
      </c>
      <c r="F602" s="2">
        <v>44462</v>
      </c>
      <c r="G602" s="23">
        <f>VLOOKUP(A602,'2.09.2021'!A$3:'2.09.2021'!I$202,7,)</f>
        <v>9.7916666666666666E-2</v>
      </c>
      <c r="H602" t="str">
        <f>VLOOKUP(A602,'2.09.2021'!A$3:'2.09.2021'!I$202,8,)</f>
        <v>POP</v>
      </c>
      <c r="I602" t="str">
        <f>VLOOKUP(A602,'2.09.2021'!A$3:'2.09.2021'!I$202,9,)</f>
        <v>Australia</v>
      </c>
      <c r="J602" t="str">
        <f t="shared" si="23"/>
        <v>Da</v>
      </c>
    </row>
    <row r="603" spans="1:10" x14ac:dyDescent="0.2">
      <c r="A603" t="s">
        <v>50</v>
      </c>
      <c r="B603" t="s">
        <v>20</v>
      </c>
      <c r="C603">
        <v>45594878</v>
      </c>
      <c r="D603" s="7">
        <f t="shared" ref="D603:D666" si="25">(C603/1000*5)</f>
        <v>227974.38999999998</v>
      </c>
      <c r="E603" s="2">
        <v>44460</v>
      </c>
      <c r="F603" s="2">
        <v>44462</v>
      </c>
      <c r="G603" s="23">
        <v>8.5416666666666655E-2</v>
      </c>
      <c r="H603" t="s">
        <v>502</v>
      </c>
      <c r="I603" t="s">
        <v>420</v>
      </c>
      <c r="J603" t="str">
        <f t="shared" si="23"/>
        <v>Da</v>
      </c>
    </row>
    <row r="604" spans="1:10" x14ac:dyDescent="0.2">
      <c r="A604" t="s">
        <v>30</v>
      </c>
      <c r="B604" t="s">
        <v>20</v>
      </c>
      <c r="C604">
        <v>43845716</v>
      </c>
      <c r="D604" s="7">
        <f t="shared" si="25"/>
        <v>219228.58000000002</v>
      </c>
      <c r="E604" s="2">
        <v>44460</v>
      </c>
      <c r="F604" s="2">
        <v>44462</v>
      </c>
      <c r="G604" s="23">
        <v>0.14097222222222222</v>
      </c>
      <c r="H604" t="s">
        <v>502</v>
      </c>
      <c r="I604" t="s">
        <v>420</v>
      </c>
      <c r="J604" t="str">
        <f t="shared" si="23"/>
        <v>Da</v>
      </c>
    </row>
    <row r="605" spans="1:10" x14ac:dyDescent="0.2">
      <c r="A605" t="s">
        <v>436</v>
      </c>
      <c r="B605" t="s">
        <v>2</v>
      </c>
      <c r="C605">
        <v>42154185</v>
      </c>
      <c r="D605" s="7">
        <f t="shared" si="25"/>
        <v>210770.92499999999</v>
      </c>
      <c r="E605" s="2">
        <f>VLOOKUP(A605,'2.09.2021'!A$3:'2.09.2021'!I$202,5,)</f>
        <v>44400</v>
      </c>
      <c r="F605" s="2">
        <v>44462</v>
      </c>
      <c r="G605" s="23">
        <f>VLOOKUP(A605,'2.09.2021'!A$3:'2.09.2021'!I$202,7,)</f>
        <v>0.14722222222222223</v>
      </c>
      <c r="H605" t="s">
        <v>423</v>
      </c>
      <c r="I605" t="str">
        <f>VLOOKUP(A605,'2.09.2021'!A$3:'2.09.2021'!I$202,9,)</f>
        <v>SUA</v>
      </c>
      <c r="J605" t="str">
        <f t="shared" si="23"/>
        <v>Da</v>
      </c>
    </row>
    <row r="606" spans="1:10" x14ac:dyDescent="0.2">
      <c r="A606" t="s">
        <v>19</v>
      </c>
      <c r="B606" t="s">
        <v>20</v>
      </c>
      <c r="C606">
        <v>38422223</v>
      </c>
      <c r="D606" s="7">
        <f t="shared" si="25"/>
        <v>192111.11499999999</v>
      </c>
      <c r="E606" s="2">
        <v>44460</v>
      </c>
      <c r="F606" s="2">
        <v>44462</v>
      </c>
      <c r="G606" s="23">
        <v>5.5555555555555552E-2</v>
      </c>
      <c r="H606" t="s">
        <v>423</v>
      </c>
      <c r="I606" t="s">
        <v>420</v>
      </c>
      <c r="J606" t="str">
        <f t="shared" si="23"/>
        <v>Da</v>
      </c>
    </row>
    <row r="607" spans="1:10" x14ac:dyDescent="0.2">
      <c r="A607" t="s">
        <v>143</v>
      </c>
      <c r="B607" t="s">
        <v>20</v>
      </c>
      <c r="C607">
        <v>34053174</v>
      </c>
      <c r="D607" s="7">
        <f t="shared" si="25"/>
        <v>170265.87</v>
      </c>
      <c r="E607" s="2">
        <v>44460</v>
      </c>
      <c r="F607" s="2">
        <v>44462</v>
      </c>
      <c r="G607" s="23">
        <v>0.16388888888888889</v>
      </c>
      <c r="H607" t="s">
        <v>423</v>
      </c>
      <c r="I607" t="s">
        <v>420</v>
      </c>
      <c r="J607" t="str">
        <f t="shared" si="23"/>
        <v>Nu</v>
      </c>
    </row>
    <row r="608" spans="1:10" x14ac:dyDescent="0.2">
      <c r="A608" t="s">
        <v>9</v>
      </c>
      <c r="B608" t="s">
        <v>10</v>
      </c>
      <c r="C608">
        <v>32477559</v>
      </c>
      <c r="D608" s="7">
        <f t="shared" si="25"/>
        <v>162387.79500000001</v>
      </c>
      <c r="E608" s="2">
        <f>VLOOKUP(A608,'2.09.2021'!A$3:'2.09.2021'!I$202,5,)</f>
        <v>44358</v>
      </c>
      <c r="F608" s="2">
        <v>44462</v>
      </c>
      <c r="G608" s="23">
        <f>VLOOKUP(A608,'2.09.2021'!A$3:'2.09.2021'!I$202,7,)</f>
        <v>0.14722222222222223</v>
      </c>
      <c r="H608" t="str">
        <f>VLOOKUP(A608,'2.09.2021'!A$3:'2.09.2021'!I$202,8,)</f>
        <v>POP</v>
      </c>
      <c r="I608" t="str">
        <f>VLOOKUP(A608,'2.09.2021'!A$3:'2.09.2021'!I$202,9,)</f>
        <v>Marea Britanie</v>
      </c>
      <c r="J608" t="str">
        <f t="shared" si="23"/>
        <v>Nu</v>
      </c>
    </row>
    <row r="609" spans="1:10" x14ac:dyDescent="0.2">
      <c r="A609" t="s">
        <v>15</v>
      </c>
      <c r="B609" t="s">
        <v>415</v>
      </c>
      <c r="C609">
        <v>29650985</v>
      </c>
      <c r="D609" s="7">
        <f t="shared" si="25"/>
        <v>148254.92499999999</v>
      </c>
      <c r="E609" s="2">
        <f>VLOOKUP(A609,'2.09.2021'!A$3:'2.09.2021'!I$202,5,)</f>
        <v>43077</v>
      </c>
      <c r="F609" s="2">
        <v>44462</v>
      </c>
      <c r="G609" s="23">
        <f>VLOOKUP(A609,'2.09.2021'!A$3:'2.09.2021'!I$202,7,)</f>
        <v>0.14652777777777778</v>
      </c>
      <c r="H609" t="str">
        <f>VLOOKUP(A609,'2.09.2021'!A$3:'2.09.2021'!I$202,8,)</f>
        <v>ROCK</v>
      </c>
      <c r="I609" t="str">
        <f>VLOOKUP(A609,'2.09.2021'!A$3:'2.09.2021'!I$202,9,)</f>
        <v>Italia</v>
      </c>
      <c r="J609" t="str">
        <f t="shared" si="23"/>
        <v>Nu</v>
      </c>
    </row>
    <row r="610" spans="1:10" x14ac:dyDescent="0.2">
      <c r="A610" t="s">
        <v>7</v>
      </c>
      <c r="B610" t="s">
        <v>8</v>
      </c>
      <c r="C610">
        <v>29585088</v>
      </c>
      <c r="D610" s="7">
        <f t="shared" si="25"/>
        <v>147925.44</v>
      </c>
      <c r="E610" s="2">
        <f>VLOOKUP(A610,'2.09.2021'!A$3:'2.09.2021'!I$202,5,)</f>
        <v>44538</v>
      </c>
      <c r="F610" s="2">
        <v>44462</v>
      </c>
      <c r="G610" s="23">
        <f>VLOOKUP(A610,'2.09.2021'!A$3:'2.09.2021'!I$202,7,)</f>
        <v>0.19930555555555554</v>
      </c>
      <c r="H610" t="str">
        <f>VLOOKUP(A610,'2.09.2021'!A$3:'2.09.2021'!I$202,8,)</f>
        <v>LATIN URBAN</v>
      </c>
      <c r="I610" t="str">
        <f>VLOOKUP(A610,'2.09.2021'!A$3:'2.09.2021'!I$202,9,)</f>
        <v>Puerto Rico</v>
      </c>
      <c r="J610" t="str">
        <f t="shared" si="23"/>
        <v>Nu</v>
      </c>
    </row>
    <row r="611" spans="1:10" x14ac:dyDescent="0.2">
      <c r="A611" t="s">
        <v>35</v>
      </c>
      <c r="B611" t="s">
        <v>20</v>
      </c>
      <c r="C611">
        <v>28347807</v>
      </c>
      <c r="D611" s="7">
        <f t="shared" si="25"/>
        <v>141739.035</v>
      </c>
      <c r="E611" s="2">
        <v>44460</v>
      </c>
      <c r="F611" s="2">
        <v>44462</v>
      </c>
      <c r="G611" s="23">
        <v>0.1673611111111111</v>
      </c>
      <c r="H611" t="s">
        <v>423</v>
      </c>
      <c r="I611" t="s">
        <v>420</v>
      </c>
      <c r="J611" t="str">
        <f t="shared" si="23"/>
        <v>Da</v>
      </c>
    </row>
    <row r="612" spans="1:10" x14ac:dyDescent="0.2">
      <c r="A612" t="s">
        <v>11</v>
      </c>
      <c r="B612" t="s">
        <v>12</v>
      </c>
      <c r="C612">
        <v>27507841</v>
      </c>
      <c r="D612" s="7">
        <f t="shared" si="25"/>
        <v>137539.20500000002</v>
      </c>
      <c r="E612" s="2">
        <f>VLOOKUP(A612,'2.09.2021'!A$3:'2.09.2021'!I$202,5,)</f>
        <v>44374</v>
      </c>
      <c r="F612" s="2">
        <v>44462</v>
      </c>
      <c r="G612" s="23">
        <f>VLOOKUP(A612,'2.09.2021'!A$3:'2.09.2021'!I$202,7,)</f>
        <v>0.10069444444444443</v>
      </c>
      <c r="H612" t="str">
        <f>VLOOKUP(A612,'2.09.2021'!A$3:'2.09.2021'!I$202,8,)</f>
        <v>POP</v>
      </c>
      <c r="I612" t="str">
        <f>VLOOKUP(A612,'2.09.2021'!A$3:'2.09.2021'!I$202,9,)</f>
        <v>SUA</v>
      </c>
      <c r="J612" t="str">
        <f t="shared" si="23"/>
        <v>Nu</v>
      </c>
    </row>
    <row r="613" spans="1:10" x14ac:dyDescent="0.2">
      <c r="A613" t="s">
        <v>300</v>
      </c>
      <c r="B613" t="s">
        <v>20</v>
      </c>
      <c r="C613">
        <v>27368851</v>
      </c>
      <c r="D613" s="7">
        <f t="shared" si="25"/>
        <v>136844.255</v>
      </c>
      <c r="E613" s="2">
        <v>44460</v>
      </c>
      <c r="F613" s="2">
        <v>44462</v>
      </c>
      <c r="G613" s="23">
        <v>0.14305555555555557</v>
      </c>
      <c r="H613" t="s">
        <v>423</v>
      </c>
      <c r="I613" t="s">
        <v>420</v>
      </c>
      <c r="J613" t="str">
        <f t="shared" si="23"/>
        <v>Nu</v>
      </c>
    </row>
    <row r="614" spans="1:10" x14ac:dyDescent="0.2">
      <c r="A614" t="s">
        <v>51</v>
      </c>
      <c r="B614" t="s">
        <v>52</v>
      </c>
      <c r="C614">
        <v>27212883</v>
      </c>
      <c r="D614" s="7">
        <f t="shared" si="25"/>
        <v>136064.41500000001</v>
      </c>
      <c r="E614" s="2">
        <f>VLOOKUP(A614,'2.09.2021'!A$3:'2.09.2021'!I$202,5,)</f>
        <v>44416</v>
      </c>
      <c r="F614" s="2">
        <v>44462</v>
      </c>
      <c r="G614" s="23">
        <f>VLOOKUP(A614,'2.09.2021'!A$3:'2.09.2021'!I$202,7,)</f>
        <v>0.16874999999999998</v>
      </c>
      <c r="H614" t="str">
        <f>VLOOKUP(A614,'2.09.2021'!A$3:'2.09.2021'!I$202,8,)</f>
        <v>HIP-HOP/RAP</v>
      </c>
      <c r="I614" t="str">
        <f>VLOOKUP(A614,'2.09.2021'!A$3:'2.09.2021'!I$202,9,)</f>
        <v>SUA</v>
      </c>
      <c r="J614" t="str">
        <f t="shared" si="23"/>
        <v>Nu</v>
      </c>
    </row>
    <row r="615" spans="1:10" x14ac:dyDescent="0.2">
      <c r="A615" t="s">
        <v>16</v>
      </c>
      <c r="B615" t="s">
        <v>17</v>
      </c>
      <c r="C615">
        <v>26877818</v>
      </c>
      <c r="D615" s="7">
        <f t="shared" si="25"/>
        <v>134389.09</v>
      </c>
      <c r="E615" s="2">
        <f>VLOOKUP(A615,'2.09.2021'!A$3:'2.09.2021'!I$202,5,)</f>
        <v>44337</v>
      </c>
      <c r="F615" s="2">
        <v>44462</v>
      </c>
      <c r="G615" s="23">
        <f>VLOOKUP(A615,'2.09.2021'!A$3:'2.09.2021'!I$202,7,)</f>
        <v>0.12361111111111112</v>
      </c>
      <c r="H615" t="str">
        <f>VLOOKUP(A615,'2.09.2021'!A$3:'2.09.2021'!I$202,8,)</f>
        <v>POP</v>
      </c>
      <c r="I615" t="str">
        <f>VLOOKUP(A615,'2.09.2021'!A$3:'2.09.2021'!I$202,9,)</f>
        <v>SUA</v>
      </c>
      <c r="J615" t="str">
        <f t="shared" si="23"/>
        <v>Nu</v>
      </c>
    </row>
    <row r="616" spans="1:10" x14ac:dyDescent="0.2">
      <c r="A616" t="s">
        <v>301</v>
      </c>
      <c r="B616" t="s">
        <v>20</v>
      </c>
      <c r="C616">
        <v>26226066</v>
      </c>
      <c r="D616" s="7">
        <f t="shared" si="25"/>
        <v>131130.32999999999</v>
      </c>
      <c r="E616" s="2">
        <v>44460</v>
      </c>
      <c r="F616" s="2">
        <v>44462</v>
      </c>
      <c r="G616" s="23">
        <v>0.13958333333333334</v>
      </c>
      <c r="H616" t="s">
        <v>423</v>
      </c>
      <c r="I616" t="s">
        <v>420</v>
      </c>
      <c r="J616" t="str">
        <f t="shared" si="23"/>
        <v>Nu</v>
      </c>
    </row>
    <row r="617" spans="1:10" x14ac:dyDescent="0.2">
      <c r="A617" t="s">
        <v>302</v>
      </c>
      <c r="B617" t="s">
        <v>20</v>
      </c>
      <c r="C617">
        <v>26043915</v>
      </c>
      <c r="D617" s="7">
        <f t="shared" si="25"/>
        <v>130219.57500000001</v>
      </c>
      <c r="E617" s="2">
        <v>44460</v>
      </c>
      <c r="F617" s="2">
        <v>44462</v>
      </c>
      <c r="G617" s="23">
        <v>9.930555555555555E-2</v>
      </c>
      <c r="H617" t="s">
        <v>423</v>
      </c>
      <c r="I617" t="s">
        <v>420</v>
      </c>
      <c r="J617" t="str">
        <f t="shared" si="23"/>
        <v>Da</v>
      </c>
    </row>
    <row r="618" spans="1:10" x14ac:dyDescent="0.2">
      <c r="A618" t="s">
        <v>303</v>
      </c>
      <c r="B618" t="s">
        <v>20</v>
      </c>
      <c r="C618">
        <v>25554209</v>
      </c>
      <c r="D618" s="7">
        <f t="shared" si="25"/>
        <v>127771.045</v>
      </c>
      <c r="E618" s="2">
        <v>44460</v>
      </c>
      <c r="F618" s="2">
        <v>44462</v>
      </c>
      <c r="G618" s="23">
        <v>0.1277777777777778</v>
      </c>
      <c r="H618" t="s">
        <v>423</v>
      </c>
      <c r="I618" t="s">
        <v>420</v>
      </c>
      <c r="J618" t="str">
        <f t="shared" si="23"/>
        <v>Da</v>
      </c>
    </row>
    <row r="619" spans="1:10" x14ac:dyDescent="0.2">
      <c r="A619" t="s">
        <v>21</v>
      </c>
      <c r="B619" t="s">
        <v>12</v>
      </c>
      <c r="C619">
        <v>25440855</v>
      </c>
      <c r="D619" s="7">
        <f t="shared" si="25"/>
        <v>127204.27499999999</v>
      </c>
      <c r="E619" s="2">
        <f>VLOOKUP(A619,'2.09.2021'!A$3:'2.09.2021'!I$202,5,)</f>
        <v>44371</v>
      </c>
      <c r="F619" s="2">
        <v>44462</v>
      </c>
      <c r="G619" s="23">
        <f>VLOOKUP(A619,'2.09.2021'!A$3:'2.09.2021'!I$202,7,)</f>
        <v>0.14583333333333334</v>
      </c>
      <c r="H619" t="str">
        <f>VLOOKUP(A619,'2.09.2021'!A$3:'2.09.2021'!I$202,8,)</f>
        <v>POP</v>
      </c>
      <c r="I619" t="str">
        <f>VLOOKUP(A619,'2.09.2021'!A$3:'2.09.2021'!I$202,9,)</f>
        <v>SUA</v>
      </c>
      <c r="J619" t="str">
        <f t="shared" si="23"/>
        <v>Nu</v>
      </c>
    </row>
    <row r="620" spans="1:10" x14ac:dyDescent="0.2">
      <c r="A620" t="s">
        <v>5</v>
      </c>
      <c r="B620" t="s">
        <v>6</v>
      </c>
      <c r="C620">
        <v>24827159</v>
      </c>
      <c r="D620" s="7">
        <f t="shared" si="25"/>
        <v>124135.795</v>
      </c>
      <c r="E620" s="2">
        <f>VLOOKUP(A620,'2.09.2021'!A$3:'2.09.2021'!I$202,5,)</f>
        <v>44050</v>
      </c>
      <c r="F620" s="2">
        <v>44462</v>
      </c>
      <c r="G620" s="23">
        <f>VLOOKUP(A620,'2.09.2021'!A$3:'2.09.2021'!I$202,7,)</f>
        <v>0.16527777777777777</v>
      </c>
      <c r="H620" t="str">
        <f>VLOOKUP(A620,'2.09.2021'!A$3:'2.09.2021'!I$202,8,)</f>
        <v>POP</v>
      </c>
      <c r="I620" t="str">
        <f>VLOOKUP(A620,'2.09.2021'!A$3:'2.09.2021'!I$202,9,)</f>
        <v>Marea Britanie</v>
      </c>
      <c r="J620" t="str">
        <f t="shared" si="23"/>
        <v>Nu</v>
      </c>
    </row>
    <row r="621" spans="1:10" x14ac:dyDescent="0.2">
      <c r="A621" t="s">
        <v>247</v>
      </c>
      <c r="B621" t="s">
        <v>20</v>
      </c>
      <c r="C621">
        <v>23993346</v>
      </c>
      <c r="D621" s="7">
        <f t="shared" si="25"/>
        <v>119966.73000000001</v>
      </c>
      <c r="E621" s="2">
        <v>44460</v>
      </c>
      <c r="F621" s="2">
        <v>44462</v>
      </c>
      <c r="G621" s="23">
        <v>0.12847222222222224</v>
      </c>
      <c r="H621" t="s">
        <v>423</v>
      </c>
      <c r="I621" t="s">
        <v>420</v>
      </c>
      <c r="J621" t="str">
        <f t="shared" si="23"/>
        <v>Nu</v>
      </c>
    </row>
    <row r="622" spans="1:10" x14ac:dyDescent="0.2">
      <c r="A622" t="s">
        <v>22</v>
      </c>
      <c r="B622" t="s">
        <v>23</v>
      </c>
      <c r="C622">
        <v>22684148</v>
      </c>
      <c r="D622" s="7">
        <f t="shared" si="25"/>
        <v>113420.74</v>
      </c>
      <c r="E622" s="2">
        <f>VLOOKUP(A622,'2.09.2021'!A$3:'2.09.2021'!I$202,5,)</f>
        <v>44407</v>
      </c>
      <c r="F622" s="2">
        <v>44462</v>
      </c>
      <c r="G622" s="23">
        <f>VLOOKUP(A622,'2.09.2021'!A$3:'2.09.2021'!I$202,7,)</f>
        <v>0.20694444444444446</v>
      </c>
      <c r="H622" t="str">
        <f>VLOOKUP(A622,'2.09.2021'!A$3:'2.09.2021'!I$202,8,)</f>
        <v>ALTERNATIVE</v>
      </c>
      <c r="I622" t="str">
        <f>VLOOKUP(A622,'2.09.2021'!A$3:'2.09.2021'!I$202,9,)</f>
        <v>SUA</v>
      </c>
      <c r="J622" t="str">
        <f t="shared" si="23"/>
        <v>Nu</v>
      </c>
    </row>
    <row r="623" spans="1:10" x14ac:dyDescent="0.2">
      <c r="A623" t="s">
        <v>304</v>
      </c>
      <c r="B623" t="s">
        <v>20</v>
      </c>
      <c r="C623">
        <v>22025962</v>
      </c>
      <c r="D623" s="7">
        <f t="shared" si="25"/>
        <v>110129.81</v>
      </c>
      <c r="E623" s="2">
        <v>44460</v>
      </c>
      <c r="F623" s="2">
        <v>44462</v>
      </c>
      <c r="G623" s="23">
        <v>0.15763888888888888</v>
      </c>
      <c r="H623" t="s">
        <v>423</v>
      </c>
      <c r="I623" t="s">
        <v>420</v>
      </c>
      <c r="J623" t="str">
        <f t="shared" si="23"/>
        <v>Nu</v>
      </c>
    </row>
    <row r="624" spans="1:10" x14ac:dyDescent="0.2">
      <c r="A624" t="s">
        <v>18</v>
      </c>
      <c r="B624" t="s">
        <v>2</v>
      </c>
      <c r="C624">
        <v>21529938</v>
      </c>
      <c r="D624" s="7">
        <f t="shared" si="25"/>
        <v>107649.68999999999</v>
      </c>
      <c r="E624" s="2">
        <f>VLOOKUP(A624,'2.09.2021'!A$3:'2.09.2021'!I$202,5,)</f>
        <v>44456</v>
      </c>
      <c r="F624" s="2">
        <v>44462</v>
      </c>
      <c r="G624" s="23">
        <f>VLOOKUP(A624,'2.09.2021'!A$3:'2.09.2021'!I$202,7,)</f>
        <v>9.5138888888888884E-2</v>
      </c>
      <c r="H624" t="str">
        <f>VLOOKUP(A624,'2.09.2021'!A$3:'2.09.2021'!I$202,8,)</f>
        <v>POP</v>
      </c>
      <c r="I624" t="str">
        <f>VLOOKUP(A624,'2.09.2021'!A$3:'2.09.2021'!I$202,9,)</f>
        <v>SUA</v>
      </c>
      <c r="J624" t="str">
        <f t="shared" si="23"/>
        <v>Nu</v>
      </c>
    </row>
    <row r="625" spans="1:10" x14ac:dyDescent="0.2">
      <c r="A625" t="s">
        <v>437</v>
      </c>
      <c r="B625" t="s">
        <v>12</v>
      </c>
      <c r="C625">
        <v>20896669</v>
      </c>
      <c r="D625" s="7">
        <f t="shared" si="25"/>
        <v>104483.345</v>
      </c>
      <c r="E625" s="2">
        <f>VLOOKUP(A625,'2.09.2021'!A$3:'2.09.2021'!I$202,5,)</f>
        <v>44295</v>
      </c>
      <c r="F625" s="2">
        <v>44462</v>
      </c>
      <c r="G625" s="23">
        <f>VLOOKUP(A625,'2.09.2021'!A$3:'2.09.2021'!I$202,7,)</f>
        <v>0.14444444444444446</v>
      </c>
      <c r="H625" t="str">
        <f>VLOOKUP(A625,'2.09.2021'!A$3:'2.09.2021'!I$202,8,)</f>
        <v>POP</v>
      </c>
      <c r="I625" t="str">
        <f>VLOOKUP(A625,'2.09.2021'!A$3:'2.09.2021'!I$202,9,)</f>
        <v>SUA</v>
      </c>
      <c r="J625" t="str">
        <f t="shared" si="23"/>
        <v>Da</v>
      </c>
    </row>
    <row r="626" spans="1:10" x14ac:dyDescent="0.2">
      <c r="A626" t="s">
        <v>33</v>
      </c>
      <c r="B626" t="s">
        <v>34</v>
      </c>
      <c r="C626">
        <v>19097158</v>
      </c>
      <c r="D626" s="7">
        <f t="shared" si="25"/>
        <v>95485.79</v>
      </c>
      <c r="E626" s="2">
        <f>VLOOKUP(A626,'2.09.2021'!A$3:'2.09.2021'!I$202,5,)</f>
        <v>44338</v>
      </c>
      <c r="F626" s="2">
        <v>44462</v>
      </c>
      <c r="G626" s="23">
        <f>VLOOKUP(A626,'2.09.2021'!A$3:'2.09.2021'!I$202,7,)</f>
        <v>0.13819444444444443</v>
      </c>
      <c r="H626" t="str">
        <f>VLOOKUP(A626,'2.09.2021'!A$3:'2.09.2021'!I$202,8,)</f>
        <v>LATIN URBAN</v>
      </c>
      <c r="I626" t="str">
        <f>VLOOKUP(A626,'2.09.2021'!A$3:'2.09.2021'!I$202,9,)</f>
        <v>Puerto Rico</v>
      </c>
      <c r="J626" t="str">
        <f t="shared" si="23"/>
        <v>Nu</v>
      </c>
    </row>
    <row r="627" spans="1:10" x14ac:dyDescent="0.2">
      <c r="A627" t="s">
        <v>305</v>
      </c>
      <c r="B627" t="s">
        <v>20</v>
      </c>
      <c r="C627">
        <v>18888249</v>
      </c>
      <c r="D627" s="7">
        <f t="shared" si="25"/>
        <v>94441.244999999995</v>
      </c>
      <c r="E627" s="2">
        <v>44460</v>
      </c>
      <c r="F627" s="2">
        <v>44462</v>
      </c>
      <c r="G627" s="23">
        <v>0.15625</v>
      </c>
      <c r="H627" t="s">
        <v>423</v>
      </c>
      <c r="I627" t="s">
        <v>420</v>
      </c>
      <c r="J627" t="str">
        <f t="shared" si="23"/>
        <v>Nu</v>
      </c>
    </row>
    <row r="628" spans="1:10" x14ac:dyDescent="0.2">
      <c r="A628" t="s">
        <v>306</v>
      </c>
      <c r="B628" t="s">
        <v>20</v>
      </c>
      <c r="C628">
        <v>18180843</v>
      </c>
      <c r="D628" s="7">
        <f t="shared" si="25"/>
        <v>90904.214999999997</v>
      </c>
      <c r="E628" s="2">
        <v>44460</v>
      </c>
      <c r="F628" s="2">
        <v>44462</v>
      </c>
      <c r="G628" s="23">
        <v>0.10486111111111111</v>
      </c>
      <c r="H628" t="s">
        <v>423</v>
      </c>
      <c r="I628" t="s">
        <v>420</v>
      </c>
      <c r="J628" t="str">
        <f t="shared" si="23"/>
        <v>Nu</v>
      </c>
    </row>
    <row r="629" spans="1:10" x14ac:dyDescent="0.2">
      <c r="A629" t="s">
        <v>414</v>
      </c>
      <c r="B629" t="s">
        <v>36</v>
      </c>
      <c r="C629">
        <v>17626028</v>
      </c>
      <c r="D629" s="7">
        <f t="shared" si="25"/>
        <v>88130.139999999985</v>
      </c>
      <c r="E629" s="2">
        <f>VLOOKUP(A629,'2.09.2021'!A$3:'2.09.2021'!I$202,5,)</f>
        <v>44411</v>
      </c>
      <c r="F629" s="2">
        <v>44462</v>
      </c>
      <c r="G629" s="23">
        <f>VLOOKUP(A629,'2.09.2021'!A$3:'2.09.2021'!I$202,7,)</f>
        <v>0.15972222222222224</v>
      </c>
      <c r="H629" t="str">
        <f>VLOOKUP(A629,'2.09.2021'!A$3:'2.09.2021'!I$202,8,)</f>
        <v>LATIN URBAN</v>
      </c>
      <c r="I629" t="str">
        <f>VLOOKUP(A629,'2.09.2021'!A$3:'2.09.2021'!I$202,9,)</f>
        <v>Republica Dominicană</v>
      </c>
      <c r="J629" t="str">
        <f t="shared" si="23"/>
        <v>Nu</v>
      </c>
    </row>
    <row r="630" spans="1:10" x14ac:dyDescent="0.2">
      <c r="A630" t="s">
        <v>31</v>
      </c>
      <c r="B630" t="s">
        <v>32</v>
      </c>
      <c r="C630">
        <v>17385575</v>
      </c>
      <c r="D630" s="7">
        <f t="shared" si="25"/>
        <v>86927.875</v>
      </c>
      <c r="E630" s="2">
        <f>VLOOKUP(A630,'2.09.2021'!A$3:'2.09.2021'!I$202,5,)</f>
        <v>44351</v>
      </c>
      <c r="F630" s="2">
        <v>44462</v>
      </c>
      <c r="G630" s="23">
        <f>VLOOKUP(A630,'2.09.2021'!A$3:'2.09.2021'!I$202,7,)</f>
        <v>0.14305555555555557</v>
      </c>
      <c r="H630" t="str">
        <f>VLOOKUP(A630,'2.09.2021'!A$3:'2.09.2021'!I$202,8,)</f>
        <v>LATIN URBAN</v>
      </c>
      <c r="I630" t="str">
        <f>VLOOKUP(A630,'2.09.2021'!A$3:'2.09.2021'!I$202,9,)</f>
        <v>Puerto Rico</v>
      </c>
      <c r="J630" t="str">
        <f t="shared" si="23"/>
        <v>Nu</v>
      </c>
    </row>
    <row r="631" spans="1:10" x14ac:dyDescent="0.2">
      <c r="A631" t="s">
        <v>307</v>
      </c>
      <c r="B631" t="s">
        <v>20</v>
      </c>
      <c r="C631">
        <v>17035250</v>
      </c>
      <c r="D631" s="7">
        <f t="shared" si="25"/>
        <v>85176.25</v>
      </c>
      <c r="E631" s="2">
        <v>44460</v>
      </c>
      <c r="F631" s="2">
        <v>44462</v>
      </c>
      <c r="G631" s="23">
        <v>8.8888888888888892E-2</v>
      </c>
      <c r="H631" t="s">
        <v>423</v>
      </c>
      <c r="I631" t="s">
        <v>420</v>
      </c>
      <c r="J631" t="str">
        <f t="shared" si="23"/>
        <v>Nu</v>
      </c>
    </row>
    <row r="632" spans="1:10" x14ac:dyDescent="0.2">
      <c r="A632" t="s">
        <v>308</v>
      </c>
      <c r="B632" t="s">
        <v>20</v>
      </c>
      <c r="C632">
        <v>16808455</v>
      </c>
      <c r="D632" s="7">
        <f t="shared" si="25"/>
        <v>84042.275000000009</v>
      </c>
      <c r="E632" s="2">
        <v>44460</v>
      </c>
      <c r="F632" s="2">
        <v>44462</v>
      </c>
      <c r="G632" s="23">
        <v>0.13333333333333333</v>
      </c>
      <c r="H632" t="s">
        <v>423</v>
      </c>
      <c r="I632" t="s">
        <v>420</v>
      </c>
      <c r="J632" t="str">
        <f t="shared" si="23"/>
        <v>Da</v>
      </c>
    </row>
    <row r="633" spans="1:10" x14ac:dyDescent="0.2">
      <c r="A633" t="s">
        <v>178</v>
      </c>
      <c r="B633" t="s">
        <v>52</v>
      </c>
      <c r="C633">
        <v>16413179</v>
      </c>
      <c r="D633" s="7">
        <f t="shared" si="25"/>
        <v>82065.895000000004</v>
      </c>
      <c r="E633" s="2">
        <f>VLOOKUP(A633,'2.09.2021'!A$3:'2.09.2021'!I$202,5,)</f>
        <v>44437</v>
      </c>
      <c r="F633" s="2">
        <v>44462</v>
      </c>
      <c r="G633" s="23">
        <f>VLOOKUP(A633,'2.09.2021'!A$3:'2.09.2021'!I$202,7,)</f>
        <v>0.23541666666666669</v>
      </c>
      <c r="H633" t="str">
        <f>VLOOKUP(A633,'2.09.2021'!A$3:'2.09.2021'!I$202,8,)</f>
        <v>HIP-HOP/RAP</v>
      </c>
      <c r="I633" t="str">
        <f>VLOOKUP(A633,'2.09.2021'!A$3:'2.09.2021'!I$202,9,)</f>
        <v>SUA</v>
      </c>
      <c r="J633" t="str">
        <f t="shared" si="23"/>
        <v>Nu</v>
      </c>
    </row>
    <row r="634" spans="1:10" x14ac:dyDescent="0.2">
      <c r="A634" t="s">
        <v>53</v>
      </c>
      <c r="B634" t="s">
        <v>415</v>
      </c>
      <c r="C634">
        <v>16188501</v>
      </c>
      <c r="D634" s="7">
        <f t="shared" si="25"/>
        <v>80942.505000000005</v>
      </c>
      <c r="E634" s="2">
        <f>VLOOKUP(A634,'2.09.2021'!A$3:'2.09.2021'!I$202,5,)</f>
        <v>44274</v>
      </c>
      <c r="F634" s="2">
        <v>44462</v>
      </c>
      <c r="G634" s="23">
        <f>VLOOKUP(A634,'2.09.2021'!A$3:'2.09.2021'!I$202,7,)</f>
        <v>0.12013888888888889</v>
      </c>
      <c r="H634" t="str">
        <f>VLOOKUP(A634,'2.09.2021'!A$3:'2.09.2021'!I$202,8,)</f>
        <v>ROCK</v>
      </c>
      <c r="I634" t="str">
        <f>VLOOKUP(A634,'2.09.2021'!A$3:'2.09.2021'!I$202,9,)</f>
        <v>Italia</v>
      </c>
      <c r="J634" t="str">
        <f t="shared" si="23"/>
        <v>Nu</v>
      </c>
    </row>
    <row r="635" spans="1:10" x14ac:dyDescent="0.2">
      <c r="A635" t="s">
        <v>309</v>
      </c>
      <c r="B635" t="s">
        <v>20</v>
      </c>
      <c r="C635">
        <v>16082820</v>
      </c>
      <c r="D635" s="7">
        <f t="shared" si="25"/>
        <v>80414.100000000006</v>
      </c>
      <c r="E635" s="2">
        <v>44460</v>
      </c>
      <c r="F635" s="2">
        <v>44462</v>
      </c>
      <c r="G635" s="23">
        <v>8.9583333333333334E-2</v>
      </c>
      <c r="H635" t="s">
        <v>423</v>
      </c>
      <c r="I635" t="s">
        <v>420</v>
      </c>
      <c r="J635" t="str">
        <f t="shared" si="23"/>
        <v>Da</v>
      </c>
    </row>
    <row r="636" spans="1:10" x14ac:dyDescent="0.2">
      <c r="A636" t="s">
        <v>439</v>
      </c>
      <c r="B636" t="s">
        <v>38</v>
      </c>
      <c r="C636">
        <v>16076912</v>
      </c>
      <c r="D636" s="7">
        <f t="shared" si="25"/>
        <v>80384.56</v>
      </c>
      <c r="E636" s="2">
        <f>VLOOKUP(A636,'2.09.2021'!A$3:'2.09.2021'!I$202,5,)</f>
        <v>43917</v>
      </c>
      <c r="F636" s="2">
        <v>44462</v>
      </c>
      <c r="G636" s="23">
        <f>VLOOKUP(A636,'2.09.2021'!A$3:'2.09.2021'!I$202,7,)</f>
        <v>0.14097222222222222</v>
      </c>
      <c r="H636" t="str">
        <f>VLOOKUP(A636,'2.09.2021'!A$3:'2.09.2021'!I$202,8,)</f>
        <v>POP</v>
      </c>
      <c r="I636" t="str">
        <f>VLOOKUP(A636,'2.09.2021'!A$3:'2.09.2021'!I$202,9,)</f>
        <v>Marea Britanie</v>
      </c>
      <c r="J636" t="str">
        <f t="shared" si="23"/>
        <v>Da</v>
      </c>
    </row>
    <row r="637" spans="1:10" x14ac:dyDescent="0.2">
      <c r="A637" t="s">
        <v>45</v>
      </c>
      <c r="B637" t="s">
        <v>46</v>
      </c>
      <c r="C637">
        <v>15826162</v>
      </c>
      <c r="D637" s="7">
        <f t="shared" si="25"/>
        <v>79130.81</v>
      </c>
      <c r="E637" s="2">
        <f>VLOOKUP(A637,'2.09.2021'!A$3:'2.09.2021'!I$202,5,)</f>
        <v>44414</v>
      </c>
      <c r="F637" s="2">
        <v>44462</v>
      </c>
      <c r="G637" s="23">
        <f>VLOOKUP(A637,'2.09.2021'!A$3:'2.09.2021'!I$202,7,)</f>
        <v>0.15277777777777776</v>
      </c>
      <c r="H637" t="str">
        <f>VLOOKUP(A637,'2.09.2021'!A$3:'2.09.2021'!I$202,8,)</f>
        <v>R&amp;B/SOUL</v>
      </c>
      <c r="I637" t="str">
        <f>VLOOKUP(A637,'2.09.2021'!A$3:'2.09.2021'!I$202,9,)</f>
        <v>Canada</v>
      </c>
      <c r="J637" t="str">
        <f t="shared" si="23"/>
        <v>Nu</v>
      </c>
    </row>
    <row r="638" spans="1:10" x14ac:dyDescent="0.2">
      <c r="A638" t="s">
        <v>310</v>
      </c>
      <c r="B638" t="s">
        <v>20</v>
      </c>
      <c r="C638">
        <v>15567041</v>
      </c>
      <c r="D638" s="7">
        <f t="shared" si="25"/>
        <v>77835.205000000002</v>
      </c>
      <c r="E638" s="2">
        <v>44460</v>
      </c>
      <c r="F638" s="2">
        <v>44462</v>
      </c>
      <c r="G638" s="23">
        <v>0.1388888888888889</v>
      </c>
      <c r="H638" t="s">
        <v>423</v>
      </c>
      <c r="I638" t="s">
        <v>420</v>
      </c>
      <c r="J638" t="str">
        <f t="shared" si="23"/>
        <v>Nu</v>
      </c>
    </row>
    <row r="639" spans="1:10" x14ac:dyDescent="0.2">
      <c r="A639" t="s">
        <v>417</v>
      </c>
      <c r="B639" t="s">
        <v>42</v>
      </c>
      <c r="C639">
        <v>15558142</v>
      </c>
      <c r="D639" s="7">
        <f t="shared" si="25"/>
        <v>77790.709999999992</v>
      </c>
      <c r="E639" s="2">
        <f>VLOOKUP(A639,'2.09.2021'!A$3:'2.09.2021'!I$202,5,)</f>
        <v>44344</v>
      </c>
      <c r="F639" s="2">
        <v>44462</v>
      </c>
      <c r="G639" s="23">
        <f>VLOOKUP(A639,'2.09.2021'!A$3:'2.09.2021'!I$202,7,)</f>
        <v>0.15069444444444444</v>
      </c>
      <c r="H639" t="str">
        <f>VLOOKUP(A639,'2.09.2021'!A$3:'2.09.2021'!I$202,8,)</f>
        <v>LATIN URBAN</v>
      </c>
      <c r="I639" t="str">
        <f>VLOOKUP(A639,'2.09.2021'!A$3:'2.09.2021'!I$202,9,)</f>
        <v>Columbia</v>
      </c>
      <c r="J639" t="str">
        <f t="shared" si="23"/>
        <v>Nu</v>
      </c>
    </row>
    <row r="640" spans="1:10" x14ac:dyDescent="0.2">
      <c r="A640" t="s">
        <v>37</v>
      </c>
      <c r="B640" t="s">
        <v>17</v>
      </c>
      <c r="C640">
        <v>15470078</v>
      </c>
      <c r="D640" s="7">
        <f t="shared" si="25"/>
        <v>77350.39</v>
      </c>
      <c r="E640" s="2">
        <f>VLOOKUP(A640,'2.09.2021'!A$3:'2.09.2021'!I$202,5,)</f>
        <v>44337</v>
      </c>
      <c r="F640" s="2">
        <v>44462</v>
      </c>
      <c r="G640" s="23">
        <f>VLOOKUP(A640,'2.09.2021'!A$3:'2.09.2021'!I$202,7,)</f>
        <v>0.15902777777777777</v>
      </c>
      <c r="H640" t="str">
        <f>VLOOKUP(A640,'2.09.2021'!A$3:'2.09.2021'!I$202,8,)</f>
        <v>POP</v>
      </c>
      <c r="I640" t="str">
        <f>VLOOKUP(A640,'2.09.2021'!A$3:'2.09.2021'!I$202,9,)</f>
        <v>SUA</v>
      </c>
      <c r="J640" t="str">
        <f t="shared" si="23"/>
        <v>Nu</v>
      </c>
    </row>
    <row r="641" spans="1:10" x14ac:dyDescent="0.2">
      <c r="A641" t="s">
        <v>311</v>
      </c>
      <c r="B641" t="s">
        <v>20</v>
      </c>
      <c r="C641">
        <v>15443086</v>
      </c>
      <c r="D641" s="7">
        <f t="shared" si="25"/>
        <v>77215.429999999993</v>
      </c>
      <c r="E641" s="2">
        <v>44460</v>
      </c>
      <c r="F641" s="2">
        <v>44462</v>
      </c>
      <c r="G641" s="23">
        <v>0.14930555555555555</v>
      </c>
      <c r="H641" t="s">
        <v>423</v>
      </c>
      <c r="I641" t="s">
        <v>420</v>
      </c>
      <c r="J641" t="str">
        <f t="shared" si="23"/>
        <v>Da</v>
      </c>
    </row>
    <row r="642" spans="1:10" x14ac:dyDescent="0.2">
      <c r="A642" t="s">
        <v>440</v>
      </c>
      <c r="B642" t="s">
        <v>43</v>
      </c>
      <c r="C642">
        <v>14792207</v>
      </c>
      <c r="D642" s="7">
        <f t="shared" si="25"/>
        <v>73961.035000000003</v>
      </c>
      <c r="E642" s="2">
        <f>VLOOKUP(A642,'2.09.2021'!A$3:'2.09.2021'!I$202,5,)</f>
        <v>44274</v>
      </c>
      <c r="F642" s="2">
        <v>44462</v>
      </c>
      <c r="G642" s="23">
        <f>VLOOKUP(A642,'2.09.2021'!A$3:'2.09.2021'!I$202,7,)</f>
        <v>0.13749999999999998</v>
      </c>
      <c r="H642" t="str">
        <f>VLOOKUP(A642,'2.09.2021'!A$3:'2.09.2021'!I$202,8,)</f>
        <v>POP</v>
      </c>
      <c r="I642" t="str">
        <f>VLOOKUP(A642,'2.09.2021'!A$3:'2.09.2021'!I$202,9,)</f>
        <v>Canada</v>
      </c>
      <c r="J642" t="str">
        <f t="shared" ref="J642:J705" si="26">IF(ISNUMBER(SEARCH("with",A642)),"Da","Nu")</f>
        <v>Da</v>
      </c>
    </row>
    <row r="643" spans="1:10" x14ac:dyDescent="0.2">
      <c r="A643" t="s">
        <v>312</v>
      </c>
      <c r="B643" t="s">
        <v>20</v>
      </c>
      <c r="C643">
        <v>13919809</v>
      </c>
      <c r="D643" s="7">
        <f t="shared" si="25"/>
        <v>69599.044999999998</v>
      </c>
      <c r="E643" s="2">
        <v>44460</v>
      </c>
      <c r="F643" s="2">
        <v>44462</v>
      </c>
      <c r="G643" s="23">
        <v>0.18263888888888891</v>
      </c>
      <c r="H643" t="s">
        <v>423</v>
      </c>
      <c r="I643" t="s">
        <v>420</v>
      </c>
      <c r="J643" t="str">
        <f t="shared" si="26"/>
        <v>Nu</v>
      </c>
    </row>
    <row r="644" spans="1:10" x14ac:dyDescent="0.2">
      <c r="A644" t="s">
        <v>145</v>
      </c>
      <c r="B644" t="s">
        <v>52</v>
      </c>
      <c r="C644">
        <v>13386308</v>
      </c>
      <c r="D644" s="7">
        <f t="shared" si="25"/>
        <v>66931.540000000008</v>
      </c>
      <c r="E644" s="2">
        <f>VLOOKUP(A644,'2.09.2021'!A$3:'2.09.2021'!I$202,5,)</f>
        <v>44437</v>
      </c>
      <c r="F644" s="2">
        <v>44462</v>
      </c>
      <c r="G644" s="23">
        <f>VLOOKUP(A644,'2.09.2021'!A$3:'2.09.2021'!I$202,7,)</f>
        <v>0.10833333333333334</v>
      </c>
      <c r="H644" t="str">
        <f>VLOOKUP(A644,'2.09.2021'!A$3:'2.09.2021'!I$202,8,)</f>
        <v>HIP-HOP/RAP</v>
      </c>
      <c r="I644" t="str">
        <f>VLOOKUP(A644,'2.09.2021'!A$3:'2.09.2021'!I$202,9,)</f>
        <v>SUA</v>
      </c>
      <c r="J644" t="str">
        <f t="shared" si="26"/>
        <v>Nu</v>
      </c>
    </row>
    <row r="645" spans="1:10" x14ac:dyDescent="0.2">
      <c r="A645" t="s">
        <v>313</v>
      </c>
      <c r="B645" t="s">
        <v>52</v>
      </c>
      <c r="C645">
        <v>13374077</v>
      </c>
      <c r="D645" s="7">
        <f t="shared" si="25"/>
        <v>66870.384999999995</v>
      </c>
      <c r="E645" s="2">
        <f>VLOOKUP(A645,'2.09.2021'!A$3:'2.09.2021'!I$202,5,)</f>
        <v>44437</v>
      </c>
      <c r="F645" s="2">
        <v>44462</v>
      </c>
      <c r="G645" s="23">
        <f>VLOOKUP(A645,'2.09.2021'!A$3:'2.09.2021'!I$202,7,)</f>
        <v>0.20625000000000002</v>
      </c>
      <c r="H645" t="str">
        <f>VLOOKUP(A645,'2.09.2021'!A$3:'2.09.2021'!I$202,8,)</f>
        <v>HIP-HOP/RAP</v>
      </c>
      <c r="I645" t="str">
        <f>VLOOKUP(A645,'2.09.2021'!A$3:'2.09.2021'!I$202,9,)</f>
        <v>SUA</v>
      </c>
      <c r="J645" t="str">
        <f t="shared" si="26"/>
        <v>Nu</v>
      </c>
    </row>
    <row r="646" spans="1:10" x14ac:dyDescent="0.2">
      <c r="A646" t="s">
        <v>56</v>
      </c>
      <c r="B646" t="s">
        <v>46</v>
      </c>
      <c r="C646">
        <v>13283877</v>
      </c>
      <c r="D646" s="7">
        <f t="shared" si="25"/>
        <v>66419.385000000009</v>
      </c>
      <c r="E646" s="2">
        <f>VLOOKUP(A646,'2.09.2021'!A$3:'2.09.2021'!I$202,5,)</f>
        <v>43910</v>
      </c>
      <c r="F646" s="2">
        <v>44462</v>
      </c>
      <c r="G646" s="23">
        <f>VLOOKUP(A646,'2.09.2021'!A$3:'2.09.2021'!I$202,7,)</f>
        <v>0.14930555555555555</v>
      </c>
      <c r="H646" t="str">
        <f>VLOOKUP(A646,'2.09.2021'!A$3:'2.09.2021'!I$202,8,)</f>
        <v>R&amp;B/SOUL</v>
      </c>
      <c r="I646" t="str">
        <f>VLOOKUP(A646,'2.09.2021'!A$3:'2.09.2021'!I$202,9,)</f>
        <v>Canada</v>
      </c>
      <c r="J646" t="str">
        <f t="shared" si="26"/>
        <v>Da</v>
      </c>
    </row>
    <row r="647" spans="1:10" x14ac:dyDescent="0.2">
      <c r="A647" t="s">
        <v>49</v>
      </c>
      <c r="B647" t="s">
        <v>46</v>
      </c>
      <c r="C647">
        <v>13282212</v>
      </c>
      <c r="D647" s="7">
        <f t="shared" si="25"/>
        <v>66411.06</v>
      </c>
      <c r="E647" s="2">
        <f>VLOOKUP(A647,'2.09.2021'!A$3:'2.09.2021'!I$202,5,)</f>
        <v>43798</v>
      </c>
      <c r="F647" s="2">
        <v>44462</v>
      </c>
      <c r="G647" s="23">
        <f>VLOOKUP(A647,'2.09.2021'!A$3:'2.09.2021'!I$202,7,)</f>
        <v>0.13958333333333334</v>
      </c>
      <c r="H647" t="str">
        <f>VLOOKUP(A647,'2.09.2021'!A$3:'2.09.2021'!I$202,8,)</f>
        <v>R&amp;B/SOUL</v>
      </c>
      <c r="I647" t="str">
        <f>VLOOKUP(A647,'2.09.2021'!A$3:'2.09.2021'!I$202,9,)</f>
        <v>Canada</v>
      </c>
      <c r="J647" t="str">
        <f t="shared" si="26"/>
        <v>Nu</v>
      </c>
    </row>
    <row r="648" spans="1:10" x14ac:dyDescent="0.2">
      <c r="A648" t="s">
        <v>79</v>
      </c>
      <c r="B648" t="s">
        <v>80</v>
      </c>
      <c r="C648">
        <v>13255149</v>
      </c>
      <c r="D648" s="7">
        <f t="shared" si="25"/>
        <v>66275.744999999995</v>
      </c>
      <c r="E648" s="2">
        <f>VLOOKUP(A648,'2.09.2021'!A$3:'2.09.2021'!I$202,5,)</f>
        <v>44435</v>
      </c>
      <c r="F648" s="2">
        <v>44462</v>
      </c>
      <c r="G648" s="23">
        <f>VLOOKUP(A648,'2.09.2021'!A$3:'2.09.2021'!I$202,7,)</f>
        <v>0.17500000000000002</v>
      </c>
      <c r="H648" t="str">
        <f>VLOOKUP(A648,'2.09.2021'!A$3:'2.09.2021'!I$202,8,)</f>
        <v>HIP-HOP/RAP</v>
      </c>
      <c r="I648" t="str">
        <f>VLOOKUP(A648,'2.09.2021'!A$3:'2.09.2021'!I$202,9,)</f>
        <v>SUA</v>
      </c>
      <c r="J648" t="str">
        <f t="shared" si="26"/>
        <v>Da</v>
      </c>
    </row>
    <row r="649" spans="1:10" x14ac:dyDescent="0.2">
      <c r="A649" t="s">
        <v>41</v>
      </c>
      <c r="B649" t="s">
        <v>42</v>
      </c>
      <c r="C649">
        <v>13119628</v>
      </c>
      <c r="D649" s="7">
        <f t="shared" si="25"/>
        <v>65598.14</v>
      </c>
      <c r="E649" s="2">
        <f>VLOOKUP(A649,'2.09.2021'!A$3:'2.09.2021'!I$202,5,)</f>
        <v>44379</v>
      </c>
      <c r="F649" s="2">
        <v>44462</v>
      </c>
      <c r="G649" s="23">
        <f>VLOOKUP(A649,'2.09.2021'!A$3:'2.09.2021'!I$202,7,)</f>
        <v>9.0277777777777776E-2</v>
      </c>
      <c r="H649" t="str">
        <f>VLOOKUP(A649,'2.09.2021'!A$3:'2.09.2021'!I$202,8,)</f>
        <v>LATIN URBAN</v>
      </c>
      <c r="I649" t="str">
        <f>VLOOKUP(A649,'2.09.2021'!A$3:'2.09.2021'!I$202,9,)</f>
        <v>Columbia</v>
      </c>
      <c r="J649" t="str">
        <f t="shared" si="26"/>
        <v>Nu</v>
      </c>
    </row>
    <row r="650" spans="1:10" x14ac:dyDescent="0.2">
      <c r="A650" t="s">
        <v>77</v>
      </c>
      <c r="B650" t="s">
        <v>78</v>
      </c>
      <c r="C650">
        <v>12879133</v>
      </c>
      <c r="D650" s="7">
        <f t="shared" si="25"/>
        <v>64395.665000000001</v>
      </c>
      <c r="E650" s="2">
        <v>44460</v>
      </c>
      <c r="F650" s="2">
        <v>44462</v>
      </c>
      <c r="G650" s="23">
        <v>0.13125000000000001</v>
      </c>
      <c r="H650" t="s">
        <v>434</v>
      </c>
      <c r="I650" t="s">
        <v>479</v>
      </c>
      <c r="J650" t="str">
        <f t="shared" si="26"/>
        <v>Nu</v>
      </c>
    </row>
    <row r="651" spans="1:10" x14ac:dyDescent="0.2">
      <c r="A651" t="s">
        <v>314</v>
      </c>
      <c r="B651" t="s">
        <v>20</v>
      </c>
      <c r="C651">
        <v>12312466</v>
      </c>
      <c r="D651" s="7">
        <f t="shared" si="25"/>
        <v>61562.33</v>
      </c>
      <c r="E651" s="2">
        <v>44337</v>
      </c>
      <c r="F651" s="2">
        <v>44462</v>
      </c>
      <c r="G651" s="23">
        <v>0.125</v>
      </c>
      <c r="H651" t="s">
        <v>423</v>
      </c>
      <c r="I651" t="s">
        <v>420</v>
      </c>
      <c r="J651" t="str">
        <f t="shared" si="26"/>
        <v>Nu</v>
      </c>
    </row>
    <row r="652" spans="1:10" x14ac:dyDescent="0.2">
      <c r="A652" t="s">
        <v>74</v>
      </c>
      <c r="B652" t="s">
        <v>17</v>
      </c>
      <c r="C652">
        <v>12024457</v>
      </c>
      <c r="D652" s="7">
        <f t="shared" si="25"/>
        <v>60122.285000000003</v>
      </c>
      <c r="E652" s="2">
        <f>VLOOKUP(A652,'2.09.2021'!A$3:'2.09.2021'!I$202,5,)</f>
        <v>44337</v>
      </c>
      <c r="F652" s="2">
        <v>44462</v>
      </c>
      <c r="G652" s="23">
        <f>VLOOKUP(A652,'2.09.2021'!A$3:'2.09.2021'!I$202,7,)</f>
        <v>0.14930555555555555</v>
      </c>
      <c r="H652" t="str">
        <f>VLOOKUP(A652,'2.09.2021'!A$3:'2.09.2021'!I$202,8,)</f>
        <v>POP</v>
      </c>
      <c r="I652" t="str">
        <f>VLOOKUP(A652,'2.09.2021'!A$3:'2.09.2021'!I$202,9,)</f>
        <v>SUA</v>
      </c>
      <c r="J652" t="str">
        <f t="shared" si="26"/>
        <v>Nu</v>
      </c>
    </row>
    <row r="653" spans="1:10" x14ac:dyDescent="0.2">
      <c r="A653" t="s">
        <v>70</v>
      </c>
      <c r="B653" t="s">
        <v>71</v>
      </c>
      <c r="C653">
        <v>11869240</v>
      </c>
      <c r="D653" s="7">
        <f t="shared" si="25"/>
        <v>59346.2</v>
      </c>
      <c r="E653" s="2">
        <f>VLOOKUP(A653,'2.09.2021'!A$3:'2.09.2021'!I$202,5,)</f>
        <v>44371</v>
      </c>
      <c r="F653" s="2">
        <v>44462</v>
      </c>
      <c r="G653" s="23">
        <f>VLOOKUP(A653,'2.09.2021'!A$3:'2.09.2021'!I$202,7,)</f>
        <v>0.18124999999999999</v>
      </c>
      <c r="H653" t="str">
        <f>VLOOKUP(A653,'2.09.2021'!A$3:'2.09.2021'!I$202,8,)</f>
        <v>LATIN URBAN</v>
      </c>
      <c r="I653" t="str">
        <f>VLOOKUP(A653,'2.09.2021'!A$3:'2.09.2021'!I$202,9,)</f>
        <v>Puerto Rico</v>
      </c>
      <c r="J653" t="str">
        <f t="shared" si="26"/>
        <v>Nu</v>
      </c>
    </row>
    <row r="654" spans="1:10" x14ac:dyDescent="0.2">
      <c r="A654" t="s">
        <v>57</v>
      </c>
      <c r="B654" t="s">
        <v>17</v>
      </c>
      <c r="C654">
        <v>11862663</v>
      </c>
      <c r="D654" s="7">
        <f t="shared" si="25"/>
        <v>59313.315000000002</v>
      </c>
      <c r="E654" s="2">
        <f>VLOOKUP(A654,'2.09.2021'!A$3:'2.09.2021'!I$202,5,)</f>
        <v>44204</v>
      </c>
      <c r="F654" s="2">
        <v>44462</v>
      </c>
      <c r="G654" s="23">
        <f>VLOOKUP(A654,'2.09.2021'!A$3:'2.09.2021'!I$202,7,)</f>
        <v>0.16805555555555554</v>
      </c>
      <c r="H654" t="str">
        <f>VLOOKUP(A654,'2.09.2021'!A$3:'2.09.2021'!I$202,8,)</f>
        <v>POP</v>
      </c>
      <c r="I654" t="str">
        <f>VLOOKUP(A654,'2.09.2021'!A$3:'2.09.2021'!I$202,9,)</f>
        <v>SUA</v>
      </c>
      <c r="J654" t="str">
        <f t="shared" si="26"/>
        <v>Nu</v>
      </c>
    </row>
    <row r="655" spans="1:10" x14ac:dyDescent="0.2">
      <c r="A655" t="s">
        <v>72</v>
      </c>
      <c r="B655" t="s">
        <v>73</v>
      </c>
      <c r="C655">
        <v>11808168</v>
      </c>
      <c r="D655" s="7">
        <f t="shared" si="25"/>
        <v>59040.84</v>
      </c>
      <c r="E655" s="2">
        <f>VLOOKUP(A655,'2.09.2021'!A$3:'2.09.2021'!I$202,5,)</f>
        <v>44385</v>
      </c>
      <c r="F655" s="2">
        <v>44462</v>
      </c>
      <c r="G655" s="23">
        <f>VLOOKUP(A655,'2.09.2021'!A$3:'2.09.2021'!I$202,7,)</f>
        <v>0.18958333333333333</v>
      </c>
      <c r="H655" t="str">
        <f>VLOOKUP(A655,'2.09.2021'!A$3:'2.09.2021'!I$202,8,)</f>
        <v>LATIN</v>
      </c>
      <c r="I655" t="str">
        <f>VLOOKUP(A655,'2.09.2021'!A$3:'2.09.2021'!I$202,9,)</f>
        <v>Puerto Rico</v>
      </c>
      <c r="J655" t="str">
        <f t="shared" si="26"/>
        <v>Nu</v>
      </c>
    </row>
    <row r="656" spans="1:10" x14ac:dyDescent="0.2">
      <c r="A656" t="s">
        <v>26</v>
      </c>
      <c r="B656" t="s">
        <v>27</v>
      </c>
      <c r="C656">
        <v>11486519</v>
      </c>
      <c r="D656" s="7">
        <f t="shared" si="25"/>
        <v>57432.595000000001</v>
      </c>
      <c r="E656" s="2">
        <f>VLOOKUP(A656,'2.09.2021'!A$3:'2.09.2021'!I$202,5,)</f>
        <v>44421</v>
      </c>
      <c r="F656" s="2">
        <v>44462</v>
      </c>
      <c r="G656" s="23">
        <f>VLOOKUP(A656,'2.09.2021'!A$3:'2.09.2021'!I$202,7,)</f>
        <v>0.14027777777777778</v>
      </c>
      <c r="H656" t="str">
        <f>VLOOKUP(A656,'2.09.2021'!A$3:'2.09.2021'!I$202,8,)</f>
        <v>POP</v>
      </c>
      <c r="I656" t="str">
        <f>VLOOKUP(A656,'2.09.2021'!A$3:'2.09.2021'!I$202,9,)</f>
        <v>Marea Britanie</v>
      </c>
      <c r="J656" t="str">
        <f t="shared" si="26"/>
        <v>Nu</v>
      </c>
    </row>
    <row r="657" spans="1:10" x14ac:dyDescent="0.2">
      <c r="A657" t="s">
        <v>54</v>
      </c>
      <c r="B657" t="s">
        <v>55</v>
      </c>
      <c r="C657">
        <v>11376116</v>
      </c>
      <c r="D657" s="7">
        <f t="shared" si="25"/>
        <v>56880.58</v>
      </c>
      <c r="E657" s="2">
        <f>VLOOKUP(A657,'2.09.2021'!A$3:'2.09.2021'!I$202,5,)</f>
        <v>44337</v>
      </c>
      <c r="F657" s="2">
        <v>44462</v>
      </c>
      <c r="G657" s="23">
        <f>VLOOKUP(A657,'2.09.2021'!A$3:'2.09.2021'!I$202,7,)</f>
        <v>0.11388888888888889</v>
      </c>
      <c r="H657" t="str">
        <f>VLOOKUP(A657,'2.09.2021'!A$3:'2.09.2021'!I$202,8,)</f>
        <v>K-POP</v>
      </c>
      <c r="I657" t="str">
        <f>VLOOKUP(A657,'2.09.2021'!A$3:'2.09.2021'!I$202,9,)</f>
        <v>Korea de Sud</v>
      </c>
      <c r="J657" t="str">
        <f t="shared" si="26"/>
        <v>Nu</v>
      </c>
    </row>
    <row r="658" spans="1:10" x14ac:dyDescent="0.2">
      <c r="A658" t="s">
        <v>315</v>
      </c>
      <c r="B658" t="s">
        <v>20</v>
      </c>
      <c r="C658">
        <v>11368884</v>
      </c>
      <c r="D658" s="7">
        <f t="shared" si="25"/>
        <v>56844.42</v>
      </c>
      <c r="E658" s="2">
        <v>44290</v>
      </c>
      <c r="F658" s="2">
        <v>44462</v>
      </c>
      <c r="G658" s="23">
        <v>0.13958333333333334</v>
      </c>
      <c r="H658" t="s">
        <v>423</v>
      </c>
      <c r="I658" t="s">
        <v>420</v>
      </c>
      <c r="J658" t="str">
        <f t="shared" si="26"/>
        <v>Nu</v>
      </c>
    </row>
    <row r="659" spans="1:10" x14ac:dyDescent="0.2">
      <c r="A659">
        <v>2055</v>
      </c>
      <c r="B659" t="s">
        <v>60</v>
      </c>
      <c r="C659">
        <v>11335980</v>
      </c>
      <c r="D659" s="7">
        <f t="shared" si="25"/>
        <v>56679.899999999994</v>
      </c>
      <c r="E659" s="2">
        <f>VLOOKUP(A659,'2.09.2021'!A$3:'2.09.2021'!I$202,5,)</f>
        <v>44300</v>
      </c>
      <c r="F659" s="2">
        <v>44462</v>
      </c>
      <c r="G659" s="23">
        <f>VLOOKUP(A659,'2.09.2021'!A$3:'2.09.2021'!I$202,7,)</f>
        <v>8.5416666666666655E-2</v>
      </c>
      <c r="H659" t="str">
        <f>VLOOKUP(A659,'2.09.2021'!A$3:'2.09.2021'!I$202,8,)</f>
        <v>HIP-HOP/RAP</v>
      </c>
      <c r="I659" t="str">
        <f>VLOOKUP(A659,'2.09.2021'!A$3:'2.09.2021'!I$202,9,)</f>
        <v>Jamaica</v>
      </c>
      <c r="J659" t="str">
        <f t="shared" si="26"/>
        <v>Nu</v>
      </c>
    </row>
    <row r="660" spans="1:10" x14ac:dyDescent="0.2">
      <c r="A660" t="s">
        <v>65</v>
      </c>
      <c r="B660" t="s">
        <v>12</v>
      </c>
      <c r="C660">
        <v>11107366</v>
      </c>
      <c r="D660" s="7">
        <f t="shared" si="25"/>
        <v>55536.83</v>
      </c>
      <c r="E660" s="2">
        <f>VLOOKUP(A660,'2.09.2021'!A$3:'2.09.2021'!I$202,5,)</f>
        <v>44372</v>
      </c>
      <c r="F660" s="2">
        <v>44462</v>
      </c>
      <c r="G660" s="23">
        <f>VLOOKUP(A660,'2.09.2021'!A$3:'2.09.2021'!I$202,7,)</f>
        <v>9.5833333333333326E-2</v>
      </c>
      <c r="H660" t="str">
        <f>VLOOKUP(A660,'2.09.2021'!A$3:'2.09.2021'!I$202,8,)</f>
        <v>POP</v>
      </c>
      <c r="I660" t="str">
        <f>VLOOKUP(A660,'2.09.2021'!A$3:'2.09.2021'!I$202,9,)</f>
        <v>SUA</v>
      </c>
      <c r="J660" t="str">
        <f t="shared" si="26"/>
        <v>Nu</v>
      </c>
    </row>
    <row r="661" spans="1:10" x14ac:dyDescent="0.2">
      <c r="A661" t="s">
        <v>427</v>
      </c>
      <c r="B661" t="s">
        <v>34</v>
      </c>
      <c r="C661">
        <v>11010014</v>
      </c>
      <c r="D661" s="7">
        <f t="shared" si="25"/>
        <v>55050.069999999992</v>
      </c>
      <c r="E661" s="2">
        <f>VLOOKUP(A661,'2.09.2021'!A$3:'2.09.2021'!I$202,5,)</f>
        <v>44372</v>
      </c>
      <c r="F661" s="2">
        <v>44462</v>
      </c>
      <c r="G661" s="23">
        <f>VLOOKUP(A661,'2.09.2021'!A$3:'2.09.2021'!I$202,7,)</f>
        <v>0.11388888888888889</v>
      </c>
      <c r="H661" t="str">
        <f>VLOOKUP(A661,'2.09.2021'!A$3:'2.09.2021'!I$202,8,)</f>
        <v>LATIN URBAN</v>
      </c>
      <c r="I661" t="str">
        <f>VLOOKUP(A661,'2.09.2021'!A$3:'2.09.2021'!I$202,9,)</f>
        <v>Puerto Rico</v>
      </c>
      <c r="J661" t="str">
        <f t="shared" si="26"/>
        <v>Nu</v>
      </c>
    </row>
    <row r="662" spans="1:10" x14ac:dyDescent="0.2">
      <c r="A662" t="s">
        <v>316</v>
      </c>
      <c r="B662" t="s">
        <v>52</v>
      </c>
      <c r="C662">
        <v>10880386</v>
      </c>
      <c r="D662" s="7">
        <f t="shared" si="25"/>
        <v>54401.93</v>
      </c>
      <c r="E662" s="2">
        <f>VLOOKUP(A662,'2.09.2021'!A$3:'2.09.2021'!I$202,5,)</f>
        <v>44437</v>
      </c>
      <c r="F662" s="2">
        <v>44462</v>
      </c>
      <c r="G662" s="23">
        <f>VLOOKUP(A662,'2.09.2021'!A$3:'2.09.2021'!I$202,7,)</f>
        <v>0.15694444444444444</v>
      </c>
      <c r="H662" t="str">
        <f>VLOOKUP(A662,'2.09.2021'!A$3:'2.09.2021'!I$202,8,)</f>
        <v>HIP-HOP/RAP</v>
      </c>
      <c r="I662" t="str">
        <f>VLOOKUP(A662,'2.09.2021'!A$3:'2.09.2021'!I$202,9,)</f>
        <v>SUA</v>
      </c>
      <c r="J662" t="str">
        <f t="shared" si="26"/>
        <v>Nu</v>
      </c>
    </row>
    <row r="663" spans="1:10" x14ac:dyDescent="0.2">
      <c r="A663" t="s">
        <v>68</v>
      </c>
      <c r="B663" t="s">
        <v>69</v>
      </c>
      <c r="C663">
        <v>10588661</v>
      </c>
      <c r="D663" s="7">
        <f t="shared" si="25"/>
        <v>52943.305</v>
      </c>
      <c r="E663" s="2">
        <f>VLOOKUP(A663,'2.09.2021'!A$3:'2.09.2021'!I$202,5,)</f>
        <v>44385</v>
      </c>
      <c r="F663" s="2">
        <v>44462</v>
      </c>
      <c r="G663" s="23">
        <f>VLOOKUP(A663,'2.09.2021'!A$3:'2.09.2021'!I$202,7,)</f>
        <v>0.13958333333333334</v>
      </c>
      <c r="H663" t="str">
        <f>VLOOKUP(A663,'2.09.2021'!A$3:'2.09.2021'!I$202,8,)</f>
        <v>LATIN URBAN</v>
      </c>
      <c r="I663" t="str">
        <f>VLOOKUP(A663,'2.09.2021'!A$3:'2.09.2021'!I$202,9,)</f>
        <v>Columbia</v>
      </c>
      <c r="J663" t="str">
        <f t="shared" si="26"/>
        <v>Nu</v>
      </c>
    </row>
    <row r="664" spans="1:10" x14ac:dyDescent="0.2">
      <c r="A664" t="s">
        <v>58</v>
      </c>
      <c r="B664" t="s">
        <v>59</v>
      </c>
      <c r="C664">
        <v>10584248</v>
      </c>
      <c r="D664" s="7">
        <f t="shared" si="25"/>
        <v>52921.24</v>
      </c>
      <c r="E664" s="2">
        <f>VLOOKUP(A664,'2.09.2021'!A$3:'2.09.2021'!I$202,5,)</f>
        <v>44320</v>
      </c>
      <c r="F664" s="2">
        <v>44462</v>
      </c>
      <c r="G664" s="23">
        <f>VLOOKUP(A664,'2.09.2021'!A$3:'2.09.2021'!I$202,7,)</f>
        <v>0.14097222222222222</v>
      </c>
      <c r="H664" t="str">
        <f>VLOOKUP(A664,'2.09.2021'!A$3:'2.09.2021'!I$202,8,)</f>
        <v>R&amp;B/SOUL</v>
      </c>
      <c r="I664" t="str">
        <f>VLOOKUP(A664,'2.09.2021'!A$3:'2.09.2021'!I$202,9,)</f>
        <v>Olanda</v>
      </c>
      <c r="J664" t="str">
        <f t="shared" si="26"/>
        <v>Nu</v>
      </c>
    </row>
    <row r="665" spans="1:10" x14ac:dyDescent="0.2">
      <c r="A665" t="s">
        <v>93</v>
      </c>
      <c r="B665" t="s">
        <v>94</v>
      </c>
      <c r="C665">
        <v>10495538</v>
      </c>
      <c r="D665" s="7">
        <f t="shared" si="25"/>
        <v>52477.69</v>
      </c>
      <c r="E665" s="2">
        <f>VLOOKUP(A665,'2.09.2021'!A$3:'2.09.2021'!I$202,5,)</f>
        <v>44386</v>
      </c>
      <c r="F665" s="2">
        <v>44462</v>
      </c>
      <c r="G665" s="23">
        <f>VLOOKUP(A665,'2.09.2021'!A$3:'2.09.2021'!I$202,7,)</f>
        <v>0.13333333333333333</v>
      </c>
      <c r="H665" t="str">
        <f>VLOOKUP(A665,'2.09.2021'!A$3:'2.09.2021'!I$202,8,)</f>
        <v>RHYTHM &amp; BLUES</v>
      </c>
      <c r="I665" t="str">
        <f>VLOOKUP(A665,'2.09.2021'!A$3:'2.09.2021'!I$202,9,)</f>
        <v>Argentina</v>
      </c>
      <c r="J665" t="str">
        <f t="shared" si="26"/>
        <v>Nu</v>
      </c>
    </row>
    <row r="666" spans="1:10" x14ac:dyDescent="0.2">
      <c r="A666" t="s">
        <v>83</v>
      </c>
      <c r="B666" t="s">
        <v>84</v>
      </c>
      <c r="C666">
        <v>10166616</v>
      </c>
      <c r="D666" s="7">
        <f t="shared" si="25"/>
        <v>50833.08</v>
      </c>
      <c r="E666" s="2">
        <f>VLOOKUP(A666,'2.09.2021'!A$3:'2.09.2021'!I$202,5,)</f>
        <v>43812</v>
      </c>
      <c r="F666" s="2">
        <v>44462</v>
      </c>
      <c r="G666" s="23">
        <f>VLOOKUP(A666,'2.09.2021'!A$3:'2.09.2021'!I$202,7,)</f>
        <v>0.12013888888888889</v>
      </c>
      <c r="H666" t="str">
        <f>VLOOKUP(A666,'2.09.2021'!A$3:'2.09.2021'!I$202,8,)</f>
        <v>POP</v>
      </c>
      <c r="I666" t="str">
        <f>VLOOKUP(A666,'2.09.2021'!A$3:'2.09.2021'!I$202,9,)</f>
        <v>Marea Britanie</v>
      </c>
      <c r="J666" t="str">
        <f t="shared" si="26"/>
        <v>Nu</v>
      </c>
    </row>
    <row r="667" spans="1:10" x14ac:dyDescent="0.2">
      <c r="A667" t="s">
        <v>87</v>
      </c>
      <c r="B667" t="s">
        <v>88</v>
      </c>
      <c r="C667">
        <v>10154618</v>
      </c>
      <c r="D667" s="7">
        <f t="shared" ref="D667:D730" si="27">(C667/1000*5)</f>
        <v>50773.090000000004</v>
      </c>
      <c r="E667" s="2">
        <f>VLOOKUP(A667,'2.09.2021'!A$3:'2.09.2021'!I$202,5,)</f>
        <v>44260</v>
      </c>
      <c r="F667" s="2">
        <v>44462</v>
      </c>
      <c r="G667" s="23">
        <f>VLOOKUP(A667,'2.09.2021'!A$3:'2.09.2021'!I$202,7,)</f>
        <v>0.16805555555555554</v>
      </c>
      <c r="H667" t="str">
        <f>VLOOKUP(A667,'2.09.2021'!A$3:'2.09.2021'!I$202,8,)</f>
        <v>R&amp;B/SOUL</v>
      </c>
      <c r="I667" t="str">
        <f>VLOOKUP(A667,'2.09.2021'!A$3:'2.09.2021'!I$202,9,)</f>
        <v>Puerto Rico</v>
      </c>
      <c r="J667" t="str">
        <f t="shared" si="26"/>
        <v>Nu</v>
      </c>
    </row>
    <row r="668" spans="1:10" x14ac:dyDescent="0.2">
      <c r="A668" t="s">
        <v>75</v>
      </c>
      <c r="B668" t="s">
        <v>55</v>
      </c>
      <c r="C668">
        <v>9964824</v>
      </c>
      <c r="D668" s="7">
        <f t="shared" si="27"/>
        <v>49824.12</v>
      </c>
      <c r="E668" s="2">
        <f>VLOOKUP(A668,'2.09.2021'!A$3:'2.09.2021'!I$202,5,)</f>
        <v>44386</v>
      </c>
      <c r="F668" s="2">
        <v>44462</v>
      </c>
      <c r="G668" s="23">
        <f>VLOOKUP(A668,'2.09.2021'!A$3:'2.09.2021'!I$202,7,)</f>
        <v>0.12986111111111112</v>
      </c>
      <c r="H668" t="str">
        <f>VLOOKUP(A668,'2.09.2021'!A$3:'2.09.2021'!I$202,8,)</f>
        <v>K-POP</v>
      </c>
      <c r="I668" t="str">
        <f>VLOOKUP(A668,'2.09.2021'!A$3:'2.09.2021'!I$202,9,)</f>
        <v>Korea de Sud</v>
      </c>
      <c r="J668" t="str">
        <f t="shared" si="26"/>
        <v>Nu</v>
      </c>
    </row>
    <row r="669" spans="1:10" x14ac:dyDescent="0.2">
      <c r="A669" t="s">
        <v>95</v>
      </c>
      <c r="B669" t="s">
        <v>17</v>
      </c>
      <c r="C669">
        <v>9788170</v>
      </c>
      <c r="D669" s="7">
        <f t="shared" si="27"/>
        <v>48940.85</v>
      </c>
      <c r="E669" s="2">
        <f>VLOOKUP(A669,'2.09.2021'!A$3:'2.09.2021'!I$202,5,)</f>
        <v>44337</v>
      </c>
      <c r="F669" s="2">
        <v>44462</v>
      </c>
      <c r="G669" s="23">
        <f>VLOOKUP(A669,'2.09.2021'!A$3:'2.09.2021'!I$202,7,)</f>
        <v>0.12152777777777778</v>
      </c>
      <c r="H669" t="str">
        <f>VLOOKUP(A669,'2.09.2021'!A$3:'2.09.2021'!I$202,8,)</f>
        <v>POP</v>
      </c>
      <c r="I669" t="str">
        <f>VLOOKUP(A669,'2.09.2021'!A$3:'2.09.2021'!I$202,9,)</f>
        <v>SUA</v>
      </c>
      <c r="J669" t="str">
        <f t="shared" si="26"/>
        <v>Nu</v>
      </c>
    </row>
    <row r="670" spans="1:10" x14ac:dyDescent="0.2">
      <c r="A670" t="s">
        <v>96</v>
      </c>
      <c r="B670" t="s">
        <v>97</v>
      </c>
      <c r="C670">
        <v>9719423</v>
      </c>
      <c r="D670" s="7">
        <f t="shared" si="27"/>
        <v>48597.115000000005</v>
      </c>
      <c r="E670" s="2">
        <f>VLOOKUP(A670,'2.09.2021'!A$3:'2.09.2021'!I$202,5,)</f>
        <v>43083</v>
      </c>
      <c r="F670" s="2">
        <v>44462</v>
      </c>
      <c r="G670" s="23">
        <f>VLOOKUP(A670,'2.09.2021'!A$3:'2.09.2021'!I$202,7,)</f>
        <v>0.1673611111111111</v>
      </c>
      <c r="H670" t="str">
        <f>VLOOKUP(A670,'2.09.2021'!A$3:'2.09.2021'!I$202,8,)</f>
        <v>ELECTRONIC</v>
      </c>
      <c r="I670" t="str">
        <f>VLOOKUP(A670,'2.09.2021'!A$3:'2.09.2021'!I$202,9,)</f>
        <v>Australia</v>
      </c>
      <c r="J670" t="str">
        <f t="shared" si="26"/>
        <v>Nu</v>
      </c>
    </row>
    <row r="671" spans="1:10" x14ac:dyDescent="0.2">
      <c r="A671" t="s">
        <v>81</v>
      </c>
      <c r="B671" t="s">
        <v>82</v>
      </c>
      <c r="C671">
        <v>9546848</v>
      </c>
      <c r="D671" s="7">
        <f t="shared" si="27"/>
        <v>47734.239999999998</v>
      </c>
      <c r="E671" s="2">
        <f>VLOOKUP(A671,'2.09.2021'!A$3:'2.09.2021'!I$202,5,)</f>
        <v>44400</v>
      </c>
      <c r="F671" s="2">
        <v>44462</v>
      </c>
      <c r="G671" s="23">
        <f>VLOOKUP(A671,'2.09.2021'!A$3:'2.09.2021'!I$202,7,)</f>
        <v>0.11388888888888889</v>
      </c>
      <c r="H671" t="str">
        <f>VLOOKUP(A671,'2.09.2021'!A$3:'2.09.2021'!I$202,8,)</f>
        <v>POP</v>
      </c>
      <c r="I671" t="str">
        <f>VLOOKUP(A671,'2.09.2021'!A$3:'2.09.2021'!I$202,9,)</f>
        <v>Cuba</v>
      </c>
      <c r="J671" t="str">
        <f t="shared" si="26"/>
        <v>Nu</v>
      </c>
    </row>
    <row r="672" spans="1:10" x14ac:dyDescent="0.2">
      <c r="A672" t="s">
        <v>431</v>
      </c>
      <c r="B672" t="s">
        <v>111</v>
      </c>
      <c r="C672">
        <v>9519785</v>
      </c>
      <c r="D672" s="7">
        <f t="shared" si="27"/>
        <v>47598.925000000003</v>
      </c>
      <c r="E672" s="2">
        <f>VLOOKUP(A672,'2.09.2021'!A$3:'2.09.2021'!I$202,5,)</f>
        <v>44317</v>
      </c>
      <c r="F672" s="2">
        <v>44462</v>
      </c>
      <c r="G672" s="23">
        <f>VLOOKUP(A672,'2.09.2021'!A$3:'2.09.2021'!I$202,7,)</f>
        <v>0.11458333333333333</v>
      </c>
      <c r="H672" t="str">
        <f>VLOOKUP(A672,'2.09.2021'!A$3:'2.09.2021'!I$202,8,)</f>
        <v>LATIN URBAN</v>
      </c>
      <c r="I672" t="s">
        <v>472</v>
      </c>
      <c r="J672" t="str">
        <f t="shared" si="26"/>
        <v>Nu</v>
      </c>
    </row>
    <row r="673" spans="1:10" x14ac:dyDescent="0.2">
      <c r="A673" t="s">
        <v>430</v>
      </c>
      <c r="B673" t="s">
        <v>32</v>
      </c>
      <c r="C673">
        <v>9353064</v>
      </c>
      <c r="D673" s="7">
        <f t="shared" si="27"/>
        <v>46765.32</v>
      </c>
      <c r="E673" s="2">
        <f>VLOOKUP(A673,'2.09.2021'!A$3:'2.09.2021'!I$202,5,)</f>
        <v>44134</v>
      </c>
      <c r="F673" s="2">
        <v>44462</v>
      </c>
      <c r="G673" s="23">
        <f>VLOOKUP(A673,'2.09.2021'!A$3:'2.09.2021'!I$202,7,)</f>
        <v>0.1423611111111111</v>
      </c>
      <c r="H673" t="str">
        <f>VLOOKUP(A673,'2.09.2021'!A$3:'2.09.2021'!I$202,8,)</f>
        <v>LATIN</v>
      </c>
      <c r="I673" t="str">
        <f>VLOOKUP(A673,'2.09.2021'!A$3:'2.09.2021'!I$202,9,)</f>
        <v>Puerto Rico</v>
      </c>
      <c r="J673" t="str">
        <f t="shared" si="26"/>
        <v>Nu</v>
      </c>
    </row>
    <row r="674" spans="1:10" x14ac:dyDescent="0.2">
      <c r="A674" t="s">
        <v>443</v>
      </c>
      <c r="B674" t="s">
        <v>116</v>
      </c>
      <c r="C674">
        <v>9277029</v>
      </c>
      <c r="D674" s="7">
        <f t="shared" si="27"/>
        <v>46385.145000000004</v>
      </c>
      <c r="E674" s="2">
        <f>VLOOKUP(A674,'2.09.2021'!A$3:'2.09.2021'!I$202,5,)</f>
        <v>44211</v>
      </c>
      <c r="F674" s="2">
        <v>44462</v>
      </c>
      <c r="G674" s="23">
        <f>VLOOKUP(A674,'2.09.2021'!A$3:'2.09.2021'!I$202,7,)</f>
        <v>0.1173611111111111</v>
      </c>
      <c r="H674" t="str">
        <f>VLOOKUP(A674,'2.09.2021'!A$3:'2.09.2021'!I$202,8,)</f>
        <v>DANCE</v>
      </c>
      <c r="I674" t="str">
        <f>VLOOKUP(A674,'2.09.2021'!A$3:'2.09.2021'!I$202,9,)</f>
        <v>Marea Britanie</v>
      </c>
      <c r="J674" t="str">
        <f t="shared" si="26"/>
        <v>Da</v>
      </c>
    </row>
    <row r="675" spans="1:10" x14ac:dyDescent="0.2">
      <c r="A675" t="s">
        <v>442</v>
      </c>
      <c r="B675" t="s">
        <v>98</v>
      </c>
      <c r="C675">
        <v>9137061</v>
      </c>
      <c r="D675" s="7">
        <f t="shared" si="27"/>
        <v>45685.305</v>
      </c>
      <c r="E675" s="2">
        <f>VLOOKUP(A675,'2.09.2021'!A$3:'2.09.2021'!I$202,5,)</f>
        <v>44336</v>
      </c>
      <c r="F675" s="2">
        <v>44462</v>
      </c>
      <c r="G675" s="23">
        <f>VLOOKUP(A675,'2.09.2021'!A$3:'2.09.2021'!I$202,7,)</f>
        <v>9.5138888888888884E-2</v>
      </c>
      <c r="H675" t="str">
        <f>VLOOKUP(A675,'2.09.2021'!A$3:'2.09.2021'!I$202,8,)</f>
        <v>HIP-HOP/RAP</v>
      </c>
      <c r="I675" t="str">
        <f>VLOOKUP(A675,'2.09.2021'!A$3:'2.09.2021'!I$202,9,)</f>
        <v>SUA</v>
      </c>
      <c r="J675" t="str">
        <f t="shared" si="26"/>
        <v>Da</v>
      </c>
    </row>
    <row r="676" spans="1:10" x14ac:dyDescent="0.2">
      <c r="A676" t="s">
        <v>127</v>
      </c>
      <c r="B676" t="s">
        <v>12</v>
      </c>
      <c r="C676">
        <v>9093003</v>
      </c>
      <c r="D676" s="7">
        <f t="shared" si="27"/>
        <v>45465.014999999999</v>
      </c>
      <c r="E676" s="2">
        <f>VLOOKUP(A676,'2.09.2021'!A$3:'2.09.2021'!I$202,5,)</f>
        <v>44372</v>
      </c>
      <c r="F676" s="2">
        <v>44462</v>
      </c>
      <c r="G676" s="23">
        <f>VLOOKUP(A676,'2.09.2021'!A$3:'2.09.2021'!I$202,7,)</f>
        <v>0.12083333333333333</v>
      </c>
      <c r="H676" t="str">
        <f>VLOOKUP(A676,'2.09.2021'!A$3:'2.09.2021'!I$202,8,)</f>
        <v>POP</v>
      </c>
      <c r="I676" t="str">
        <f>VLOOKUP(A676,'2.09.2021'!A$3:'2.09.2021'!I$202,9,)</f>
        <v>SUA</v>
      </c>
      <c r="J676" t="str">
        <f t="shared" si="26"/>
        <v>Nu</v>
      </c>
    </row>
    <row r="677" spans="1:10" x14ac:dyDescent="0.2">
      <c r="A677" t="s">
        <v>134</v>
      </c>
      <c r="B677" t="s">
        <v>135</v>
      </c>
      <c r="C677">
        <v>8942549</v>
      </c>
      <c r="D677" s="7">
        <f t="shared" si="27"/>
        <v>44712.745000000003</v>
      </c>
      <c r="E677" s="2">
        <f>VLOOKUP(A677,'2.09.2021'!A$3:'2.09.2021'!I$202,5,)</f>
        <v>44386</v>
      </c>
      <c r="F677" s="2">
        <v>44462</v>
      </c>
      <c r="G677" s="23">
        <f>VLOOKUP(A677,'2.09.2021'!A$3:'2.09.2021'!I$202,7,)</f>
        <v>0.14444444444444446</v>
      </c>
      <c r="H677" t="str">
        <f>VLOOKUP(A677,'2.09.2021'!A$3:'2.09.2021'!I$202,8,)</f>
        <v>LATIN URBAN</v>
      </c>
      <c r="I677" t="str">
        <f>VLOOKUP(A677,'2.09.2021'!A$3:'2.09.2021'!I$202,9,)</f>
        <v>Panama</v>
      </c>
      <c r="J677" t="str">
        <f t="shared" si="26"/>
        <v>Nu</v>
      </c>
    </row>
    <row r="678" spans="1:10" x14ac:dyDescent="0.2">
      <c r="A678" t="s">
        <v>112</v>
      </c>
      <c r="B678" t="s">
        <v>113</v>
      </c>
      <c r="C678">
        <v>8936748</v>
      </c>
      <c r="D678" s="7">
        <f t="shared" si="27"/>
        <v>44683.74</v>
      </c>
      <c r="E678" s="2">
        <f>VLOOKUP(A678,'2.09.2021'!A$3:'2.09.2021'!I$202,5,)</f>
        <v>44238</v>
      </c>
      <c r="F678" s="2">
        <v>44462</v>
      </c>
      <c r="G678" s="23">
        <f>VLOOKUP(A678,'2.09.2021'!A$3:'2.09.2021'!I$202,7,)</f>
        <v>0.20625000000000002</v>
      </c>
      <c r="H678" t="str">
        <f>VLOOKUP(A678,'2.09.2021'!A$3:'2.09.2021'!I$202,8,)</f>
        <v>LATIN URBAN</v>
      </c>
      <c r="I678" t="str">
        <f>VLOOKUP(A678,'2.09.2021'!A$3:'2.09.2021'!I$202,9,)</f>
        <v>Columbia</v>
      </c>
      <c r="J678" t="str">
        <f t="shared" si="26"/>
        <v>Nu</v>
      </c>
    </row>
    <row r="679" spans="1:10" x14ac:dyDescent="0.2">
      <c r="A679" t="s">
        <v>317</v>
      </c>
      <c r="B679" t="s">
        <v>318</v>
      </c>
      <c r="C679">
        <v>8909165</v>
      </c>
      <c r="D679" s="7">
        <f t="shared" si="27"/>
        <v>44545.825000000004</v>
      </c>
      <c r="E679" s="2">
        <v>44358</v>
      </c>
      <c r="F679" s="2">
        <v>44462</v>
      </c>
      <c r="G679" s="23">
        <v>0.28750000000000003</v>
      </c>
      <c r="H679" t="s">
        <v>422</v>
      </c>
      <c r="I679" t="s">
        <v>487</v>
      </c>
      <c r="J679" t="str">
        <f t="shared" si="26"/>
        <v>Nu</v>
      </c>
    </row>
    <row r="680" spans="1:10" x14ac:dyDescent="0.2">
      <c r="A680" t="s">
        <v>91</v>
      </c>
      <c r="B680" t="s">
        <v>92</v>
      </c>
      <c r="C680">
        <v>8859678</v>
      </c>
      <c r="D680" s="7">
        <f t="shared" si="27"/>
        <v>44298.39</v>
      </c>
      <c r="E680" s="2">
        <f>VLOOKUP(A680,'2.09.2021'!A$3:'2.09.2021'!I$202,5,)</f>
        <v>44276</v>
      </c>
      <c r="F680" s="2">
        <v>44462</v>
      </c>
      <c r="G680" s="23">
        <f>VLOOKUP(A680,'2.09.2021'!A$3:'2.09.2021'!I$202,7,)</f>
        <v>0.17500000000000002</v>
      </c>
      <c r="H680" t="str">
        <f>VLOOKUP(A680,'2.09.2021'!A$3:'2.09.2021'!I$202,8,)</f>
        <v>POP</v>
      </c>
      <c r="I680" t="str">
        <f>VLOOKUP(A680,'2.09.2021'!A$3:'2.09.2021'!I$202,9,)</f>
        <v>Marea Britanie</v>
      </c>
      <c r="J680" t="str">
        <f t="shared" si="26"/>
        <v>Nu</v>
      </c>
    </row>
    <row r="681" spans="1:10" x14ac:dyDescent="0.2">
      <c r="A681" t="s">
        <v>117</v>
      </c>
      <c r="B681" t="s">
        <v>118</v>
      </c>
      <c r="C681">
        <v>8851356</v>
      </c>
      <c r="D681" s="7">
        <f t="shared" si="27"/>
        <v>44256.78</v>
      </c>
      <c r="E681" s="2">
        <f>VLOOKUP(A681,'2.09.2021'!A$3:'2.09.2021'!I$202,5,)</f>
        <v>44287</v>
      </c>
      <c r="F681" s="2">
        <v>44462</v>
      </c>
      <c r="G681" s="23">
        <f>VLOOKUP(A681,'2.09.2021'!A$3:'2.09.2021'!I$202,7,)</f>
        <v>0.22291666666666665</v>
      </c>
      <c r="H681" t="str">
        <f>VLOOKUP(A681,'2.09.2021'!A$3:'2.09.2021'!I$202,8,)</f>
        <v>LATIN URBAN</v>
      </c>
      <c r="I681" t="str">
        <f>VLOOKUP(A681,'2.09.2021'!A$3:'2.09.2021'!I$202,9,)</f>
        <v>Puerto Rico</v>
      </c>
      <c r="J681" t="str">
        <f t="shared" si="26"/>
        <v>Nu</v>
      </c>
    </row>
    <row r="682" spans="1:10" x14ac:dyDescent="0.2">
      <c r="A682" t="s">
        <v>137</v>
      </c>
      <c r="B682" t="s">
        <v>138</v>
      </c>
      <c r="C682">
        <v>8826147</v>
      </c>
      <c r="D682" s="7">
        <f t="shared" si="27"/>
        <v>44130.735000000001</v>
      </c>
      <c r="E682" s="2">
        <f>VLOOKUP(A682,'2.09.2021'!A$3:'2.09.2021'!I$202,5,)</f>
        <v>44428</v>
      </c>
      <c r="F682" s="2">
        <v>44462</v>
      </c>
      <c r="G682" s="23">
        <f>VLOOKUP(A682,'2.09.2021'!A$3:'2.09.2021'!I$202,7,)</f>
        <v>0.1277777777777778</v>
      </c>
      <c r="H682" t="str">
        <f>VLOOKUP(A682,'2.09.2021'!A$3:'2.09.2021'!I$202,8,)</f>
        <v>POP</v>
      </c>
      <c r="I682" t="str">
        <f>VLOOKUP(A682,'2.09.2021'!A$3:'2.09.2021'!I$202,9,)</f>
        <v>Canada</v>
      </c>
      <c r="J682" t="str">
        <f t="shared" si="26"/>
        <v>Nu</v>
      </c>
    </row>
    <row r="683" spans="1:10" x14ac:dyDescent="0.2">
      <c r="A683" t="s">
        <v>103</v>
      </c>
      <c r="B683" t="s">
        <v>104</v>
      </c>
      <c r="C683">
        <v>8758620</v>
      </c>
      <c r="D683" s="7">
        <f t="shared" si="27"/>
        <v>43793.100000000006</v>
      </c>
      <c r="E683" s="2">
        <f>VLOOKUP(A683,'2.09.2021'!A$3:'2.09.2021'!I$202,5,)</f>
        <v>44229</v>
      </c>
      <c r="F683" s="2">
        <v>44462</v>
      </c>
      <c r="G683" s="23">
        <f>VLOOKUP(A683,'2.09.2021'!A$3:'2.09.2021'!I$202,7,)</f>
        <v>0.14097222222222222</v>
      </c>
      <c r="H683" t="str">
        <f>VLOOKUP(A683,'2.09.2021'!A$3:'2.09.2021'!I$202,8,)</f>
        <v>POP</v>
      </c>
      <c r="I683" t="str">
        <f>VLOOKUP(A683,'2.09.2021'!A$3:'2.09.2021'!I$202,9,)</f>
        <v>SUA</v>
      </c>
      <c r="J683" t="str">
        <f t="shared" si="26"/>
        <v>Nu</v>
      </c>
    </row>
    <row r="684" spans="1:10" x14ac:dyDescent="0.2">
      <c r="A684" t="s">
        <v>101</v>
      </c>
      <c r="B684" t="s">
        <v>102</v>
      </c>
      <c r="C684">
        <v>8746127</v>
      </c>
      <c r="D684" s="7">
        <f t="shared" si="27"/>
        <v>43730.635000000002</v>
      </c>
      <c r="E684" s="2">
        <f>VLOOKUP(A684,'2.09.2021'!A$3:'2.09.2021'!I$202,5,)</f>
        <v>44306</v>
      </c>
      <c r="F684" s="2">
        <v>44462</v>
      </c>
      <c r="G684" s="23">
        <f>VLOOKUP(A684,'2.09.2021'!A$3:'2.09.2021'!I$202,7,)</f>
        <v>0.15347222222222223</v>
      </c>
      <c r="H684" t="str">
        <f>VLOOKUP(A684,'2.09.2021'!A$3:'2.09.2021'!I$202,8,)</f>
        <v>DANCE</v>
      </c>
      <c r="I684" t="str">
        <f>VLOOKUP(A684,'2.09.2021'!A$3:'2.09.2021'!I$202,9,)</f>
        <v>SUA</v>
      </c>
      <c r="J684" t="str">
        <f t="shared" si="26"/>
        <v>Nu</v>
      </c>
    </row>
    <row r="685" spans="1:10" x14ac:dyDescent="0.2">
      <c r="A685" t="s">
        <v>119</v>
      </c>
      <c r="B685" t="s">
        <v>120</v>
      </c>
      <c r="C685">
        <v>8688742</v>
      </c>
      <c r="D685" s="7">
        <f t="shared" si="27"/>
        <v>43443.71</v>
      </c>
      <c r="E685" s="2">
        <f>VLOOKUP(A685,'2.09.2021'!A$3:'2.09.2021'!I$202,5,)</f>
        <v>44438</v>
      </c>
      <c r="F685" s="2">
        <v>44462</v>
      </c>
      <c r="G685" s="23">
        <f>VLOOKUP(A685,'2.09.2021'!A$3:'2.09.2021'!I$202,7,)</f>
        <v>0.16874999999999998</v>
      </c>
      <c r="H685" t="str">
        <f>VLOOKUP(A685,'2.09.2021'!A$3:'2.09.2021'!I$202,8,)</f>
        <v>POP</v>
      </c>
      <c r="I685" t="str">
        <f>VLOOKUP(A685,'2.09.2021'!A$3:'2.09.2021'!I$202,9,)</f>
        <v>Australia</v>
      </c>
      <c r="J685" t="str">
        <f t="shared" si="26"/>
        <v>Nu</v>
      </c>
    </row>
    <row r="686" spans="1:10" x14ac:dyDescent="0.2">
      <c r="A686" t="s">
        <v>319</v>
      </c>
      <c r="B686" t="s">
        <v>52</v>
      </c>
      <c r="C686">
        <v>8602816</v>
      </c>
      <c r="D686" s="7">
        <f t="shared" si="27"/>
        <v>43014.080000000002</v>
      </c>
      <c r="E686" s="2">
        <f>VLOOKUP(A686,'2.09.2021'!A$3:'2.09.2021'!I$202,5,)</f>
        <v>44437</v>
      </c>
      <c r="F686" s="2">
        <v>44462</v>
      </c>
      <c r="G686" s="23">
        <f>VLOOKUP(A686,'2.09.2021'!A$3:'2.09.2021'!I$202,7,)</f>
        <v>0.16805555555555554</v>
      </c>
      <c r="H686" t="str">
        <f>VLOOKUP(A686,'2.09.2021'!A$3:'2.09.2021'!I$202,8,)</f>
        <v>HIP-HOP/RAP</v>
      </c>
      <c r="I686" t="str">
        <f>VLOOKUP(A686,'2.09.2021'!A$3:'2.09.2021'!I$202,9,)</f>
        <v>SUA</v>
      </c>
      <c r="J686" t="str">
        <f t="shared" si="26"/>
        <v>Nu</v>
      </c>
    </row>
    <row r="687" spans="1:10" x14ac:dyDescent="0.2">
      <c r="A687" t="s">
        <v>99</v>
      </c>
      <c r="B687" t="s">
        <v>55</v>
      </c>
      <c r="C687">
        <v>8596692</v>
      </c>
      <c r="D687" s="7">
        <f t="shared" si="27"/>
        <v>42983.459999999992</v>
      </c>
      <c r="E687" s="2">
        <f>VLOOKUP(A687,'2.09.2021'!A$3:'2.09.2021'!I$202,5,)</f>
        <v>44459</v>
      </c>
      <c r="F687" s="2">
        <v>44462</v>
      </c>
      <c r="G687" s="23">
        <f>VLOOKUP(A687,'2.09.2021'!A$3:'2.09.2021'!I$202,7,)</f>
        <v>9.7916666666666666E-2</v>
      </c>
      <c r="H687" t="str">
        <f>VLOOKUP(A687,'2.09.2021'!A$3:'2.09.2021'!I$202,8,)</f>
        <v>K-POP</v>
      </c>
      <c r="I687" t="str">
        <f>VLOOKUP(A687,'2.09.2021'!A$3:'2.09.2021'!I$202,9,)</f>
        <v>Korea de Sud</v>
      </c>
      <c r="J687" t="str">
        <f t="shared" si="26"/>
        <v>Nu</v>
      </c>
    </row>
    <row r="688" spans="1:10" x14ac:dyDescent="0.2">
      <c r="A688" t="s">
        <v>441</v>
      </c>
      <c r="B688" t="s">
        <v>76</v>
      </c>
      <c r="C688">
        <v>8591860</v>
      </c>
      <c r="D688" s="7">
        <f t="shared" si="27"/>
        <v>42959.3</v>
      </c>
      <c r="E688" s="2">
        <f>VLOOKUP(A688,'2.09.2021'!A$3:'2.09.2021'!I$202,5,)</f>
        <v>44370</v>
      </c>
      <c r="F688" s="2">
        <v>44462</v>
      </c>
      <c r="G688" s="23">
        <f>VLOOKUP(A688,'2.09.2021'!A$3:'2.09.2021'!I$202,7,)</f>
        <v>0.18124999999999999</v>
      </c>
      <c r="H688" t="str">
        <f>VLOOKUP(A688,'2.09.2021'!A$3:'2.09.2021'!I$202,8,)</f>
        <v>ROCK</v>
      </c>
      <c r="I688" t="str">
        <f>VLOOKUP(A688,'2.09.2021'!A$3:'2.09.2021'!I$202,9,)</f>
        <v>Marea Britanie</v>
      </c>
      <c r="J688" t="str">
        <f t="shared" si="26"/>
        <v>Da</v>
      </c>
    </row>
    <row r="689" spans="1:10" x14ac:dyDescent="0.2">
      <c r="A689" t="s">
        <v>114</v>
      </c>
      <c r="B689" t="s">
        <v>115</v>
      </c>
      <c r="C689">
        <v>8574019</v>
      </c>
      <c r="D689" s="7">
        <f t="shared" si="27"/>
        <v>42870.095000000001</v>
      </c>
      <c r="E689" s="2">
        <f>VLOOKUP(A689,'2.09.2021'!A$3:'2.09.2021'!I$202,5,)</f>
        <v>44352</v>
      </c>
      <c r="F689" s="2">
        <v>44462</v>
      </c>
      <c r="G689" s="23">
        <f>VLOOKUP(A689,'2.09.2021'!A$3:'2.09.2021'!I$202,7,)</f>
        <v>0.11388888888888889</v>
      </c>
      <c r="H689" t="str">
        <f>VLOOKUP(A689,'2.09.2021'!A$3:'2.09.2021'!I$202,8,)</f>
        <v>HIP-HOP/RAP</v>
      </c>
      <c r="I689" t="str">
        <f>VLOOKUP(A689,'2.09.2021'!A$3:'2.09.2021'!I$202,9,)</f>
        <v>Norvegia</v>
      </c>
      <c r="J689" t="str">
        <f t="shared" si="26"/>
        <v>Nu</v>
      </c>
    </row>
    <row r="690" spans="1:10" x14ac:dyDescent="0.2">
      <c r="A690" t="s">
        <v>85</v>
      </c>
      <c r="B690" t="s">
        <v>86</v>
      </c>
      <c r="C690">
        <v>8573802</v>
      </c>
      <c r="D690" s="7">
        <f t="shared" si="27"/>
        <v>42869.009999999995</v>
      </c>
      <c r="E690" s="2">
        <f>VLOOKUP(A690,'2.09.2021'!A$3:'2.09.2021'!I$202,5,)</f>
        <v>44230</v>
      </c>
      <c r="F690" s="2">
        <v>44462</v>
      </c>
      <c r="G690" s="23">
        <f>VLOOKUP(A690,'2.09.2021'!A$3:'2.09.2021'!I$202,7,)</f>
        <v>9.5833333333333326E-2</v>
      </c>
      <c r="H690" t="str">
        <f>VLOOKUP(A690,'2.09.2021'!A$3:'2.09.2021'!I$202,8,)</f>
        <v>R&amp;B/SOUL</v>
      </c>
      <c r="I690" t="str">
        <f>VLOOKUP(A690,'2.09.2021'!A$3:'2.09.2021'!I$202,9,)</f>
        <v>SUA</v>
      </c>
      <c r="J690" t="str">
        <f t="shared" si="26"/>
        <v>Nu</v>
      </c>
    </row>
    <row r="691" spans="1:10" x14ac:dyDescent="0.2">
      <c r="A691" t="s">
        <v>125</v>
      </c>
      <c r="B691" t="s">
        <v>17</v>
      </c>
      <c r="C691">
        <v>8492457</v>
      </c>
      <c r="D691" s="7">
        <f t="shared" si="27"/>
        <v>42462.285000000003</v>
      </c>
      <c r="E691" s="2">
        <f>VLOOKUP(A691,'2.09.2021'!A$3:'2.09.2021'!I$202,5,)</f>
        <v>44337</v>
      </c>
      <c r="F691" s="2">
        <v>44462</v>
      </c>
      <c r="G691" s="23">
        <f>VLOOKUP(A691,'2.09.2021'!A$3:'2.09.2021'!I$202,7,)</f>
        <v>0.12013888888888889</v>
      </c>
      <c r="H691" t="str">
        <f>VLOOKUP(A691,'2.09.2021'!A$3:'2.09.2021'!I$202,8,)</f>
        <v>POP</v>
      </c>
      <c r="I691" t="str">
        <f>VLOOKUP(A691,'2.09.2021'!A$3:'2.09.2021'!I$202,9,)</f>
        <v>SUA</v>
      </c>
      <c r="J691" t="str">
        <f t="shared" si="26"/>
        <v>Nu</v>
      </c>
    </row>
    <row r="692" spans="1:10" x14ac:dyDescent="0.2">
      <c r="A692" t="s">
        <v>107</v>
      </c>
      <c r="B692" t="s">
        <v>108</v>
      </c>
      <c r="C692">
        <v>8386443</v>
      </c>
      <c r="D692" s="7">
        <f t="shared" si="27"/>
        <v>41932.214999999997</v>
      </c>
      <c r="E692" s="2">
        <f>VLOOKUP(A692,'2.09.2021'!A$3:'2.09.2021'!I$202,5,)</f>
        <v>44466</v>
      </c>
      <c r="F692" s="2">
        <v>44462</v>
      </c>
      <c r="G692" s="23">
        <f>VLOOKUP(A692,'2.09.2021'!A$3:'2.09.2021'!I$202,7,)</f>
        <v>0.16805555555555554</v>
      </c>
      <c r="H692" t="str">
        <f>VLOOKUP(A692,'2.09.2021'!A$3:'2.09.2021'!I$202,8,)</f>
        <v>ROCK</v>
      </c>
      <c r="I692" t="str">
        <f>VLOOKUP(A692,'2.09.2021'!A$3:'2.09.2021'!I$202,9,)</f>
        <v>SUA</v>
      </c>
      <c r="J692" t="str">
        <f t="shared" si="26"/>
        <v>Da</v>
      </c>
    </row>
    <row r="693" spans="1:10" x14ac:dyDescent="0.2">
      <c r="A693" t="s">
        <v>122</v>
      </c>
      <c r="B693" t="s">
        <v>59</v>
      </c>
      <c r="C693">
        <v>8220494</v>
      </c>
      <c r="D693" s="7">
        <f t="shared" si="27"/>
        <v>41102.47</v>
      </c>
      <c r="E693" s="2">
        <f>VLOOKUP(A693,'2.09.2021'!A$3:'2.09.2021'!I$202,5,)</f>
        <v>44336</v>
      </c>
      <c r="F693" s="2">
        <v>44462</v>
      </c>
      <c r="G693" s="23">
        <f>VLOOKUP(A693,'2.09.2021'!A$3:'2.09.2021'!I$202,7,)</f>
        <v>0.12152777777777778</v>
      </c>
      <c r="H693" t="str">
        <f>VLOOKUP(A693,'2.09.2021'!A$3:'2.09.2021'!I$202,8,)</f>
        <v>DANCE</v>
      </c>
      <c r="I693" t="str">
        <f>VLOOKUP(A693,'2.09.2021'!A$3:'2.09.2021'!I$202,9,)</f>
        <v>Olanda</v>
      </c>
      <c r="J693" t="str">
        <f t="shared" si="26"/>
        <v>Nu</v>
      </c>
    </row>
    <row r="694" spans="1:10" x14ac:dyDescent="0.2">
      <c r="A694" t="s">
        <v>208</v>
      </c>
      <c r="B694" t="s">
        <v>209</v>
      </c>
      <c r="C694">
        <v>8163156</v>
      </c>
      <c r="D694" s="7">
        <f t="shared" si="27"/>
        <v>40815.78</v>
      </c>
      <c r="E694" s="2">
        <f>VLOOKUP(A694,'2.09.2021'!A$3:'2.09.2021'!I$202,5,)</f>
        <v>44452</v>
      </c>
      <c r="F694" s="2">
        <v>44462</v>
      </c>
      <c r="G694" s="23">
        <f>VLOOKUP(A694,'2.09.2021'!A$3:'2.09.2021'!I$202,7,)</f>
        <v>0.13819444444444443</v>
      </c>
      <c r="H694" t="str">
        <f>VLOOKUP(A694,'2.09.2021'!A$3:'2.09.2021'!I$202,8,)</f>
        <v>HIP-HOP/RAP</v>
      </c>
      <c r="I694" t="str">
        <f>VLOOKUP(A694,'2.09.2021'!A$3:'2.09.2021'!I$202,9,)</f>
        <v>Brazilia</v>
      </c>
      <c r="J694" t="str">
        <f t="shared" si="26"/>
        <v>Nu</v>
      </c>
    </row>
    <row r="695" spans="1:10" x14ac:dyDescent="0.2">
      <c r="A695" t="s">
        <v>105</v>
      </c>
      <c r="B695" t="s">
        <v>106</v>
      </c>
      <c r="C695">
        <v>8159306</v>
      </c>
      <c r="D695" s="7">
        <f t="shared" si="27"/>
        <v>40796.53</v>
      </c>
      <c r="E695" s="2">
        <f>VLOOKUP(A695,'2.09.2021'!A$3:'2.09.2021'!I$202,5,)</f>
        <v>44377</v>
      </c>
      <c r="F695" s="2">
        <v>44462</v>
      </c>
      <c r="G695" s="23">
        <f>VLOOKUP(A695,'2.09.2021'!A$3:'2.09.2021'!I$202,7,)</f>
        <v>0.14444444444444446</v>
      </c>
      <c r="H695" t="str">
        <f>VLOOKUP(A695,'2.09.2021'!A$3:'2.09.2021'!I$202,8,)</f>
        <v>HIP-HOP/RAP</v>
      </c>
      <c r="I695" t="str">
        <f>VLOOKUP(A695,'2.09.2021'!A$3:'2.09.2021'!I$202,9,)</f>
        <v>Scoția</v>
      </c>
      <c r="J695" t="str">
        <f t="shared" si="26"/>
        <v>Nu</v>
      </c>
    </row>
    <row r="696" spans="1:10" x14ac:dyDescent="0.2">
      <c r="A696" t="s">
        <v>109</v>
      </c>
      <c r="B696" t="s">
        <v>38</v>
      </c>
      <c r="C696">
        <v>8140025</v>
      </c>
      <c r="D696" s="7">
        <f t="shared" si="27"/>
        <v>40700.125</v>
      </c>
      <c r="E696" s="2">
        <f>VLOOKUP(A696,'2.09.2021'!A$3:'2.09.2021'!I$202,5,)</f>
        <v>44248</v>
      </c>
      <c r="F696" s="2">
        <v>44462</v>
      </c>
      <c r="G696" s="23">
        <f>VLOOKUP(A696,'2.09.2021'!A$3:'2.09.2021'!I$202,7,)</f>
        <v>0.1173611111111111</v>
      </c>
      <c r="H696" t="str">
        <f>VLOOKUP(A696,'2.09.2021'!A$3:'2.09.2021'!I$202,8,)</f>
        <v>K-POP</v>
      </c>
      <c r="I696" t="str">
        <f>VLOOKUP(A696,'2.09.2021'!A$3:'2.09.2021'!I$202,9,)</f>
        <v>Marea Britanie</v>
      </c>
      <c r="J696" t="str">
        <f t="shared" si="26"/>
        <v>Nu</v>
      </c>
    </row>
    <row r="697" spans="1:10" x14ac:dyDescent="0.2">
      <c r="A697" t="s">
        <v>28</v>
      </c>
      <c r="B697" t="s">
        <v>29</v>
      </c>
      <c r="C697">
        <v>8106553</v>
      </c>
      <c r="D697" s="7">
        <f t="shared" si="27"/>
        <v>40532.764999999999</v>
      </c>
      <c r="E697" s="2">
        <v>44460</v>
      </c>
      <c r="F697" s="2">
        <v>44462</v>
      </c>
      <c r="G697" s="23">
        <v>0.13958333333333334</v>
      </c>
      <c r="H697" t="s">
        <v>422</v>
      </c>
      <c r="I697" t="s">
        <v>468</v>
      </c>
      <c r="J697" t="str">
        <f t="shared" si="26"/>
        <v>Nu</v>
      </c>
    </row>
    <row r="698" spans="1:10" x14ac:dyDescent="0.2">
      <c r="A698" t="s">
        <v>126</v>
      </c>
      <c r="B698" t="s">
        <v>38</v>
      </c>
      <c r="C698">
        <v>8078512</v>
      </c>
      <c r="D698" s="7">
        <f t="shared" si="27"/>
        <v>40392.559999999998</v>
      </c>
      <c r="E698" s="2">
        <f>VLOOKUP(A698,'2.09.2021'!A$3:'2.09.2021'!I$202,5,)</f>
        <v>44259</v>
      </c>
      <c r="F698" s="2">
        <v>44462</v>
      </c>
      <c r="G698" s="23">
        <f>VLOOKUP(A698,'2.09.2021'!A$3:'2.09.2021'!I$202,7,)</f>
        <v>0.14027777777777778</v>
      </c>
      <c r="H698" t="str">
        <f>VLOOKUP(A698,'2.09.2021'!A$3:'2.09.2021'!I$202,8,)</f>
        <v>ELECTRONIC</v>
      </c>
      <c r="I698" t="str">
        <f>VLOOKUP(A698,'2.09.2021'!A$3:'2.09.2021'!I$202,9,)</f>
        <v>Marea Britanie</v>
      </c>
      <c r="J698" t="str">
        <f t="shared" si="26"/>
        <v>Nu</v>
      </c>
    </row>
    <row r="699" spans="1:10" x14ac:dyDescent="0.2">
      <c r="A699" t="s">
        <v>256</v>
      </c>
      <c r="B699" t="s">
        <v>257</v>
      </c>
      <c r="C699">
        <v>8043658</v>
      </c>
      <c r="D699" s="7">
        <f t="shared" si="27"/>
        <v>40218.29</v>
      </c>
      <c r="E699" s="2">
        <f>VLOOKUP(A699,'2.09.2021'!A$3:'2.09.2021'!I$202,5,)</f>
        <v>44307</v>
      </c>
      <c r="F699" s="2">
        <v>44462</v>
      </c>
      <c r="G699" s="23">
        <f>VLOOKUP(A699,'2.09.2021'!A$3:'2.09.2021'!I$202,7,)</f>
        <v>0.14583333333333334</v>
      </c>
      <c r="H699" t="str">
        <f>VLOOKUP(A699,'2.09.2021'!A$3:'2.09.2021'!I$202,8,)</f>
        <v>R&amp;B/SOUL</v>
      </c>
      <c r="I699" t="str">
        <f>VLOOKUP(A699,'2.09.2021'!A$3:'2.09.2021'!I$202,9,)</f>
        <v>Brazilia</v>
      </c>
      <c r="J699" t="str">
        <f t="shared" si="26"/>
        <v>Nu</v>
      </c>
    </row>
    <row r="700" spans="1:10" x14ac:dyDescent="0.2">
      <c r="A700" t="s">
        <v>133</v>
      </c>
      <c r="B700" t="s">
        <v>17</v>
      </c>
      <c r="C700">
        <v>7929613</v>
      </c>
      <c r="D700" s="7">
        <f t="shared" si="27"/>
        <v>39648.065000000002</v>
      </c>
      <c r="E700" s="2">
        <f>VLOOKUP(A700,'2.09.2021'!A$3:'2.09.2021'!I$202,5,)</f>
        <v>44346</v>
      </c>
      <c r="F700" s="2">
        <v>44462</v>
      </c>
      <c r="G700" s="23">
        <f>VLOOKUP(A700,'2.09.2021'!A$3:'2.09.2021'!I$202,7,)</f>
        <v>0.14930555555555555</v>
      </c>
      <c r="H700" t="str">
        <f>VLOOKUP(A700,'2.09.2021'!A$3:'2.09.2021'!I$202,8,)</f>
        <v>ALTERNATIVE</v>
      </c>
      <c r="I700" t="str">
        <f>VLOOKUP(A700,'2.09.2021'!A$3:'2.09.2021'!I$202,9,)</f>
        <v>SUA</v>
      </c>
      <c r="J700" t="str">
        <f t="shared" si="26"/>
        <v>Nu</v>
      </c>
    </row>
    <row r="701" spans="1:10" x14ac:dyDescent="0.2">
      <c r="A701" t="s">
        <v>450</v>
      </c>
      <c r="B701" t="s">
        <v>55</v>
      </c>
      <c r="C701">
        <v>7911481</v>
      </c>
      <c r="D701" s="7">
        <f t="shared" si="27"/>
        <v>39557.404999999999</v>
      </c>
      <c r="E701" s="2">
        <f>VLOOKUP(A701,'2.09.2021'!A$3:'2.09.2021'!I$202,5,)</f>
        <v>44435</v>
      </c>
      <c r="F701" s="2">
        <v>44462</v>
      </c>
      <c r="G701" s="23">
        <f>VLOOKUP(A701,'2.09.2021'!A$3:'2.09.2021'!I$202,7,)</f>
        <v>0.11388888888888889</v>
      </c>
      <c r="H701" t="str">
        <f>VLOOKUP(A701,'2.09.2021'!A$3:'2.09.2021'!I$202,8,)</f>
        <v>K-POP</v>
      </c>
      <c r="I701" t="str">
        <f>VLOOKUP(A701,'2.09.2021'!A$3:'2.09.2021'!I$202,9,)</f>
        <v>Korea de Sud</v>
      </c>
      <c r="J701" t="str">
        <f t="shared" si="26"/>
        <v>Da</v>
      </c>
    </row>
    <row r="702" spans="1:10" x14ac:dyDescent="0.2">
      <c r="A702" t="s">
        <v>148</v>
      </c>
      <c r="B702" t="s">
        <v>149</v>
      </c>
      <c r="C702">
        <v>7836290</v>
      </c>
      <c r="D702" s="7">
        <f t="shared" si="27"/>
        <v>39181.449999999997</v>
      </c>
      <c r="E702" s="2">
        <f>VLOOKUP(A702,'2.09.2021'!A$3:'2.09.2021'!I$202,5,)</f>
        <v>44309</v>
      </c>
      <c r="F702" s="2">
        <v>44462</v>
      </c>
      <c r="G702" s="23">
        <f>VLOOKUP(A702,'2.09.2021'!A$3:'2.09.2021'!I$202,7,)</f>
        <v>0.19930555555555554</v>
      </c>
      <c r="H702" t="str">
        <f>VLOOKUP(A702,'2.09.2021'!A$3:'2.09.2021'!I$202,8,)</f>
        <v>K-POP</v>
      </c>
      <c r="I702" t="str">
        <f>VLOOKUP(A702,'2.09.2021'!A$3:'2.09.2021'!I$202,9,)</f>
        <v>SUA</v>
      </c>
      <c r="J702" t="str">
        <f t="shared" si="26"/>
        <v>Nu</v>
      </c>
    </row>
    <row r="703" spans="1:10" x14ac:dyDescent="0.2">
      <c r="A703" t="s">
        <v>165</v>
      </c>
      <c r="B703" t="s">
        <v>166</v>
      </c>
      <c r="C703">
        <v>7754498</v>
      </c>
      <c r="D703" s="7">
        <f t="shared" si="27"/>
        <v>38772.49</v>
      </c>
      <c r="E703" s="2">
        <f>VLOOKUP(A703,'2.09.2021'!A$3:'2.09.2021'!I$202,5,)</f>
        <v>44406</v>
      </c>
      <c r="F703" s="2">
        <v>44462</v>
      </c>
      <c r="G703" s="23">
        <f>VLOOKUP(A703,'2.09.2021'!A$3:'2.09.2021'!I$202,7,)</f>
        <v>0.14652777777777778</v>
      </c>
      <c r="H703" t="str">
        <f>VLOOKUP(A703,'2.09.2021'!A$3:'2.09.2021'!I$202,8,)</f>
        <v>LATIN</v>
      </c>
      <c r="I703" t="str">
        <f>VLOOKUP(A703,'2.09.2021'!A$3:'2.09.2021'!I$202,9,)</f>
        <v>India</v>
      </c>
      <c r="J703" t="str">
        <f t="shared" si="26"/>
        <v>Nu</v>
      </c>
    </row>
    <row r="704" spans="1:10" x14ac:dyDescent="0.2">
      <c r="A704" t="s">
        <v>139</v>
      </c>
      <c r="B704" t="s">
        <v>46</v>
      </c>
      <c r="C704">
        <v>7644771</v>
      </c>
      <c r="D704" s="7">
        <f t="shared" si="27"/>
        <v>38223.854999999996</v>
      </c>
      <c r="E704" s="2">
        <f>VLOOKUP(A704,'2.09.2021'!A$3:'2.09.2021'!I$202,5,)</f>
        <v>44209</v>
      </c>
      <c r="F704" s="2">
        <v>44462</v>
      </c>
      <c r="G704" s="23">
        <f>VLOOKUP(A704,'2.09.2021'!A$3:'2.09.2021'!I$202,7,)</f>
        <v>0.16874999999999998</v>
      </c>
      <c r="H704" t="str">
        <f>VLOOKUP(A704,'2.09.2021'!A$3:'2.09.2021'!I$202,8,)</f>
        <v>ELECTRONIC</v>
      </c>
      <c r="I704" t="str">
        <f>VLOOKUP(A704,'2.09.2021'!A$3:'2.09.2021'!I$202,9,)</f>
        <v>Canada</v>
      </c>
      <c r="J704" t="str">
        <f t="shared" si="26"/>
        <v>Nu</v>
      </c>
    </row>
    <row r="705" spans="1:10" x14ac:dyDescent="0.2">
      <c r="A705" t="s">
        <v>205</v>
      </c>
      <c r="B705" t="s">
        <v>206</v>
      </c>
      <c r="C705">
        <v>7598552</v>
      </c>
      <c r="D705" s="7">
        <f t="shared" si="27"/>
        <v>37992.759999999995</v>
      </c>
      <c r="E705" s="2">
        <f>VLOOKUP(A705,'2.09.2021'!A$3:'2.09.2021'!I$202,5,)</f>
        <v>44308</v>
      </c>
      <c r="F705" s="2">
        <v>44462</v>
      </c>
      <c r="G705" s="23">
        <f>VLOOKUP(A705,'2.09.2021'!A$3:'2.09.2021'!I$202,7,)</f>
        <v>0.14722222222222223</v>
      </c>
      <c r="H705" t="str">
        <f>VLOOKUP(A705,'2.09.2021'!A$3:'2.09.2021'!I$202,8,)</f>
        <v>HIP-HOP/RAP</v>
      </c>
      <c r="I705" t="str">
        <f>VLOOKUP(A705,'2.09.2021'!A$3:'2.09.2021'!I$202,9,)</f>
        <v>India</v>
      </c>
      <c r="J705" t="str">
        <f t="shared" si="26"/>
        <v>Nu</v>
      </c>
    </row>
    <row r="706" spans="1:10" x14ac:dyDescent="0.2">
      <c r="A706" t="s">
        <v>445</v>
      </c>
      <c r="B706" t="s">
        <v>140</v>
      </c>
      <c r="C706">
        <v>7559040</v>
      </c>
      <c r="D706" s="7">
        <f t="shared" si="27"/>
        <v>37795.199999999997</v>
      </c>
      <c r="E706" s="2">
        <f>VLOOKUP(A706,'2.09.2021'!A$3:'2.09.2021'!I$202,5,)</f>
        <v>44389</v>
      </c>
      <c r="F706" s="2">
        <v>44462</v>
      </c>
      <c r="G706" s="23">
        <f>VLOOKUP(A706,'2.09.2021'!A$3:'2.09.2021'!I$202,7,)</f>
        <v>0.20694444444444446</v>
      </c>
      <c r="H706" t="str">
        <f>VLOOKUP(A706,'2.09.2021'!A$3:'2.09.2021'!I$202,8,)</f>
        <v>ALTERNATIVE</v>
      </c>
      <c r="I706" t="str">
        <f>VLOOKUP(A706,'2.09.2021'!A$3:'2.09.2021'!I$202,9,)</f>
        <v>SUA</v>
      </c>
      <c r="J706" t="str">
        <f t="shared" ref="J706:J769" si="28">IF(ISNUMBER(SEARCH("with",A706)),"Da","Nu")</f>
        <v>Da</v>
      </c>
    </row>
    <row r="707" spans="1:10" x14ac:dyDescent="0.2">
      <c r="A707" t="s">
        <v>47</v>
      </c>
      <c r="B707" t="s">
        <v>48</v>
      </c>
      <c r="C707">
        <v>7521280</v>
      </c>
      <c r="D707" s="7">
        <f t="shared" si="27"/>
        <v>37606.400000000001</v>
      </c>
      <c r="E707" s="2">
        <v>44305</v>
      </c>
      <c r="F707" s="2">
        <v>44462</v>
      </c>
      <c r="G707" s="23">
        <v>0.12638888888888888</v>
      </c>
      <c r="H707" t="s">
        <v>423</v>
      </c>
      <c r="I707" t="s">
        <v>468</v>
      </c>
      <c r="J707" t="str">
        <f t="shared" si="28"/>
        <v>Nu</v>
      </c>
    </row>
    <row r="708" spans="1:10" x14ac:dyDescent="0.2">
      <c r="A708" t="s">
        <v>181</v>
      </c>
      <c r="B708" t="s">
        <v>42</v>
      </c>
      <c r="C708">
        <v>7429298</v>
      </c>
      <c r="D708" s="7">
        <f t="shared" si="27"/>
        <v>37146.49</v>
      </c>
      <c r="E708" s="2">
        <f>VLOOKUP(A708,'2.09.2021'!A$3:'2.09.2021'!I$202,5,)</f>
        <v>44316</v>
      </c>
      <c r="F708" s="2">
        <v>44462</v>
      </c>
      <c r="G708" s="23">
        <f>VLOOKUP(A708,'2.09.2021'!A$3:'2.09.2021'!I$202,7,)</f>
        <v>0.12013888888888889</v>
      </c>
      <c r="H708" t="str">
        <f>VLOOKUP(A708,'2.09.2021'!A$3:'2.09.2021'!I$202,8,)</f>
        <v>ELECTRONIC</v>
      </c>
      <c r="I708" t="str">
        <f>VLOOKUP(A708,'2.09.2021'!A$3:'2.09.2021'!I$202,9,)</f>
        <v>Columbia</v>
      </c>
      <c r="J708" t="str">
        <f t="shared" si="28"/>
        <v>Nu</v>
      </c>
    </row>
    <row r="709" spans="1:10" x14ac:dyDescent="0.2">
      <c r="A709" t="s">
        <v>63</v>
      </c>
      <c r="B709" t="s">
        <v>64</v>
      </c>
      <c r="C709">
        <v>7428549</v>
      </c>
      <c r="D709" s="7">
        <f t="shared" si="27"/>
        <v>37142.745000000003</v>
      </c>
      <c r="E709" s="2">
        <v>44290</v>
      </c>
      <c r="F709" s="2">
        <v>44462</v>
      </c>
      <c r="G709" s="23">
        <v>0.20555555555555557</v>
      </c>
      <c r="H709" t="s">
        <v>418</v>
      </c>
      <c r="I709" t="s">
        <v>472</v>
      </c>
      <c r="J709" t="str">
        <f t="shared" si="28"/>
        <v>Nu</v>
      </c>
    </row>
    <row r="710" spans="1:10" x14ac:dyDescent="0.2">
      <c r="A710" t="s">
        <v>248</v>
      </c>
      <c r="B710" t="s">
        <v>211</v>
      </c>
      <c r="C710">
        <v>7346103</v>
      </c>
      <c r="D710" s="7">
        <f t="shared" si="27"/>
        <v>36730.514999999999</v>
      </c>
      <c r="E710" s="2">
        <f>VLOOKUP(A710,'2.09.2021'!A$3:'2.09.2021'!I$202,5,)</f>
        <v>44282</v>
      </c>
      <c r="F710" s="2">
        <v>44462</v>
      </c>
      <c r="G710" s="23">
        <f>VLOOKUP(A710,'2.09.2021'!A$3:'2.09.2021'!I$202,7,)</f>
        <v>9.7916666666666666E-2</v>
      </c>
      <c r="H710" t="str">
        <f>VLOOKUP(A710,'2.09.2021'!A$3:'2.09.2021'!I$202,8,)</f>
        <v>R&amp;B/SOUL</v>
      </c>
      <c r="I710" t="str">
        <f>VLOOKUP(A710,'2.09.2021'!A$3:'2.09.2021'!I$202,9,)</f>
        <v>SUA</v>
      </c>
      <c r="J710" t="str">
        <f t="shared" si="28"/>
        <v>Nu</v>
      </c>
    </row>
    <row r="711" spans="1:10" x14ac:dyDescent="0.2">
      <c r="A711" t="s">
        <v>320</v>
      </c>
      <c r="B711" t="s">
        <v>52</v>
      </c>
      <c r="C711">
        <v>7326845</v>
      </c>
      <c r="D711" s="7">
        <f t="shared" si="27"/>
        <v>36634.224999999999</v>
      </c>
      <c r="E711" s="2">
        <f>VLOOKUP(A711,'2.09.2021'!A$3:'2.09.2021'!I$202,5,)</f>
        <v>44437</v>
      </c>
      <c r="F711" s="2">
        <v>44462</v>
      </c>
      <c r="G711" s="23">
        <f>VLOOKUP(A711,'2.09.2021'!A$3:'2.09.2021'!I$202,7,)</f>
        <v>0.13541666666666666</v>
      </c>
      <c r="H711" t="str">
        <f>VLOOKUP(A711,'2.09.2021'!A$3:'2.09.2021'!I$202,8,)</f>
        <v>HIP-HOP/RAP</v>
      </c>
      <c r="I711" t="str">
        <f>VLOOKUP(A711,'2.09.2021'!A$3:'2.09.2021'!I$202,9,)</f>
        <v>SUA</v>
      </c>
      <c r="J711" t="str">
        <f t="shared" si="28"/>
        <v>Nu</v>
      </c>
    </row>
    <row r="712" spans="1:10" x14ac:dyDescent="0.2">
      <c r="A712" t="s">
        <v>150</v>
      </c>
      <c r="B712" t="s">
        <v>151</v>
      </c>
      <c r="C712">
        <v>7291791</v>
      </c>
      <c r="D712" s="7">
        <f t="shared" si="27"/>
        <v>36458.955000000002</v>
      </c>
      <c r="E712" s="2">
        <f>VLOOKUP(A712,'2.09.2021'!A$3:'2.09.2021'!I$202,5,)</f>
        <v>44244</v>
      </c>
      <c r="F712" s="2">
        <v>44462</v>
      </c>
      <c r="G712" s="23">
        <f>VLOOKUP(A712,'2.09.2021'!A$3:'2.09.2021'!I$202,7,)</f>
        <v>0.1173611111111111</v>
      </c>
      <c r="H712" t="str">
        <f>VLOOKUP(A712,'2.09.2021'!A$3:'2.09.2021'!I$202,8,)</f>
        <v>LATIN URBAN</v>
      </c>
      <c r="I712" t="str">
        <f>VLOOKUP(A712,'2.09.2021'!A$3:'2.09.2021'!I$202,9,)</f>
        <v>Brazilia</v>
      </c>
      <c r="J712" t="str">
        <f t="shared" si="28"/>
        <v>Nu</v>
      </c>
    </row>
    <row r="713" spans="1:10" x14ac:dyDescent="0.2">
      <c r="A713" t="s">
        <v>444</v>
      </c>
      <c r="B713" t="s">
        <v>121</v>
      </c>
      <c r="C713">
        <v>7264709</v>
      </c>
      <c r="D713" s="7">
        <f t="shared" si="27"/>
        <v>36323.544999999998</v>
      </c>
      <c r="E713" s="2">
        <f>VLOOKUP(A713,'2.09.2021'!A$3:'2.09.2021'!I$202,5,)</f>
        <v>43945</v>
      </c>
      <c r="F713" s="2">
        <v>44462</v>
      </c>
      <c r="G713" s="23">
        <f>VLOOKUP(A713,'2.09.2021'!A$3:'2.09.2021'!I$202,7,)</f>
        <v>9.0277777777777776E-2</v>
      </c>
      <c r="H713" t="str">
        <f>VLOOKUP(A713,'2.09.2021'!A$3:'2.09.2021'!I$202,8,)</f>
        <v>R&amp;B/SOUL</v>
      </c>
      <c r="I713" t="str">
        <f>VLOOKUP(A713,'2.09.2021'!A$3:'2.09.2021'!I$202,9,)</f>
        <v>Canada</v>
      </c>
      <c r="J713" t="str">
        <f t="shared" si="28"/>
        <v>Da</v>
      </c>
    </row>
    <row r="714" spans="1:10" x14ac:dyDescent="0.2">
      <c r="A714" t="s">
        <v>155</v>
      </c>
      <c r="B714" t="s">
        <v>156</v>
      </c>
      <c r="C714">
        <v>7181875</v>
      </c>
      <c r="D714" s="7">
        <f t="shared" si="27"/>
        <v>35909.375</v>
      </c>
      <c r="E714" s="2">
        <f>VLOOKUP(A714,'2.09.2021'!A$3:'2.09.2021'!I$202,5,)</f>
        <v>44245</v>
      </c>
      <c r="F714" s="2">
        <v>44462</v>
      </c>
      <c r="G714" s="23">
        <f>VLOOKUP(A714,'2.09.2021'!A$3:'2.09.2021'!I$202,7,)</f>
        <v>0.10069444444444443</v>
      </c>
      <c r="H714" t="str">
        <f>VLOOKUP(A714,'2.09.2021'!A$3:'2.09.2021'!I$202,8,)</f>
        <v>RHYTHM &amp; BLUES</v>
      </c>
      <c r="I714" t="str">
        <f>VLOOKUP(A714,'2.09.2021'!A$3:'2.09.2021'!I$202,9,)</f>
        <v>SUA</v>
      </c>
      <c r="J714" t="str">
        <f t="shared" si="28"/>
        <v>Nu</v>
      </c>
    </row>
    <row r="715" spans="1:10" x14ac:dyDescent="0.2">
      <c r="A715" t="s">
        <v>146</v>
      </c>
      <c r="B715" t="s">
        <v>147</v>
      </c>
      <c r="C715">
        <v>7174720</v>
      </c>
      <c r="D715" s="7">
        <f t="shared" si="27"/>
        <v>35873.599999999999</v>
      </c>
      <c r="E715" s="2">
        <f>VLOOKUP(A715,'2.09.2021'!A$3:'2.09.2021'!I$202,5,)</f>
        <v>44370</v>
      </c>
      <c r="F715" s="2">
        <v>44462</v>
      </c>
      <c r="G715" s="23">
        <f>VLOOKUP(A715,'2.09.2021'!A$3:'2.09.2021'!I$202,7,)</f>
        <v>0.15972222222222224</v>
      </c>
      <c r="H715" t="str">
        <f>VLOOKUP(A715,'2.09.2021'!A$3:'2.09.2021'!I$202,8,)</f>
        <v>HIP-HOP/RAP</v>
      </c>
      <c r="I715" t="str">
        <f>VLOOKUP(A715,'2.09.2021'!A$3:'2.09.2021'!I$202,9,)</f>
        <v>SUA</v>
      </c>
      <c r="J715" t="str">
        <f t="shared" si="28"/>
        <v>Nu</v>
      </c>
    </row>
    <row r="716" spans="1:10" x14ac:dyDescent="0.2">
      <c r="A716" t="s">
        <v>321</v>
      </c>
      <c r="B716" t="s">
        <v>52</v>
      </c>
      <c r="C716">
        <v>7132248</v>
      </c>
      <c r="D716" s="7">
        <f t="shared" si="27"/>
        <v>35661.24</v>
      </c>
      <c r="E716" s="2">
        <f>VLOOKUP(A716,'2.09.2021'!A$3:'2.09.2021'!I$202,5,)</f>
        <v>44437</v>
      </c>
      <c r="F716" s="2">
        <v>44462</v>
      </c>
      <c r="G716" s="23">
        <f>VLOOKUP(A716,'2.09.2021'!A$3:'2.09.2021'!I$202,7,)</f>
        <v>0.12361111111111112</v>
      </c>
      <c r="H716" t="str">
        <f>VLOOKUP(A716,'2.09.2021'!A$3:'2.09.2021'!I$202,8,)</f>
        <v>HIP-HOP/RAP</v>
      </c>
      <c r="I716" t="str">
        <f>VLOOKUP(A716,'2.09.2021'!A$3:'2.09.2021'!I$202,9,)</f>
        <v>SUA</v>
      </c>
      <c r="J716" t="str">
        <f t="shared" si="28"/>
        <v>Nu</v>
      </c>
    </row>
    <row r="717" spans="1:10" x14ac:dyDescent="0.2">
      <c r="A717" t="s">
        <v>322</v>
      </c>
      <c r="B717" t="s">
        <v>52</v>
      </c>
      <c r="C717">
        <v>7103738</v>
      </c>
      <c r="D717" s="7">
        <f t="shared" si="27"/>
        <v>35518.69</v>
      </c>
      <c r="E717" s="2">
        <f>VLOOKUP(A717,'2.09.2021'!A$3:'2.09.2021'!I$202,5,)</f>
        <v>44437</v>
      </c>
      <c r="F717" s="2">
        <v>44462</v>
      </c>
      <c r="G717" s="23">
        <f>VLOOKUP(A717,'2.09.2021'!A$3:'2.09.2021'!I$202,7,)</f>
        <v>0.10069444444444443</v>
      </c>
      <c r="H717" t="str">
        <f>VLOOKUP(A717,'2.09.2021'!A$3:'2.09.2021'!I$202,8,)</f>
        <v>HIP-HOP/RAP</v>
      </c>
      <c r="I717" t="str">
        <f>VLOOKUP(A717,'2.09.2021'!A$3:'2.09.2021'!I$202,9,)</f>
        <v>SUA</v>
      </c>
      <c r="J717" t="str">
        <f t="shared" si="28"/>
        <v>Nu</v>
      </c>
    </row>
    <row r="718" spans="1:10" x14ac:dyDescent="0.2">
      <c r="A718" t="s">
        <v>170</v>
      </c>
      <c r="B718" t="s">
        <v>171</v>
      </c>
      <c r="C718">
        <v>7102072</v>
      </c>
      <c r="D718" s="7">
        <f t="shared" si="27"/>
        <v>35510.36</v>
      </c>
      <c r="E718" s="2">
        <f>VLOOKUP(A718,'2.09.2021'!A$3:'2.09.2021'!I$202,5,)</f>
        <v>44446</v>
      </c>
      <c r="F718" s="2">
        <v>44462</v>
      </c>
      <c r="G718" s="23">
        <f>VLOOKUP(A718,'2.09.2021'!A$3:'2.09.2021'!I$202,7,)</f>
        <v>9.5138888888888884E-2</v>
      </c>
      <c r="H718" t="str">
        <f>VLOOKUP(A718,'2.09.2021'!A$3:'2.09.2021'!I$202,8,)</f>
        <v>ALTERNATIVE</v>
      </c>
      <c r="I718" t="str">
        <f>VLOOKUP(A718,'2.09.2021'!A$3:'2.09.2021'!I$202,9,)</f>
        <v>SUA</v>
      </c>
      <c r="J718" t="str">
        <f t="shared" si="28"/>
        <v>Nu</v>
      </c>
    </row>
    <row r="719" spans="1:10" x14ac:dyDescent="0.2">
      <c r="A719" t="s">
        <v>323</v>
      </c>
      <c r="B719" t="s">
        <v>318</v>
      </c>
      <c r="C719">
        <v>7059474</v>
      </c>
      <c r="D719" s="7">
        <f t="shared" si="27"/>
        <v>35297.370000000003</v>
      </c>
      <c r="E719" s="2">
        <v>44384</v>
      </c>
      <c r="F719" s="2">
        <v>44462</v>
      </c>
      <c r="G719" s="23">
        <v>0.11458333333333333</v>
      </c>
      <c r="H719" t="s">
        <v>422</v>
      </c>
      <c r="I719" t="s">
        <v>487</v>
      </c>
      <c r="J719" t="str">
        <f t="shared" si="28"/>
        <v>Nu</v>
      </c>
    </row>
    <row r="720" spans="1:10" x14ac:dyDescent="0.2">
      <c r="A720" t="s">
        <v>272</v>
      </c>
      <c r="B720" t="s">
        <v>273</v>
      </c>
      <c r="C720">
        <v>7045385</v>
      </c>
      <c r="D720" s="7">
        <f t="shared" si="27"/>
        <v>35226.925000000003</v>
      </c>
      <c r="E720" s="2">
        <f>VLOOKUP(A720,'2.09.2021'!A$3:'2.09.2021'!I$202,5,)</f>
        <v>44360</v>
      </c>
      <c r="F720" s="2">
        <v>44462</v>
      </c>
      <c r="G720" s="23">
        <f>VLOOKUP(A720,'2.09.2021'!A$3:'2.09.2021'!I$202,7,)</f>
        <v>0.15694444444444444</v>
      </c>
      <c r="H720" t="str">
        <f>VLOOKUP(A720,'2.09.2021'!A$3:'2.09.2021'!I$202,8,)</f>
        <v>POP</v>
      </c>
      <c r="I720" t="str">
        <f>VLOOKUP(A720,'2.09.2021'!A$3:'2.09.2021'!I$202,9,)</f>
        <v>India</v>
      </c>
      <c r="J720" t="str">
        <f t="shared" si="28"/>
        <v>Nu</v>
      </c>
    </row>
    <row r="721" spans="1:10" x14ac:dyDescent="0.2">
      <c r="A721" t="s">
        <v>456</v>
      </c>
      <c r="B721" t="s">
        <v>324</v>
      </c>
      <c r="C721">
        <v>6936068</v>
      </c>
      <c r="D721" s="7">
        <f t="shared" si="27"/>
        <v>34680.340000000004</v>
      </c>
      <c r="E721" s="2">
        <f>VLOOKUP(A721,'2.09.2021'!A$3:'2.09.2021'!I$202,5,)</f>
        <v>44409</v>
      </c>
      <c r="F721" s="2">
        <v>44462</v>
      </c>
      <c r="G721" s="23">
        <f>VLOOKUP(A721,'2.09.2021'!A$3:'2.09.2021'!I$202,7,)</f>
        <v>8.5416666666666655E-2</v>
      </c>
      <c r="H721" t="str">
        <f>VLOOKUP(A721,'2.09.2021'!A$3:'2.09.2021'!I$202,8,)</f>
        <v>ROCK</v>
      </c>
      <c r="I721" t="str">
        <f>VLOOKUP(A721,'2.09.2021'!A$3:'2.09.2021'!I$202,9,)</f>
        <v>SUA</v>
      </c>
      <c r="J721" t="str">
        <f t="shared" si="28"/>
        <v>Da</v>
      </c>
    </row>
    <row r="722" spans="1:10" x14ac:dyDescent="0.2">
      <c r="A722" t="s">
        <v>325</v>
      </c>
      <c r="B722" t="s">
        <v>326</v>
      </c>
      <c r="C722">
        <v>6924282</v>
      </c>
      <c r="D722" s="7">
        <f t="shared" si="27"/>
        <v>34621.410000000003</v>
      </c>
      <c r="E722" s="2">
        <f>VLOOKUP(A722,'2.09.2021'!A$3:'2.09.2021'!I$202,5,)</f>
        <v>42909</v>
      </c>
      <c r="F722" s="2">
        <v>44462</v>
      </c>
      <c r="G722" s="23">
        <f>VLOOKUP(A722,'2.09.2021'!A$3:'2.09.2021'!I$202,7,)</f>
        <v>0.13749999999999998</v>
      </c>
      <c r="H722" t="str">
        <f>VLOOKUP(A722,'2.09.2021'!A$3:'2.09.2021'!I$202,8,)</f>
        <v>RHYTHM &amp; BLUES</v>
      </c>
      <c r="I722" t="str">
        <f>VLOOKUP(A722,'2.09.2021'!A$3:'2.09.2021'!I$202,9,)</f>
        <v>Brazilia</v>
      </c>
      <c r="J722" t="str">
        <f t="shared" si="28"/>
        <v>Nu</v>
      </c>
    </row>
    <row r="723" spans="1:10" x14ac:dyDescent="0.2">
      <c r="A723" t="s">
        <v>130</v>
      </c>
      <c r="B723" t="s">
        <v>23</v>
      </c>
      <c r="C723">
        <v>6909297</v>
      </c>
      <c r="D723" s="7">
        <f t="shared" si="27"/>
        <v>34546.485000000001</v>
      </c>
      <c r="E723" s="2">
        <f>VLOOKUP(A723,'2.09.2021'!A$3:'2.09.2021'!I$202,5,)</f>
        <v>44385</v>
      </c>
      <c r="F723" s="2">
        <v>44462</v>
      </c>
      <c r="G723" s="23">
        <f>VLOOKUP(A723,'2.09.2021'!A$3:'2.09.2021'!I$202,7,)</f>
        <v>0.16805555555555554</v>
      </c>
      <c r="H723" t="str">
        <f>VLOOKUP(A723,'2.09.2021'!A$3:'2.09.2021'!I$202,8,)</f>
        <v>LATIN URBAN</v>
      </c>
      <c r="I723" t="str">
        <f>VLOOKUP(A723,'2.09.2021'!A$3:'2.09.2021'!I$202,9,)</f>
        <v>SUA</v>
      </c>
      <c r="J723" t="str">
        <f t="shared" si="28"/>
        <v>Da</v>
      </c>
    </row>
    <row r="724" spans="1:10" x14ac:dyDescent="0.2">
      <c r="A724" t="s">
        <v>453</v>
      </c>
      <c r="B724" t="s">
        <v>20</v>
      </c>
      <c r="C724">
        <v>6880532</v>
      </c>
      <c r="D724" s="7">
        <f t="shared" si="27"/>
        <v>34402.660000000003</v>
      </c>
      <c r="E724" s="2">
        <f>VLOOKUP(A724,'2.09.2021'!A$3:'2.09.2021'!I$202,5,)</f>
        <v>44381</v>
      </c>
      <c r="F724" s="2">
        <v>44462</v>
      </c>
      <c r="G724" s="23">
        <f>VLOOKUP(A724,'2.09.2021'!A$3:'2.09.2021'!I$202,7,)</f>
        <v>0.14444444444444446</v>
      </c>
      <c r="H724" t="str">
        <f>VLOOKUP(A724,'2.09.2021'!A$3:'2.09.2021'!I$202,8,)</f>
        <v>HIP-HOP/RAP</v>
      </c>
      <c r="I724" t="str">
        <f>VLOOKUP(A724,'2.09.2021'!A$3:'2.09.2021'!I$202,9,)</f>
        <v>Canada</v>
      </c>
      <c r="J724" t="str">
        <f t="shared" si="28"/>
        <v>Da</v>
      </c>
    </row>
    <row r="725" spans="1:10" x14ac:dyDescent="0.2">
      <c r="A725" t="s">
        <v>161</v>
      </c>
      <c r="B725" t="s">
        <v>162</v>
      </c>
      <c r="C725">
        <v>6865146</v>
      </c>
      <c r="D725" s="7">
        <f t="shared" si="27"/>
        <v>34325.729999999996</v>
      </c>
      <c r="E725" s="2">
        <f>VLOOKUP(A725,'2.09.2021'!A$3:'2.09.2021'!I$202,5,)</f>
        <v>44408</v>
      </c>
      <c r="F725" s="2">
        <v>44462</v>
      </c>
      <c r="G725" s="23">
        <f>VLOOKUP(A725,'2.09.2021'!A$3:'2.09.2021'!I$202,7,)</f>
        <v>0.15277777777777776</v>
      </c>
      <c r="H725" t="str">
        <f>VLOOKUP(A725,'2.09.2021'!A$3:'2.09.2021'!I$202,8,)</f>
        <v>HIP-HOP/RAP</v>
      </c>
      <c r="I725" t="str">
        <f>VLOOKUP(A725,'2.09.2021'!A$3:'2.09.2021'!I$202,9,)</f>
        <v>Australia</v>
      </c>
      <c r="J725" t="str">
        <f t="shared" si="28"/>
        <v>Nu</v>
      </c>
    </row>
    <row r="726" spans="1:10" x14ac:dyDescent="0.2">
      <c r="A726" t="s">
        <v>221</v>
      </c>
      <c r="B726" t="s">
        <v>222</v>
      </c>
      <c r="C726">
        <v>6859659</v>
      </c>
      <c r="D726" s="7">
        <f t="shared" si="27"/>
        <v>34298.294999999998</v>
      </c>
      <c r="E726" s="2">
        <f>VLOOKUP(A726,'2.09.2021'!A$3:'2.09.2021'!I$202,5,)</f>
        <v>44286</v>
      </c>
      <c r="F726" s="2">
        <v>44462</v>
      </c>
      <c r="G726" s="23">
        <f>VLOOKUP(A726,'2.09.2021'!A$3:'2.09.2021'!I$202,7,)</f>
        <v>8.8888888888888892E-2</v>
      </c>
      <c r="H726" t="str">
        <f>VLOOKUP(A726,'2.09.2021'!A$3:'2.09.2021'!I$202,8,)</f>
        <v>HIP-HOP/RAP</v>
      </c>
      <c r="I726" t="str">
        <f>VLOOKUP(A726,'2.09.2021'!A$3:'2.09.2021'!I$202,9,)</f>
        <v>Brazilia</v>
      </c>
      <c r="J726" t="str">
        <f t="shared" si="28"/>
        <v>Nu</v>
      </c>
    </row>
    <row r="727" spans="1:10" x14ac:dyDescent="0.2">
      <c r="A727" t="s">
        <v>157</v>
      </c>
      <c r="B727" t="s">
        <v>158</v>
      </c>
      <c r="C727">
        <v>6850165</v>
      </c>
      <c r="D727" s="7">
        <f t="shared" si="27"/>
        <v>34250.824999999997</v>
      </c>
      <c r="E727" s="2">
        <f>VLOOKUP(A727,'2.09.2021'!A$3:'2.09.2021'!I$202,5,)</f>
        <v>44245</v>
      </c>
      <c r="F727" s="2">
        <v>44462</v>
      </c>
      <c r="G727" s="23">
        <f>VLOOKUP(A727,'2.09.2021'!A$3:'2.09.2021'!I$202,7,)</f>
        <v>0.14305555555555557</v>
      </c>
      <c r="H727" t="str">
        <f>VLOOKUP(A727,'2.09.2021'!A$3:'2.09.2021'!I$202,8,)</f>
        <v>POP</v>
      </c>
      <c r="I727" t="str">
        <f>VLOOKUP(A727,'2.09.2021'!A$3:'2.09.2021'!I$202,9,)</f>
        <v>SUA</v>
      </c>
      <c r="J727" t="str">
        <f t="shared" si="28"/>
        <v>Nu</v>
      </c>
    </row>
    <row r="728" spans="1:10" x14ac:dyDescent="0.2">
      <c r="A728" t="s">
        <v>153</v>
      </c>
      <c r="B728" t="s">
        <v>154</v>
      </c>
      <c r="C728">
        <v>6819373</v>
      </c>
      <c r="D728" s="7">
        <f t="shared" si="27"/>
        <v>34096.864999999998</v>
      </c>
      <c r="E728" s="2">
        <f>VLOOKUP(A728,'2.09.2021'!A$3:'2.09.2021'!I$202,5,)</f>
        <v>44307</v>
      </c>
      <c r="F728" s="2">
        <v>44462</v>
      </c>
      <c r="G728" s="23">
        <f>VLOOKUP(A728,'2.09.2021'!A$3:'2.09.2021'!I$202,7,)</f>
        <v>0.15069444444444444</v>
      </c>
      <c r="H728" t="str">
        <f>VLOOKUP(A728,'2.09.2021'!A$3:'2.09.2021'!I$202,8,)</f>
        <v>POP</v>
      </c>
      <c r="I728" t="str">
        <f>VLOOKUP(A728,'2.09.2021'!A$3:'2.09.2021'!I$202,9,)</f>
        <v>SUA</v>
      </c>
      <c r="J728" t="str">
        <f t="shared" si="28"/>
        <v>Nu</v>
      </c>
    </row>
    <row r="729" spans="1:10" x14ac:dyDescent="0.2">
      <c r="A729" t="s">
        <v>152</v>
      </c>
      <c r="B729" t="s">
        <v>106</v>
      </c>
      <c r="C729">
        <v>6744648</v>
      </c>
      <c r="D729" s="7">
        <f t="shared" si="27"/>
        <v>33723.24</v>
      </c>
      <c r="E729" s="2">
        <f>VLOOKUP(A729,'2.09.2021'!A$3:'2.09.2021'!I$202,5,)</f>
        <v>44226</v>
      </c>
      <c r="F729" s="2">
        <v>44462</v>
      </c>
      <c r="G729" s="23">
        <f>VLOOKUP(A729,'2.09.2021'!A$3:'2.09.2021'!I$202,7,)</f>
        <v>0.13541666666666666</v>
      </c>
      <c r="H729" t="str">
        <f>VLOOKUP(A729,'2.09.2021'!A$3:'2.09.2021'!I$202,8,)</f>
        <v>HIP-HOP/RAP</v>
      </c>
      <c r="I729" t="str">
        <f>VLOOKUP(A729,'2.09.2021'!A$3:'2.09.2021'!I$202,9,)</f>
        <v>Scoția</v>
      </c>
      <c r="J729" t="str">
        <f t="shared" si="28"/>
        <v>Nu</v>
      </c>
    </row>
    <row r="730" spans="1:10" x14ac:dyDescent="0.2">
      <c r="A730" t="s">
        <v>220</v>
      </c>
      <c r="B730" t="s">
        <v>215</v>
      </c>
      <c r="C730">
        <v>6665219</v>
      </c>
      <c r="D730" s="7">
        <f t="shared" si="27"/>
        <v>33326.095000000001</v>
      </c>
      <c r="E730" s="2">
        <f>VLOOKUP(A730,'2.09.2021'!A$3:'2.09.2021'!I$202,5,)</f>
        <v>44412</v>
      </c>
      <c r="F730" s="2">
        <v>44462</v>
      </c>
      <c r="G730" s="23">
        <f>VLOOKUP(A730,'2.09.2021'!A$3:'2.09.2021'!I$202,7,)</f>
        <v>0.1673611111111111</v>
      </c>
      <c r="H730" t="str">
        <f>VLOOKUP(A730,'2.09.2021'!A$3:'2.09.2021'!I$202,8,)</f>
        <v>POP</v>
      </c>
      <c r="I730" t="str">
        <f>VLOOKUP(A730,'2.09.2021'!A$3:'2.09.2021'!I$202,9,)</f>
        <v>Puerto Rico</v>
      </c>
      <c r="J730" t="str">
        <f t="shared" si="28"/>
        <v>Nu</v>
      </c>
    </row>
    <row r="731" spans="1:10" x14ac:dyDescent="0.2">
      <c r="A731" t="s">
        <v>179</v>
      </c>
      <c r="B731" t="s">
        <v>180</v>
      </c>
      <c r="C731">
        <v>6636958</v>
      </c>
      <c r="D731" s="7">
        <f t="shared" ref="D731:D794" si="29">(C731/1000*5)</f>
        <v>33184.79</v>
      </c>
      <c r="E731" s="2">
        <f>VLOOKUP(A731,'2.09.2021'!A$3:'2.09.2021'!I$202,5,)</f>
        <v>44303</v>
      </c>
      <c r="F731" s="2">
        <v>44462</v>
      </c>
      <c r="G731" s="23">
        <f>VLOOKUP(A731,'2.09.2021'!A$3:'2.09.2021'!I$202,7,)</f>
        <v>0.15902777777777777</v>
      </c>
      <c r="H731" t="str">
        <f>VLOOKUP(A731,'2.09.2021'!A$3:'2.09.2021'!I$202,8,)</f>
        <v>HIP-HOP/RAP</v>
      </c>
      <c r="I731" t="str">
        <f>VLOOKUP(A731,'2.09.2021'!A$3:'2.09.2021'!I$202,9,)</f>
        <v>Olanda</v>
      </c>
      <c r="J731" t="str">
        <f t="shared" si="28"/>
        <v>Nu</v>
      </c>
    </row>
    <row r="732" spans="1:10" x14ac:dyDescent="0.2">
      <c r="A732" t="s">
        <v>327</v>
      </c>
      <c r="B732" t="s">
        <v>52</v>
      </c>
      <c r="C732">
        <v>6632754</v>
      </c>
      <c r="D732" s="7">
        <f t="shared" si="29"/>
        <v>33163.769999999997</v>
      </c>
      <c r="E732" s="2">
        <f>VLOOKUP(A732,'2.09.2021'!A$3:'2.09.2021'!I$202,5,)</f>
        <v>44437</v>
      </c>
      <c r="F732" s="2">
        <v>44462</v>
      </c>
      <c r="G732" s="23">
        <f>VLOOKUP(A732,'2.09.2021'!A$3:'2.09.2021'!I$202,7,)</f>
        <v>0.14097222222222222</v>
      </c>
      <c r="H732" t="str">
        <f>VLOOKUP(A732,'2.09.2021'!A$3:'2.09.2021'!I$202,8,)</f>
        <v>HIP-HOP/RAP</v>
      </c>
      <c r="I732" t="str">
        <f>VLOOKUP(A732,'2.09.2021'!A$3:'2.09.2021'!I$202,9,)</f>
        <v>SUA</v>
      </c>
      <c r="J732" t="str">
        <f t="shared" si="28"/>
        <v>Nu</v>
      </c>
    </row>
    <row r="733" spans="1:10" x14ac:dyDescent="0.2">
      <c r="A733" t="s">
        <v>194</v>
      </c>
      <c r="B733" t="s">
        <v>12</v>
      </c>
      <c r="C733">
        <v>6625929</v>
      </c>
      <c r="D733" s="7">
        <f t="shared" si="29"/>
        <v>33129.645000000004</v>
      </c>
      <c r="E733" s="2">
        <f>VLOOKUP(A733,'2.09.2021'!A$3:'2.09.2021'!I$202,5,)</f>
        <v>44262</v>
      </c>
      <c r="F733" s="2">
        <v>44462</v>
      </c>
      <c r="G733" s="23">
        <f>VLOOKUP(A733,'2.09.2021'!A$3:'2.09.2021'!I$202,7,)</f>
        <v>0.10833333333333334</v>
      </c>
      <c r="H733" t="str">
        <f>VLOOKUP(A733,'2.09.2021'!A$3:'2.09.2021'!I$202,8,)</f>
        <v>LATIN URBAN</v>
      </c>
      <c r="I733" t="str">
        <f>VLOOKUP(A733,'2.09.2021'!A$3:'2.09.2021'!I$202,9,)</f>
        <v>SUA</v>
      </c>
      <c r="J733" t="str">
        <f t="shared" si="28"/>
        <v>Nu</v>
      </c>
    </row>
    <row r="734" spans="1:10" x14ac:dyDescent="0.2">
      <c r="A734" t="s">
        <v>163</v>
      </c>
      <c r="B734" t="s">
        <v>164</v>
      </c>
      <c r="C734">
        <v>6613583</v>
      </c>
      <c r="D734" s="7">
        <f t="shared" si="29"/>
        <v>33067.915000000001</v>
      </c>
      <c r="E734" s="2">
        <f>VLOOKUP(A734,'2.09.2021'!A$3:'2.09.2021'!I$202,5,)</f>
        <v>44412</v>
      </c>
      <c r="F734" s="2">
        <v>44462</v>
      </c>
      <c r="G734" s="23">
        <f>VLOOKUP(A734,'2.09.2021'!A$3:'2.09.2021'!I$202,7,)</f>
        <v>0.10069444444444443</v>
      </c>
      <c r="H734" t="str">
        <f>VLOOKUP(A734,'2.09.2021'!A$3:'2.09.2021'!I$202,8,)</f>
        <v>HIP-HOP/RAP</v>
      </c>
      <c r="I734" t="str">
        <f>VLOOKUP(A734,'2.09.2021'!A$3:'2.09.2021'!I$202,9,)</f>
        <v>SUA</v>
      </c>
      <c r="J734" t="str">
        <f t="shared" si="28"/>
        <v>Nu</v>
      </c>
    </row>
    <row r="735" spans="1:10" x14ac:dyDescent="0.2">
      <c r="A735" t="s">
        <v>136</v>
      </c>
      <c r="B735" t="s">
        <v>10</v>
      </c>
      <c r="C735">
        <v>6549237</v>
      </c>
      <c r="D735" s="7">
        <f t="shared" si="29"/>
        <v>32746.185000000001</v>
      </c>
      <c r="E735" s="2">
        <f>VLOOKUP(A735,'2.09.2021'!A$3:'2.09.2021'!I$202,5,)</f>
        <v>44240</v>
      </c>
      <c r="F735" s="2">
        <v>44462</v>
      </c>
      <c r="G735" s="23">
        <f>VLOOKUP(A735,'2.09.2021'!A$3:'2.09.2021'!I$202,7,)</f>
        <v>0.13958333333333334</v>
      </c>
      <c r="H735" t="str">
        <f>VLOOKUP(A735,'2.09.2021'!A$3:'2.09.2021'!I$202,8,)</f>
        <v>POP</v>
      </c>
      <c r="I735" t="str">
        <f>VLOOKUP(A735,'2.09.2021'!A$3:'2.09.2021'!I$202,9,)</f>
        <v>Marea Britanie</v>
      </c>
      <c r="J735" t="str">
        <f t="shared" si="28"/>
        <v>Nu</v>
      </c>
    </row>
    <row r="736" spans="1:10" x14ac:dyDescent="0.2">
      <c r="A736" t="s">
        <v>328</v>
      </c>
      <c r="B736" t="s">
        <v>329</v>
      </c>
      <c r="C736">
        <v>6548822</v>
      </c>
      <c r="D736" s="7">
        <f t="shared" si="29"/>
        <v>32744.11</v>
      </c>
      <c r="E736" s="2">
        <v>44339</v>
      </c>
      <c r="F736" s="2">
        <v>44462</v>
      </c>
      <c r="G736" s="23">
        <v>0.26458333333333334</v>
      </c>
      <c r="H736" t="s">
        <v>423</v>
      </c>
      <c r="I736" t="s">
        <v>468</v>
      </c>
      <c r="J736" t="str">
        <f t="shared" si="28"/>
        <v>Nu</v>
      </c>
    </row>
    <row r="737" spans="1:10" x14ac:dyDescent="0.2">
      <c r="A737" t="s">
        <v>452</v>
      </c>
      <c r="B737" t="s">
        <v>233</v>
      </c>
      <c r="C737">
        <v>6544280</v>
      </c>
      <c r="D737" s="7">
        <f t="shared" si="29"/>
        <v>32721.399999999998</v>
      </c>
      <c r="E737" s="2">
        <f>VLOOKUP(A737,'2.09.2021'!A$3:'2.09.2021'!I$202,5,)</f>
        <v>44341</v>
      </c>
      <c r="F737" s="2">
        <v>44462</v>
      </c>
      <c r="G737" s="23">
        <f>VLOOKUP(A737,'2.09.2021'!A$3:'2.09.2021'!I$202,7,)</f>
        <v>0.14097222222222222</v>
      </c>
      <c r="H737" t="str">
        <f>VLOOKUP(A737,'2.09.2021'!A$3:'2.09.2021'!I$202,8,)</f>
        <v>HIP-HOP/RAP</v>
      </c>
      <c r="I737" t="str">
        <f>VLOOKUP(A737,'2.09.2021'!A$3:'2.09.2021'!I$202,9,)</f>
        <v>SUA</v>
      </c>
      <c r="J737" t="str">
        <f t="shared" si="28"/>
        <v>Da</v>
      </c>
    </row>
    <row r="738" spans="1:10" x14ac:dyDescent="0.2">
      <c r="A738" t="s">
        <v>249</v>
      </c>
      <c r="B738" t="s">
        <v>250</v>
      </c>
      <c r="C738">
        <v>6481155</v>
      </c>
      <c r="D738" s="7">
        <f t="shared" si="29"/>
        <v>32405.774999999998</v>
      </c>
      <c r="E738" s="2">
        <f>VLOOKUP(A738,'2.09.2021'!A$3:'2.09.2021'!I$202,5,)</f>
        <v>44340</v>
      </c>
      <c r="F738" s="2">
        <v>44462</v>
      </c>
      <c r="G738" s="23">
        <f>VLOOKUP(A738,'2.09.2021'!A$3:'2.09.2021'!I$202,7,)</f>
        <v>0.23541666666666669</v>
      </c>
      <c r="H738" t="str">
        <f>VLOOKUP(A738,'2.09.2021'!A$3:'2.09.2021'!I$202,8,)</f>
        <v>LATIN URBAN</v>
      </c>
      <c r="I738" t="str">
        <f>VLOOKUP(A738,'2.09.2021'!A$3:'2.09.2021'!I$202,9,)</f>
        <v>Suedia</v>
      </c>
      <c r="J738" t="str">
        <f t="shared" si="28"/>
        <v>Da</v>
      </c>
    </row>
    <row r="739" spans="1:10" x14ac:dyDescent="0.2">
      <c r="A739" t="s">
        <v>330</v>
      </c>
      <c r="B739" t="s">
        <v>10</v>
      </c>
      <c r="C739">
        <v>6479386</v>
      </c>
      <c r="D739" s="7">
        <f t="shared" si="29"/>
        <v>32396.93</v>
      </c>
      <c r="E739" s="2">
        <f>VLOOKUP(A739,'2.09.2021'!A$3:'2.09.2021'!I$202,5,)</f>
        <v>44254</v>
      </c>
      <c r="F739" s="2">
        <v>44462</v>
      </c>
      <c r="G739" s="23">
        <f>VLOOKUP(A739,'2.09.2021'!A$3:'2.09.2021'!I$202,7,)</f>
        <v>0.14722222222222223</v>
      </c>
      <c r="H739" t="str">
        <f>VLOOKUP(A739,'2.09.2021'!A$3:'2.09.2021'!I$202,8,)</f>
        <v>POP</v>
      </c>
      <c r="I739" t="str">
        <f>VLOOKUP(A739,'2.09.2021'!A$3:'2.09.2021'!I$202,9,)</f>
        <v>Marea Britanie</v>
      </c>
      <c r="J739" t="str">
        <f t="shared" si="28"/>
        <v>Nu</v>
      </c>
    </row>
    <row r="740" spans="1:10" x14ac:dyDescent="0.2">
      <c r="A740" t="s">
        <v>172</v>
      </c>
      <c r="B740" t="s">
        <v>173</v>
      </c>
      <c r="C740">
        <v>6467218</v>
      </c>
      <c r="D740" s="7">
        <f t="shared" si="29"/>
        <v>32336.09</v>
      </c>
      <c r="E740" s="2">
        <f>VLOOKUP(A740,'2.09.2021'!A$3:'2.09.2021'!I$202,5,)</f>
        <v>44227</v>
      </c>
      <c r="F740" s="2">
        <v>44462</v>
      </c>
      <c r="G740" s="23">
        <f>VLOOKUP(A740,'2.09.2021'!A$3:'2.09.2021'!I$202,7,)</f>
        <v>0.23124999999999998</v>
      </c>
      <c r="H740" t="str">
        <f>VLOOKUP(A740,'2.09.2021'!A$3:'2.09.2021'!I$202,8,)</f>
        <v>HIP-HOP/RAP</v>
      </c>
      <c r="I740" t="str">
        <f>VLOOKUP(A740,'2.09.2021'!A$3:'2.09.2021'!I$202,9,)</f>
        <v>SUA</v>
      </c>
      <c r="J740" t="str">
        <f t="shared" si="28"/>
        <v>Nu</v>
      </c>
    </row>
    <row r="741" spans="1:10" x14ac:dyDescent="0.2">
      <c r="A741" t="s">
        <v>197</v>
      </c>
      <c r="B741" t="s">
        <v>1</v>
      </c>
      <c r="C741">
        <v>6422603</v>
      </c>
      <c r="D741" s="7">
        <f t="shared" si="29"/>
        <v>32113.014999999999</v>
      </c>
      <c r="E741" s="2">
        <f>VLOOKUP(A741,'2.09.2021'!A$3:'2.09.2021'!I$202,5,)</f>
        <v>44243</v>
      </c>
      <c r="F741" s="2">
        <v>44462</v>
      </c>
      <c r="G741" s="23">
        <f>VLOOKUP(A741,'2.09.2021'!A$3:'2.09.2021'!I$202,7,)</f>
        <v>0.11388888888888889</v>
      </c>
      <c r="H741" t="str">
        <f>VLOOKUP(A741,'2.09.2021'!A$3:'2.09.2021'!I$202,8,)</f>
        <v>LATIN URBAN</v>
      </c>
      <c r="I741" t="str">
        <f>VLOOKUP(A741,'2.09.2021'!A$3:'2.09.2021'!I$202,9,)</f>
        <v>Australia</v>
      </c>
      <c r="J741" t="str">
        <f t="shared" si="28"/>
        <v>Da</v>
      </c>
    </row>
    <row r="742" spans="1:10" x14ac:dyDescent="0.2">
      <c r="A742" t="s">
        <v>168</v>
      </c>
      <c r="B742" t="s">
        <v>158</v>
      </c>
      <c r="C742">
        <v>6408406</v>
      </c>
      <c r="D742" s="7">
        <f t="shared" si="29"/>
        <v>32042.03</v>
      </c>
      <c r="E742" s="2">
        <f>VLOOKUP(A742,'2.09.2021'!A$3:'2.09.2021'!I$202,5,)</f>
        <v>44464</v>
      </c>
      <c r="F742" s="2">
        <v>44462</v>
      </c>
      <c r="G742" s="23">
        <f>VLOOKUP(A742,'2.09.2021'!A$3:'2.09.2021'!I$202,7,)</f>
        <v>0.12361111111111112</v>
      </c>
      <c r="H742" t="str">
        <f>VLOOKUP(A742,'2.09.2021'!A$3:'2.09.2021'!I$202,8,)</f>
        <v>LATIN URBAN</v>
      </c>
      <c r="I742" t="str">
        <f>VLOOKUP(A742,'2.09.2021'!A$3:'2.09.2021'!I$202,9,)</f>
        <v>SUA</v>
      </c>
      <c r="J742" t="str">
        <f t="shared" si="28"/>
        <v>Nu</v>
      </c>
    </row>
    <row r="743" spans="1:10" x14ac:dyDescent="0.2">
      <c r="A743" t="s">
        <v>218</v>
      </c>
      <c r="B743" t="s">
        <v>219</v>
      </c>
      <c r="C743">
        <v>6401330</v>
      </c>
      <c r="D743" s="7">
        <f t="shared" si="29"/>
        <v>32006.65</v>
      </c>
      <c r="E743" s="2">
        <f>VLOOKUP(A743,'2.09.2021'!A$3:'2.09.2021'!I$202,5,)</f>
        <v>44320</v>
      </c>
      <c r="F743" s="2">
        <v>44462</v>
      </c>
      <c r="G743" s="23">
        <f>VLOOKUP(A743,'2.09.2021'!A$3:'2.09.2021'!I$202,7,)</f>
        <v>0.18958333333333333</v>
      </c>
      <c r="H743" t="str">
        <f>VLOOKUP(A743,'2.09.2021'!A$3:'2.09.2021'!I$202,8,)</f>
        <v>POP</v>
      </c>
      <c r="I743" t="str">
        <f>VLOOKUP(A743,'2.09.2021'!A$3:'2.09.2021'!I$202,9,)</f>
        <v>Puerto Rico</v>
      </c>
      <c r="J743" t="str">
        <f t="shared" si="28"/>
        <v>Nu</v>
      </c>
    </row>
    <row r="744" spans="1:10" x14ac:dyDescent="0.2">
      <c r="A744" t="s">
        <v>186</v>
      </c>
      <c r="B744" t="s">
        <v>38</v>
      </c>
      <c r="C744">
        <v>6362178</v>
      </c>
      <c r="D744" s="7">
        <f t="shared" si="29"/>
        <v>31810.89</v>
      </c>
      <c r="E744" s="2">
        <f>VLOOKUP(A744,'2.09.2021'!A$3:'2.09.2021'!I$202,5,)</f>
        <v>44315</v>
      </c>
      <c r="F744" s="2">
        <v>44462</v>
      </c>
      <c r="G744" s="23">
        <f>VLOOKUP(A744,'2.09.2021'!A$3:'2.09.2021'!I$202,7,)</f>
        <v>0.14097222222222222</v>
      </c>
      <c r="H744" t="str">
        <f>VLOOKUP(A744,'2.09.2021'!A$3:'2.09.2021'!I$202,8,)</f>
        <v>LATIN URBAN</v>
      </c>
      <c r="I744" t="str">
        <f>VLOOKUP(A744,'2.09.2021'!A$3:'2.09.2021'!I$202,9,)</f>
        <v>Marea Britanie</v>
      </c>
      <c r="J744" t="str">
        <f t="shared" si="28"/>
        <v>Nu</v>
      </c>
    </row>
    <row r="745" spans="1:10" x14ac:dyDescent="0.2">
      <c r="A745" t="s">
        <v>331</v>
      </c>
      <c r="B745" t="s">
        <v>288</v>
      </c>
      <c r="C745">
        <v>6356257</v>
      </c>
      <c r="D745" s="7">
        <f t="shared" si="29"/>
        <v>31781.284999999996</v>
      </c>
      <c r="E745" s="2">
        <f>VLOOKUP(A745,'2.09.2021'!A$3:'2.09.2021'!I$202,5,)</f>
        <v>44346</v>
      </c>
      <c r="F745" s="2">
        <v>44462</v>
      </c>
      <c r="G745" s="23">
        <f>VLOOKUP(A745,'2.09.2021'!A$3:'2.09.2021'!I$202,7,)</f>
        <v>0.14722222222222223</v>
      </c>
      <c r="H745" t="str">
        <f>VLOOKUP(A745,'2.09.2021'!A$3:'2.09.2021'!I$202,8,)</f>
        <v>LATIN URBAN</v>
      </c>
      <c r="I745" t="str">
        <f>VLOOKUP(A745,'2.09.2021'!A$3:'2.09.2021'!I$202,9,)</f>
        <v>Brazilia</v>
      </c>
      <c r="J745" t="str">
        <f t="shared" si="28"/>
        <v>Nu</v>
      </c>
    </row>
    <row r="746" spans="1:10" x14ac:dyDescent="0.2">
      <c r="A746" t="s">
        <v>332</v>
      </c>
      <c r="B746" t="s">
        <v>52</v>
      </c>
      <c r="C746">
        <v>6354920</v>
      </c>
      <c r="D746" s="7">
        <f t="shared" si="29"/>
        <v>31774.6</v>
      </c>
      <c r="E746" s="2">
        <f>VLOOKUP(A746,'2.09.2021'!A$3:'2.09.2021'!I$202,5,)</f>
        <v>44437</v>
      </c>
      <c r="F746" s="2">
        <v>44462</v>
      </c>
      <c r="G746" s="23">
        <f>VLOOKUP(A746,'2.09.2021'!A$3:'2.09.2021'!I$202,7,)</f>
        <v>0.24861111111111112</v>
      </c>
      <c r="H746" t="str">
        <f>VLOOKUP(A746,'2.09.2021'!A$3:'2.09.2021'!I$202,8,)</f>
        <v>HIP-HOP/RAP</v>
      </c>
      <c r="I746" t="str">
        <f>VLOOKUP(A746,'2.09.2021'!A$3:'2.09.2021'!I$202,9,)</f>
        <v>SUA</v>
      </c>
      <c r="J746" t="str">
        <f t="shared" si="28"/>
        <v>Nu</v>
      </c>
    </row>
    <row r="747" spans="1:10" x14ac:dyDescent="0.2">
      <c r="A747" t="s">
        <v>333</v>
      </c>
      <c r="B747" t="s">
        <v>334</v>
      </c>
      <c r="C747">
        <v>6352131</v>
      </c>
      <c r="D747" s="7">
        <f t="shared" si="29"/>
        <v>31760.655000000002</v>
      </c>
      <c r="E747" s="2">
        <f>VLOOKUP(A747,'2.09.2021'!A$3:'2.09.2021'!I$202,5,)</f>
        <v>44351</v>
      </c>
      <c r="F747" s="2">
        <v>44462</v>
      </c>
      <c r="G747" s="23">
        <f>VLOOKUP(A747,'2.09.2021'!A$3:'2.09.2021'!I$202,7,)</f>
        <v>0.11458333333333333</v>
      </c>
      <c r="H747" t="str">
        <f>VLOOKUP(A747,'2.09.2021'!A$3:'2.09.2021'!I$202,8,)</f>
        <v>HIP-HOP/RAP</v>
      </c>
      <c r="I747" t="str">
        <f>VLOOKUP(A747,'2.09.2021'!A$3:'2.09.2021'!I$202,9,)</f>
        <v>Brazilia</v>
      </c>
      <c r="J747" t="str">
        <f t="shared" si="28"/>
        <v>Nu</v>
      </c>
    </row>
    <row r="748" spans="1:10" x14ac:dyDescent="0.2">
      <c r="A748" t="s">
        <v>169</v>
      </c>
      <c r="B748" t="s">
        <v>10</v>
      </c>
      <c r="C748">
        <v>6343313</v>
      </c>
      <c r="D748" s="7">
        <f t="shared" si="29"/>
        <v>31716.565000000002</v>
      </c>
      <c r="E748" s="2">
        <f>VLOOKUP(A748,'2.09.2021'!A$3:'2.09.2021'!I$202,5,)</f>
        <v>44309</v>
      </c>
      <c r="F748" s="2">
        <v>44462</v>
      </c>
      <c r="G748" s="23">
        <f>VLOOKUP(A748,'2.09.2021'!A$3:'2.09.2021'!I$202,7,)</f>
        <v>0.1076388888888889</v>
      </c>
      <c r="H748" t="str">
        <f>VLOOKUP(A748,'2.09.2021'!A$3:'2.09.2021'!I$202,8,)</f>
        <v>LATIN URBAN</v>
      </c>
      <c r="I748" t="str">
        <f>VLOOKUP(A748,'2.09.2021'!A$3:'2.09.2021'!I$202,9,)</f>
        <v>Marea Britanie</v>
      </c>
      <c r="J748" t="str">
        <f t="shared" si="28"/>
        <v>Nu</v>
      </c>
    </row>
    <row r="749" spans="1:10" x14ac:dyDescent="0.2">
      <c r="A749" t="s">
        <v>236</v>
      </c>
      <c r="B749" t="s">
        <v>17</v>
      </c>
      <c r="C749">
        <v>6338064</v>
      </c>
      <c r="D749" s="7">
        <f t="shared" si="29"/>
        <v>31690.32</v>
      </c>
      <c r="E749" s="2">
        <f>VLOOKUP(A749,'2.09.2021'!A$3:'2.09.2021'!I$202,5,)</f>
        <v>44347</v>
      </c>
      <c r="F749" s="2">
        <v>44462</v>
      </c>
      <c r="G749" s="23">
        <f>VLOOKUP(A749,'2.09.2021'!A$3:'2.09.2021'!I$202,7,)</f>
        <v>0.12013888888888889</v>
      </c>
      <c r="H749" t="str">
        <f>VLOOKUP(A749,'2.09.2021'!A$3:'2.09.2021'!I$202,8,)</f>
        <v>HIP-HOP/RAP</v>
      </c>
      <c r="I749" t="str">
        <f>VLOOKUP(A749,'2.09.2021'!A$3:'2.09.2021'!I$202,9,)</f>
        <v>SUA</v>
      </c>
      <c r="J749" t="str">
        <f t="shared" si="28"/>
        <v>Nu</v>
      </c>
    </row>
    <row r="750" spans="1:10" x14ac:dyDescent="0.2">
      <c r="A750" t="s">
        <v>454</v>
      </c>
      <c r="B750" t="s">
        <v>279</v>
      </c>
      <c r="C750">
        <v>6326987</v>
      </c>
      <c r="D750" s="7">
        <f t="shared" si="29"/>
        <v>31634.935000000001</v>
      </c>
      <c r="E750" s="2">
        <f>VLOOKUP(A750,'2.09.2021'!A$3:'2.09.2021'!I$202,5,)</f>
        <v>44383</v>
      </c>
      <c r="F750" s="2">
        <v>44462</v>
      </c>
      <c r="G750" s="23">
        <f>VLOOKUP(A750,'2.09.2021'!A$3:'2.09.2021'!I$202,7,)</f>
        <v>0.13958333333333334</v>
      </c>
      <c r="H750" t="str">
        <f>VLOOKUP(A750,'2.09.2021'!A$3:'2.09.2021'!I$202,8,)</f>
        <v>HIP-HOP/RAP</v>
      </c>
      <c r="I750" t="str">
        <f>VLOOKUP(A750,'2.09.2021'!A$3:'2.09.2021'!I$202,9,)</f>
        <v>Argentina</v>
      </c>
      <c r="J750" t="str">
        <f t="shared" si="28"/>
        <v>Da</v>
      </c>
    </row>
    <row r="751" spans="1:10" x14ac:dyDescent="0.2">
      <c r="A751" t="s">
        <v>66</v>
      </c>
      <c r="B751" t="s">
        <v>67</v>
      </c>
      <c r="C751">
        <v>6277466</v>
      </c>
      <c r="D751" s="7">
        <f t="shared" si="29"/>
        <v>31387.33</v>
      </c>
      <c r="E751" s="2">
        <v>43714</v>
      </c>
      <c r="F751" s="2">
        <v>44462</v>
      </c>
      <c r="G751" s="23">
        <v>9.930555555555555E-2</v>
      </c>
      <c r="H751" t="s">
        <v>422</v>
      </c>
      <c r="I751" t="s">
        <v>468</v>
      </c>
      <c r="J751" t="str">
        <f t="shared" si="28"/>
        <v>Nu</v>
      </c>
    </row>
    <row r="752" spans="1:10" x14ac:dyDescent="0.2">
      <c r="A752" t="s">
        <v>449</v>
      </c>
      <c r="B752" t="s">
        <v>76</v>
      </c>
      <c r="C752">
        <v>6222805</v>
      </c>
      <c r="D752" s="7">
        <f t="shared" si="29"/>
        <v>31114.025000000001</v>
      </c>
      <c r="E752" s="2">
        <f>VLOOKUP(A752,'2.09.2021'!A$3:'2.09.2021'!I$202,5,)</f>
        <v>44391</v>
      </c>
      <c r="F752" s="2">
        <v>44462</v>
      </c>
      <c r="G752" s="23">
        <f>VLOOKUP(A752,'2.09.2021'!A$3:'2.09.2021'!I$202,7,)</f>
        <v>0.10208333333333335</v>
      </c>
      <c r="H752" t="str">
        <f>VLOOKUP(A752,'2.09.2021'!A$3:'2.09.2021'!I$202,8,)</f>
        <v>LATIN URBAN</v>
      </c>
      <c r="I752" t="str">
        <f>VLOOKUP(A752,'2.09.2021'!A$3:'2.09.2021'!I$202,9,)</f>
        <v>Marea Britanie</v>
      </c>
      <c r="J752" t="str">
        <f t="shared" si="28"/>
        <v>Da</v>
      </c>
    </row>
    <row r="753" spans="1:10" x14ac:dyDescent="0.2">
      <c r="A753" t="s">
        <v>159</v>
      </c>
      <c r="B753" t="s">
        <v>160</v>
      </c>
      <c r="C753">
        <v>6197901</v>
      </c>
      <c r="D753" s="7">
        <f t="shared" si="29"/>
        <v>30989.504999999997</v>
      </c>
      <c r="E753" s="2">
        <f>VLOOKUP(A753,'2.09.2021'!A$3:'2.09.2021'!I$202,5,)</f>
        <v>44329</v>
      </c>
      <c r="F753" s="2">
        <v>44462</v>
      </c>
      <c r="G753" s="23">
        <f>VLOOKUP(A753,'2.09.2021'!A$3:'2.09.2021'!I$202,7,)</f>
        <v>0.14930555555555555</v>
      </c>
      <c r="H753" t="str">
        <f>VLOOKUP(A753,'2.09.2021'!A$3:'2.09.2021'!I$202,8,)</f>
        <v>RHYTHM &amp; BLUES</v>
      </c>
      <c r="I753" t="str">
        <f>VLOOKUP(A753,'2.09.2021'!A$3:'2.09.2021'!I$202,9,)</f>
        <v>SUA</v>
      </c>
      <c r="J753" t="str">
        <f t="shared" si="28"/>
        <v>Nu</v>
      </c>
    </row>
    <row r="754" spans="1:10" x14ac:dyDescent="0.2">
      <c r="A754" t="s">
        <v>335</v>
      </c>
      <c r="B754" t="s">
        <v>52</v>
      </c>
      <c r="C754">
        <v>6168953</v>
      </c>
      <c r="D754" s="7">
        <f t="shared" si="29"/>
        <v>30844.765000000003</v>
      </c>
      <c r="E754" s="2">
        <f>VLOOKUP(A754,'2.09.2021'!A$3:'2.09.2021'!I$202,5,)</f>
        <v>44437</v>
      </c>
      <c r="F754" s="2">
        <v>44462</v>
      </c>
      <c r="G754" s="23">
        <f>VLOOKUP(A754,'2.09.2021'!A$3:'2.09.2021'!I$202,7,)</f>
        <v>0.13749999999999998</v>
      </c>
      <c r="H754" t="str">
        <f>VLOOKUP(A754,'2.09.2021'!A$3:'2.09.2021'!I$202,8,)</f>
        <v>HIP-HOP/RAP</v>
      </c>
      <c r="I754" t="str">
        <f>VLOOKUP(A754,'2.09.2021'!A$3:'2.09.2021'!I$202,9,)</f>
        <v>SUA</v>
      </c>
      <c r="J754" t="str">
        <f t="shared" si="28"/>
        <v>Nu</v>
      </c>
    </row>
    <row r="755" spans="1:10" x14ac:dyDescent="0.2">
      <c r="A755" t="s">
        <v>198</v>
      </c>
      <c r="B755" t="s">
        <v>138</v>
      </c>
      <c r="C755">
        <v>6057587</v>
      </c>
      <c r="D755" s="7">
        <f t="shared" si="29"/>
        <v>30287.935000000001</v>
      </c>
      <c r="E755" s="2">
        <f>VLOOKUP(A755,'2.09.2021'!A$3:'2.09.2021'!I$202,5,)</f>
        <v>44295</v>
      </c>
      <c r="F755" s="2">
        <v>44462</v>
      </c>
      <c r="G755" s="23">
        <f>VLOOKUP(A755,'2.09.2021'!A$3:'2.09.2021'!I$202,7,)</f>
        <v>0.37361111111111112</v>
      </c>
      <c r="H755" t="str">
        <f>VLOOKUP(A755,'2.09.2021'!A$3:'2.09.2021'!I$202,8,)</f>
        <v>K-POP</v>
      </c>
      <c r="I755" t="str">
        <f>VLOOKUP(A755,'2.09.2021'!A$3:'2.09.2021'!I$202,9,)</f>
        <v>Canada</v>
      </c>
      <c r="J755" t="str">
        <f t="shared" si="28"/>
        <v>Nu</v>
      </c>
    </row>
    <row r="756" spans="1:10" x14ac:dyDescent="0.2">
      <c r="A756" t="s">
        <v>336</v>
      </c>
      <c r="B756" t="s">
        <v>337</v>
      </c>
      <c r="C756">
        <v>6025166</v>
      </c>
      <c r="D756" s="7">
        <f t="shared" si="29"/>
        <v>30125.83</v>
      </c>
      <c r="E756" s="2">
        <f>VLOOKUP(A756,'2.09.2021'!A$3:'2.09.2021'!I$202,5,)</f>
        <v>44304</v>
      </c>
      <c r="F756" s="2">
        <v>44462</v>
      </c>
      <c r="G756" s="23">
        <f>VLOOKUP(A756,'2.09.2021'!A$3:'2.09.2021'!I$202,7,)</f>
        <v>0.14930555555555555</v>
      </c>
      <c r="H756" t="str">
        <f>VLOOKUP(A756,'2.09.2021'!A$3:'2.09.2021'!I$202,8,)</f>
        <v>HIP-HOP/RAP</v>
      </c>
      <c r="I756" t="str">
        <f>VLOOKUP(A756,'2.09.2021'!A$3:'2.09.2021'!I$202,9,)</f>
        <v>Puerto Rico</v>
      </c>
      <c r="J756" t="str">
        <f t="shared" si="28"/>
        <v>Nu</v>
      </c>
    </row>
    <row r="757" spans="1:10" x14ac:dyDescent="0.2">
      <c r="A757" t="s">
        <v>253</v>
      </c>
      <c r="B757" t="s">
        <v>34</v>
      </c>
      <c r="C757">
        <v>6011124</v>
      </c>
      <c r="D757" s="7">
        <f t="shared" si="29"/>
        <v>30055.62</v>
      </c>
      <c r="E757" s="2">
        <f>VLOOKUP(A757,'2.09.2021'!A$3:'2.09.2021'!I$202,5,)</f>
        <v>44454</v>
      </c>
      <c r="F757" s="2">
        <v>44462</v>
      </c>
      <c r="G757" s="23">
        <f>VLOOKUP(A757,'2.09.2021'!A$3:'2.09.2021'!I$202,7,)</f>
        <v>0.17500000000000002</v>
      </c>
      <c r="H757" t="str">
        <f>VLOOKUP(A757,'2.09.2021'!A$3:'2.09.2021'!I$202,8,)</f>
        <v>DANCE</v>
      </c>
      <c r="I757" t="str">
        <f>VLOOKUP(A757,'2.09.2021'!A$3:'2.09.2021'!I$202,9,)</f>
        <v>Puerto Rico</v>
      </c>
      <c r="J757" t="str">
        <f t="shared" si="28"/>
        <v>Nu</v>
      </c>
    </row>
    <row r="758" spans="1:10" x14ac:dyDescent="0.2">
      <c r="A758" t="s">
        <v>254</v>
      </c>
      <c r="B758" t="s">
        <v>255</v>
      </c>
      <c r="C758">
        <v>6008272</v>
      </c>
      <c r="D758" s="7">
        <f t="shared" si="29"/>
        <v>30041.360000000001</v>
      </c>
      <c r="E758" s="2">
        <f>VLOOKUP(A758,'2.09.2021'!A$3:'2.09.2021'!I$202,5,)</f>
        <v>44339</v>
      </c>
      <c r="F758" s="2">
        <v>44462</v>
      </c>
      <c r="G758" s="23">
        <f>VLOOKUP(A758,'2.09.2021'!A$3:'2.09.2021'!I$202,7,)</f>
        <v>0.24861111111111112</v>
      </c>
      <c r="H758" t="str">
        <f>VLOOKUP(A758,'2.09.2021'!A$3:'2.09.2021'!I$202,8,)</f>
        <v>ROCK</v>
      </c>
      <c r="I758" t="str">
        <f>VLOOKUP(A758,'2.09.2021'!A$3:'2.09.2021'!I$202,9,)</f>
        <v>Țara Galilor</v>
      </c>
      <c r="J758" t="str">
        <f t="shared" si="28"/>
        <v>Nu</v>
      </c>
    </row>
    <row r="759" spans="1:10" x14ac:dyDescent="0.2">
      <c r="A759" t="s">
        <v>338</v>
      </c>
      <c r="B759" t="s">
        <v>339</v>
      </c>
      <c r="C759">
        <v>6007138</v>
      </c>
      <c r="D759" s="7">
        <f t="shared" si="29"/>
        <v>30035.69</v>
      </c>
      <c r="E759" s="2">
        <f>VLOOKUP(A759,'2.09.2021'!A$3:'2.09.2021'!I$202,5,)</f>
        <v>44427</v>
      </c>
      <c r="F759" s="2">
        <v>44462</v>
      </c>
      <c r="G759" s="23">
        <f>VLOOKUP(A759,'2.09.2021'!A$3:'2.09.2021'!I$202,7,)</f>
        <v>0.20625000000000002</v>
      </c>
      <c r="H759" t="str">
        <f>VLOOKUP(A759,'2.09.2021'!A$3:'2.09.2021'!I$202,8,)</f>
        <v>ALTERNATIVE</v>
      </c>
      <c r="I759" t="str">
        <f>VLOOKUP(A759,'2.09.2021'!A$3:'2.09.2021'!I$202,9,)</f>
        <v>SUA</v>
      </c>
      <c r="J759" t="str">
        <f t="shared" si="28"/>
        <v>Da</v>
      </c>
    </row>
    <row r="760" spans="1:10" x14ac:dyDescent="0.2">
      <c r="A760" t="s">
        <v>184</v>
      </c>
      <c r="B760" t="s">
        <v>185</v>
      </c>
      <c r="C760">
        <v>5999762</v>
      </c>
      <c r="D760" s="7">
        <f t="shared" si="29"/>
        <v>29998.809999999998</v>
      </c>
      <c r="E760" s="2">
        <f>VLOOKUP(A760,'2.09.2021'!A$3:'2.09.2021'!I$202,5,)</f>
        <v>44321</v>
      </c>
      <c r="F760" s="2">
        <v>44462</v>
      </c>
      <c r="G760" s="23">
        <f>VLOOKUP(A760,'2.09.2021'!A$3:'2.09.2021'!I$202,7,)</f>
        <v>0.16805555555555554</v>
      </c>
      <c r="H760" t="str">
        <f>VLOOKUP(A760,'2.09.2021'!A$3:'2.09.2021'!I$202,8,)</f>
        <v>HIP-HOP/RAP</v>
      </c>
      <c r="I760" t="str">
        <f>VLOOKUP(A760,'2.09.2021'!A$3:'2.09.2021'!I$202,9,)</f>
        <v>SUA</v>
      </c>
      <c r="J760" t="str">
        <f t="shared" si="28"/>
        <v>Nu</v>
      </c>
    </row>
    <row r="761" spans="1:10" x14ac:dyDescent="0.2">
      <c r="A761" t="s">
        <v>340</v>
      </c>
      <c r="B761" t="s">
        <v>147</v>
      </c>
      <c r="C761">
        <v>5989165</v>
      </c>
      <c r="D761" s="7">
        <f t="shared" si="29"/>
        <v>29945.825000000001</v>
      </c>
      <c r="E761" s="2">
        <v>44318</v>
      </c>
      <c r="F761" s="2">
        <v>44462</v>
      </c>
      <c r="G761" s="23">
        <v>0.12083333333333333</v>
      </c>
      <c r="H761" t="s">
        <v>433</v>
      </c>
      <c r="I761" t="s">
        <v>468</v>
      </c>
      <c r="J761" t="str">
        <f t="shared" si="28"/>
        <v>Nu</v>
      </c>
    </row>
    <row r="762" spans="1:10" x14ac:dyDescent="0.2">
      <c r="A762" t="s">
        <v>201</v>
      </c>
      <c r="B762" t="s">
        <v>202</v>
      </c>
      <c r="C762">
        <v>5971363</v>
      </c>
      <c r="D762" s="7">
        <f t="shared" si="29"/>
        <v>29856.815000000002</v>
      </c>
      <c r="E762" s="2">
        <v>44415</v>
      </c>
      <c r="F762" s="2">
        <v>44462</v>
      </c>
      <c r="G762" s="23">
        <v>0.13958333333333334</v>
      </c>
      <c r="H762" t="s">
        <v>418</v>
      </c>
      <c r="I762" t="s">
        <v>474</v>
      </c>
      <c r="J762" t="str">
        <f t="shared" si="28"/>
        <v>Nu</v>
      </c>
    </row>
    <row r="763" spans="1:10" x14ac:dyDescent="0.2">
      <c r="A763" t="s">
        <v>187</v>
      </c>
      <c r="B763" t="s">
        <v>188</v>
      </c>
      <c r="C763">
        <v>5965071</v>
      </c>
      <c r="D763" s="7">
        <f t="shared" si="29"/>
        <v>29825.355</v>
      </c>
      <c r="E763" s="2">
        <f>VLOOKUP(A763,'2.09.2021'!A$3:'2.09.2021'!I$202,5,)</f>
        <v>44362</v>
      </c>
      <c r="F763" s="2">
        <v>44462</v>
      </c>
      <c r="G763" s="23">
        <f>VLOOKUP(A763,'2.09.2021'!A$3:'2.09.2021'!I$202,7,)</f>
        <v>0.14027777777777778</v>
      </c>
      <c r="H763" t="str">
        <f>VLOOKUP(A763,'2.09.2021'!A$3:'2.09.2021'!I$202,8,)</f>
        <v>HIP-HOP/RAP</v>
      </c>
      <c r="I763" t="str">
        <f>VLOOKUP(A763,'2.09.2021'!A$3:'2.09.2021'!I$202,9,)</f>
        <v>Marea Britanie</v>
      </c>
      <c r="J763" t="str">
        <f t="shared" si="28"/>
        <v>Nu</v>
      </c>
    </row>
    <row r="764" spans="1:10" x14ac:dyDescent="0.2">
      <c r="A764" t="s">
        <v>341</v>
      </c>
      <c r="B764" t="s">
        <v>132</v>
      </c>
      <c r="C764">
        <v>5964873</v>
      </c>
      <c r="D764" s="7">
        <f t="shared" si="29"/>
        <v>29824.364999999998</v>
      </c>
      <c r="E764" s="2">
        <f>VLOOKUP(A764,'2.09.2021'!A$3:'2.09.2021'!I$202,5,)</f>
        <v>44370</v>
      </c>
      <c r="F764" s="2">
        <v>44462</v>
      </c>
      <c r="G764" s="23">
        <f>VLOOKUP(A764,'2.09.2021'!A$3:'2.09.2021'!I$202,7,)</f>
        <v>0.12986111111111112</v>
      </c>
      <c r="H764" t="str">
        <f>VLOOKUP(A764,'2.09.2021'!A$3:'2.09.2021'!I$202,8,)</f>
        <v>POP</v>
      </c>
      <c r="I764" t="str">
        <f>VLOOKUP(A764,'2.09.2021'!A$3:'2.09.2021'!I$202,9,)</f>
        <v>Columbia</v>
      </c>
      <c r="J764" t="str">
        <f t="shared" si="28"/>
        <v>Nu</v>
      </c>
    </row>
    <row r="765" spans="1:10" x14ac:dyDescent="0.2">
      <c r="A765" t="s">
        <v>203</v>
      </c>
      <c r="B765" t="s">
        <v>204</v>
      </c>
      <c r="C765">
        <v>5960573</v>
      </c>
      <c r="D765" s="7">
        <f t="shared" si="29"/>
        <v>29802.865000000002</v>
      </c>
      <c r="E765" s="2">
        <f>VLOOKUP(A765,'2.09.2021'!A$3:'2.09.2021'!I$202,5,)</f>
        <v>44254</v>
      </c>
      <c r="F765" s="2">
        <v>44462</v>
      </c>
      <c r="G765" s="23">
        <f>VLOOKUP(A765,'2.09.2021'!A$3:'2.09.2021'!I$202,7,)</f>
        <v>0.15277777777777776</v>
      </c>
      <c r="H765" t="str">
        <f>VLOOKUP(A765,'2.09.2021'!A$3:'2.09.2021'!I$202,8,)</f>
        <v>K-POP</v>
      </c>
      <c r="I765" t="str">
        <f>VLOOKUP(A765,'2.09.2021'!A$3:'2.09.2021'!I$202,9,)</f>
        <v>SUA</v>
      </c>
      <c r="J765" t="str">
        <f t="shared" si="28"/>
        <v>Nu</v>
      </c>
    </row>
    <row r="766" spans="1:10" x14ac:dyDescent="0.2">
      <c r="A766" t="s">
        <v>295</v>
      </c>
      <c r="B766" t="s">
        <v>296</v>
      </c>
      <c r="C766">
        <v>5959804</v>
      </c>
      <c r="D766" s="7">
        <f t="shared" si="29"/>
        <v>29799.02</v>
      </c>
      <c r="E766" s="2">
        <f>VLOOKUP(A766,'2.09.2021'!A$3:'2.09.2021'!I$202,5,)</f>
        <v>44214</v>
      </c>
      <c r="F766" s="2">
        <v>44462</v>
      </c>
      <c r="G766" s="23">
        <f>VLOOKUP(A766,'2.09.2021'!A$3:'2.09.2021'!I$202,7,)</f>
        <v>0.11388888888888889</v>
      </c>
      <c r="H766" t="str">
        <f>VLOOKUP(A766,'2.09.2021'!A$3:'2.09.2021'!I$202,8,)</f>
        <v>HIP-HOP/RAP</v>
      </c>
      <c r="I766" t="str">
        <f>VLOOKUP(A766,'2.09.2021'!A$3:'2.09.2021'!I$202,9,)</f>
        <v>Germania</v>
      </c>
      <c r="J766" t="str">
        <f t="shared" si="28"/>
        <v>Nu</v>
      </c>
    </row>
    <row r="767" spans="1:10" x14ac:dyDescent="0.2">
      <c r="A767" t="s">
        <v>212</v>
      </c>
      <c r="B767" t="s">
        <v>213</v>
      </c>
      <c r="C767">
        <v>5922052</v>
      </c>
      <c r="D767" s="7">
        <f t="shared" si="29"/>
        <v>29610.26</v>
      </c>
      <c r="E767" s="2">
        <f>VLOOKUP(A767,'2.09.2021'!A$3:'2.09.2021'!I$202,5,)</f>
        <v>44337</v>
      </c>
      <c r="F767" s="2">
        <v>44462</v>
      </c>
      <c r="G767" s="23">
        <f>VLOOKUP(A767,'2.09.2021'!A$3:'2.09.2021'!I$202,7,)</f>
        <v>0.22291666666666665</v>
      </c>
      <c r="H767" t="str">
        <f>VLOOKUP(A767,'2.09.2021'!A$3:'2.09.2021'!I$202,8,)</f>
        <v>LATIN URBAN</v>
      </c>
      <c r="I767" t="str">
        <f>VLOOKUP(A767,'2.09.2021'!A$3:'2.09.2021'!I$202,9,)</f>
        <v>Suedia</v>
      </c>
      <c r="J767" t="str">
        <f t="shared" si="28"/>
        <v>Nu</v>
      </c>
    </row>
    <row r="768" spans="1:10" x14ac:dyDescent="0.2">
      <c r="A768" t="s">
        <v>191</v>
      </c>
      <c r="B768" t="s">
        <v>192</v>
      </c>
      <c r="C768">
        <v>5893006</v>
      </c>
      <c r="D768" s="7">
        <f t="shared" si="29"/>
        <v>29465.030000000002</v>
      </c>
      <c r="E768" s="2">
        <f>VLOOKUP(A768,'2.09.2021'!A$3:'2.09.2021'!I$202,5,)</f>
        <v>44413</v>
      </c>
      <c r="F768" s="2">
        <v>44462</v>
      </c>
      <c r="G768" s="23">
        <f>VLOOKUP(A768,'2.09.2021'!A$3:'2.09.2021'!I$202,7,)</f>
        <v>0.12013888888888889</v>
      </c>
      <c r="H768" t="str">
        <f>VLOOKUP(A768,'2.09.2021'!A$3:'2.09.2021'!I$202,8,)</f>
        <v>LATIN</v>
      </c>
      <c r="I768" t="str">
        <f>VLOOKUP(A768,'2.09.2021'!A$3:'2.09.2021'!I$202,9,)</f>
        <v>Canada</v>
      </c>
      <c r="J768" t="str">
        <f t="shared" si="28"/>
        <v>Nu</v>
      </c>
    </row>
    <row r="769" spans="1:10" x14ac:dyDescent="0.2">
      <c r="A769" t="s">
        <v>195</v>
      </c>
      <c r="B769" t="s">
        <v>196</v>
      </c>
      <c r="C769">
        <v>5884152</v>
      </c>
      <c r="D769" s="7">
        <f t="shared" si="29"/>
        <v>29420.760000000002</v>
      </c>
      <c r="E769" s="2">
        <v>44246</v>
      </c>
      <c r="F769" s="2">
        <v>44462</v>
      </c>
      <c r="G769" s="23">
        <v>0.10416666666666667</v>
      </c>
      <c r="H769" t="s">
        <v>426</v>
      </c>
      <c r="I769" t="s">
        <v>474</v>
      </c>
      <c r="J769" t="str">
        <f t="shared" si="28"/>
        <v>Nu</v>
      </c>
    </row>
    <row r="770" spans="1:10" x14ac:dyDescent="0.2">
      <c r="A770" t="s">
        <v>230</v>
      </c>
      <c r="B770" t="s">
        <v>231</v>
      </c>
      <c r="C770">
        <v>5880549</v>
      </c>
      <c r="D770" s="7">
        <f t="shared" si="29"/>
        <v>29402.744999999999</v>
      </c>
      <c r="E770" s="2">
        <f>VLOOKUP(A770,'2.09.2021'!A$3:'2.09.2021'!I$202,5,)</f>
        <v>44339</v>
      </c>
      <c r="F770" s="2">
        <v>44462</v>
      </c>
      <c r="G770" s="23">
        <f>VLOOKUP(A770,'2.09.2021'!A$3:'2.09.2021'!I$202,7,)</f>
        <v>0.16805555555555554</v>
      </c>
      <c r="H770" t="str">
        <f>VLOOKUP(A770,'2.09.2021'!A$3:'2.09.2021'!I$202,8,)</f>
        <v>HIP-HOP/RAP</v>
      </c>
      <c r="I770" t="str">
        <f>VLOOKUP(A770,'2.09.2021'!A$3:'2.09.2021'!I$202,9,)</f>
        <v>Mexic</v>
      </c>
      <c r="J770" t="str">
        <f t="shared" ref="J770:J833" si="30">IF(ISNUMBER(SEARCH("with",A770)),"Da","Nu")</f>
        <v>Nu</v>
      </c>
    </row>
    <row r="771" spans="1:10" x14ac:dyDescent="0.2">
      <c r="A771" t="s">
        <v>223</v>
      </c>
      <c r="B771" t="s">
        <v>88</v>
      </c>
      <c r="C771">
        <v>5840592</v>
      </c>
      <c r="D771" s="7">
        <f t="shared" si="29"/>
        <v>29202.959999999999</v>
      </c>
      <c r="E771" s="2">
        <f>VLOOKUP(A771,'2.09.2021'!A$3:'2.09.2021'!I$202,5,)</f>
        <v>44351</v>
      </c>
      <c r="F771" s="2">
        <v>44462</v>
      </c>
      <c r="G771" s="23">
        <f>VLOOKUP(A771,'2.09.2021'!A$3:'2.09.2021'!I$202,7,)</f>
        <v>0.15347222222222223</v>
      </c>
      <c r="H771" t="str">
        <f>VLOOKUP(A771,'2.09.2021'!A$3:'2.09.2021'!I$202,8,)</f>
        <v>POP</v>
      </c>
      <c r="I771" t="str">
        <f>VLOOKUP(A771,'2.09.2021'!A$3:'2.09.2021'!I$202,9,)</f>
        <v>SUA</v>
      </c>
      <c r="J771" t="str">
        <f t="shared" si="30"/>
        <v>Nu</v>
      </c>
    </row>
    <row r="772" spans="1:10" x14ac:dyDescent="0.2">
      <c r="A772" s="10">
        <v>24</v>
      </c>
      <c r="B772" t="s">
        <v>52</v>
      </c>
      <c r="C772">
        <v>5834938</v>
      </c>
      <c r="D772" s="7">
        <f t="shared" si="29"/>
        <v>29174.690000000002</v>
      </c>
      <c r="E772" s="2">
        <f>VLOOKUP(A772,'2.09.2021'!A$3:'2.09.2021'!I$202,5,)</f>
        <v>44437</v>
      </c>
      <c r="F772" s="2">
        <v>44462</v>
      </c>
      <c r="G772" s="23">
        <f>VLOOKUP(A772,'2.09.2021'!A$3:'2.09.2021'!I$202,7,)</f>
        <v>0.13680555555555554</v>
      </c>
      <c r="H772" t="str">
        <f>VLOOKUP(A772,'2.09.2021'!A$3:'2.09.2021'!I$202,8,)</f>
        <v>HIP-HOP/RAP</v>
      </c>
      <c r="I772" t="str">
        <f>VLOOKUP(A772,'2.09.2021'!A$3:'2.09.2021'!I$202,9,)</f>
        <v>SUA</v>
      </c>
      <c r="J772" t="str">
        <f t="shared" si="30"/>
        <v>Nu</v>
      </c>
    </row>
    <row r="773" spans="1:10" x14ac:dyDescent="0.2">
      <c r="A773" t="s">
        <v>290</v>
      </c>
      <c r="B773" t="s">
        <v>158</v>
      </c>
      <c r="C773">
        <v>5832231</v>
      </c>
      <c r="D773" s="7">
        <f t="shared" si="29"/>
        <v>29161.154999999999</v>
      </c>
      <c r="E773" s="2">
        <f>VLOOKUP(A773,'2.09.2021'!A$3:'2.09.2021'!I$202,5,)</f>
        <v>44208</v>
      </c>
      <c r="F773" s="2">
        <v>44462</v>
      </c>
      <c r="G773" s="23">
        <f>VLOOKUP(A773,'2.09.2021'!A$3:'2.09.2021'!I$202,7,)</f>
        <v>0.16527777777777777</v>
      </c>
      <c r="H773" t="str">
        <f>VLOOKUP(A773,'2.09.2021'!A$3:'2.09.2021'!I$202,8,)</f>
        <v>ROCK</v>
      </c>
      <c r="I773" t="str">
        <f>VLOOKUP(A773,'2.09.2021'!A$3:'2.09.2021'!I$202,9,)</f>
        <v>SUA</v>
      </c>
      <c r="J773" t="str">
        <f t="shared" si="30"/>
        <v>Nu</v>
      </c>
    </row>
    <row r="774" spans="1:10" x14ac:dyDescent="0.2">
      <c r="A774" t="s">
        <v>448</v>
      </c>
      <c r="B774" t="s">
        <v>207</v>
      </c>
      <c r="C774">
        <v>5828495</v>
      </c>
      <c r="D774" s="7">
        <f t="shared" si="29"/>
        <v>29142.474999999999</v>
      </c>
      <c r="E774" s="2">
        <f>VLOOKUP(A774,'2.09.2021'!A$3:'2.09.2021'!I$202,5,)</f>
        <v>44309</v>
      </c>
      <c r="F774" s="2">
        <v>44462</v>
      </c>
      <c r="G774" s="23">
        <f>VLOOKUP(A774,'2.09.2021'!A$3:'2.09.2021'!I$202,7,)</f>
        <v>0.13333333333333333</v>
      </c>
      <c r="H774" t="str">
        <f>VLOOKUP(A774,'2.09.2021'!A$3:'2.09.2021'!I$202,8,)</f>
        <v>LATIN</v>
      </c>
      <c r="I774" t="str">
        <f>VLOOKUP(A774,'2.09.2021'!A$3:'2.09.2021'!I$202,9,)</f>
        <v>SUA</v>
      </c>
      <c r="J774" t="str">
        <f t="shared" si="30"/>
        <v>Da</v>
      </c>
    </row>
    <row r="775" spans="1:10" x14ac:dyDescent="0.2">
      <c r="A775" t="s">
        <v>193</v>
      </c>
      <c r="B775" t="s">
        <v>86</v>
      </c>
      <c r="C775">
        <v>5819986</v>
      </c>
      <c r="D775" s="7">
        <f t="shared" si="29"/>
        <v>29099.93</v>
      </c>
      <c r="E775" s="2">
        <f>VLOOKUP(A775,'2.09.2021'!A$3:'2.09.2021'!I$202,5,)</f>
        <v>44230</v>
      </c>
      <c r="F775" s="2">
        <v>44462</v>
      </c>
      <c r="G775" s="23">
        <f>VLOOKUP(A775,'2.09.2021'!A$3:'2.09.2021'!I$202,7,)</f>
        <v>0.12083333333333333</v>
      </c>
      <c r="H775" t="str">
        <f>VLOOKUP(A775,'2.09.2021'!A$3:'2.09.2021'!I$202,8,)</f>
        <v>HIP-HOP/RAP</v>
      </c>
      <c r="I775" t="str">
        <f>VLOOKUP(A775,'2.09.2021'!A$3:'2.09.2021'!I$202,9,)</f>
        <v>SUA</v>
      </c>
      <c r="J775" t="str">
        <f t="shared" si="30"/>
        <v>Nu</v>
      </c>
    </row>
    <row r="776" spans="1:10" x14ac:dyDescent="0.2">
      <c r="A776" t="s">
        <v>342</v>
      </c>
      <c r="B776" t="s">
        <v>52</v>
      </c>
      <c r="C776">
        <v>5817181</v>
      </c>
      <c r="D776" s="7">
        <f t="shared" si="29"/>
        <v>29085.904999999999</v>
      </c>
      <c r="E776" s="2">
        <f>VLOOKUP(A776,'2.09.2021'!A$3:'2.09.2021'!I$202,5,)</f>
        <v>44417</v>
      </c>
      <c r="F776" s="2">
        <v>44462</v>
      </c>
      <c r="G776" s="23">
        <f>VLOOKUP(A776,'2.09.2021'!A$3:'2.09.2021'!I$202,7,)</f>
        <v>0.10208333333333335</v>
      </c>
      <c r="H776" t="str">
        <f>VLOOKUP(A776,'2.09.2021'!A$3:'2.09.2021'!I$202,8,)</f>
        <v>HIP-HOP/RAP</v>
      </c>
      <c r="I776" t="str">
        <f>VLOOKUP(A776,'2.09.2021'!A$3:'2.09.2021'!I$202,9,)</f>
        <v>SUA</v>
      </c>
      <c r="J776" t="str">
        <f t="shared" si="30"/>
        <v>Nu</v>
      </c>
    </row>
    <row r="777" spans="1:10" x14ac:dyDescent="0.2">
      <c r="A777" t="s">
        <v>214</v>
      </c>
      <c r="B777" t="s">
        <v>215</v>
      </c>
      <c r="C777">
        <v>5807138</v>
      </c>
      <c r="D777" s="7">
        <f t="shared" si="29"/>
        <v>29035.69</v>
      </c>
      <c r="E777" s="2">
        <v>44305</v>
      </c>
      <c r="F777" s="2">
        <v>44462</v>
      </c>
      <c r="G777" s="23">
        <v>9.7916666666666666E-2</v>
      </c>
      <c r="H777" t="s">
        <v>426</v>
      </c>
      <c r="I777" t="s">
        <v>474</v>
      </c>
      <c r="J777" t="str">
        <f t="shared" si="30"/>
        <v>Nu</v>
      </c>
    </row>
    <row r="778" spans="1:10" x14ac:dyDescent="0.2">
      <c r="A778" t="s">
        <v>285</v>
      </c>
      <c r="B778" t="s">
        <v>286</v>
      </c>
      <c r="C778">
        <v>5797954</v>
      </c>
      <c r="D778" s="7">
        <f t="shared" si="29"/>
        <v>28989.769999999997</v>
      </c>
      <c r="E778" s="2">
        <f>VLOOKUP(A778,'2.09.2021'!A$3:'2.09.2021'!I$202,5,)</f>
        <v>44439</v>
      </c>
      <c r="F778" s="2">
        <v>44462</v>
      </c>
      <c r="G778" s="23">
        <f>VLOOKUP(A778,'2.09.2021'!A$3:'2.09.2021'!I$202,7,)</f>
        <v>9.5833333333333326E-2</v>
      </c>
      <c r="H778" t="str">
        <f>VLOOKUP(A778,'2.09.2021'!A$3:'2.09.2021'!I$202,8,)</f>
        <v>HIP-HOP/RAP</v>
      </c>
      <c r="I778" t="str">
        <f>VLOOKUP(A778,'2.09.2021'!A$3:'2.09.2021'!I$202,9,)</f>
        <v>Marea Britanie</v>
      </c>
      <c r="J778" t="str">
        <f t="shared" si="30"/>
        <v>Nu</v>
      </c>
    </row>
    <row r="779" spans="1:10" x14ac:dyDescent="0.2">
      <c r="A779" t="s">
        <v>264</v>
      </c>
      <c r="B779" t="s">
        <v>265</v>
      </c>
      <c r="C779">
        <v>5796892</v>
      </c>
      <c r="D779" s="7">
        <f t="shared" si="29"/>
        <v>28984.46</v>
      </c>
      <c r="E779" s="2">
        <f>VLOOKUP(A779,'2.09.2021'!A$3:'2.09.2021'!I$202,5,)</f>
        <v>44414</v>
      </c>
      <c r="F779" s="2">
        <v>44462</v>
      </c>
      <c r="G779" s="23">
        <f>VLOOKUP(A779,'2.09.2021'!A$3:'2.09.2021'!I$202,7,)</f>
        <v>0.12013888888888889</v>
      </c>
      <c r="H779" t="str">
        <f>VLOOKUP(A779,'2.09.2021'!A$3:'2.09.2021'!I$202,8,)</f>
        <v>LATIN URBAN</v>
      </c>
      <c r="I779" t="str">
        <f>VLOOKUP(A779,'2.09.2021'!A$3:'2.09.2021'!I$202,9,)</f>
        <v>Australia</v>
      </c>
      <c r="J779" t="str">
        <f t="shared" si="30"/>
        <v>Nu</v>
      </c>
    </row>
    <row r="780" spans="1:10" x14ac:dyDescent="0.2">
      <c r="A780" t="s">
        <v>251</v>
      </c>
      <c r="B780" t="s">
        <v>229</v>
      </c>
      <c r="C780">
        <v>5766816</v>
      </c>
      <c r="D780" s="7">
        <f t="shared" si="29"/>
        <v>28834.079999999998</v>
      </c>
      <c r="E780" s="2">
        <f>VLOOKUP(A780,'2.09.2021'!A$3:'2.09.2021'!I$202,5,)</f>
        <v>44413</v>
      </c>
      <c r="F780" s="2">
        <v>44462</v>
      </c>
      <c r="G780" s="23">
        <f>VLOOKUP(A780,'2.09.2021'!A$3:'2.09.2021'!I$202,7,)</f>
        <v>0.12152777777777778</v>
      </c>
      <c r="H780" t="str">
        <f>VLOOKUP(A780,'2.09.2021'!A$3:'2.09.2021'!I$202,8,)</f>
        <v>HIP-HOP/RAP</v>
      </c>
      <c r="I780" t="str">
        <f>VLOOKUP(A780,'2.09.2021'!A$3:'2.09.2021'!I$202,9,)</f>
        <v>SUA</v>
      </c>
      <c r="J780" t="str">
        <f t="shared" si="30"/>
        <v>Nu</v>
      </c>
    </row>
    <row r="781" spans="1:10" x14ac:dyDescent="0.2">
      <c r="A781" t="s">
        <v>232</v>
      </c>
      <c r="B781" t="s">
        <v>233</v>
      </c>
      <c r="C781">
        <v>5737892</v>
      </c>
      <c r="D781" s="7">
        <f t="shared" si="29"/>
        <v>28689.46</v>
      </c>
      <c r="E781" s="2">
        <f>VLOOKUP(A781,'2.09.2021'!A$3:'2.09.2021'!I$202,5,)</f>
        <v>44389</v>
      </c>
      <c r="F781" s="2">
        <v>44462</v>
      </c>
      <c r="G781" s="23">
        <f>VLOOKUP(A781,'2.09.2021'!A$3:'2.09.2021'!I$202,7,)</f>
        <v>0.14097222222222222</v>
      </c>
      <c r="H781" t="str">
        <f>VLOOKUP(A781,'2.09.2021'!A$3:'2.09.2021'!I$202,8,)</f>
        <v>POP</v>
      </c>
      <c r="I781" t="str">
        <f>VLOOKUP(A781,'2.09.2021'!A$3:'2.09.2021'!I$202,9,)</f>
        <v>SUA</v>
      </c>
      <c r="J781" t="str">
        <f t="shared" si="30"/>
        <v>Nu</v>
      </c>
    </row>
    <row r="782" spans="1:10" x14ac:dyDescent="0.2">
      <c r="A782" t="s">
        <v>343</v>
      </c>
      <c r="B782" t="s">
        <v>20</v>
      </c>
      <c r="C782">
        <v>5718647</v>
      </c>
      <c r="D782" s="7">
        <f t="shared" si="29"/>
        <v>28593.235000000001</v>
      </c>
      <c r="E782" s="2">
        <v>43660</v>
      </c>
      <c r="F782" s="2">
        <v>44462</v>
      </c>
      <c r="G782" s="23">
        <v>0.11458333333333333</v>
      </c>
      <c r="H782" t="s">
        <v>423</v>
      </c>
      <c r="I782" t="s">
        <v>420</v>
      </c>
      <c r="J782" t="str">
        <f t="shared" si="30"/>
        <v>Nu</v>
      </c>
    </row>
    <row r="783" spans="1:10" x14ac:dyDescent="0.2">
      <c r="A783" t="s">
        <v>245</v>
      </c>
      <c r="B783" t="s">
        <v>246</v>
      </c>
      <c r="C783">
        <v>5710298</v>
      </c>
      <c r="D783" s="7">
        <f t="shared" si="29"/>
        <v>28551.489999999998</v>
      </c>
      <c r="E783" s="2">
        <f>VLOOKUP(A783,'2.09.2021'!A$3:'2.09.2021'!I$202,5,)</f>
        <v>44244</v>
      </c>
      <c r="F783" s="2">
        <v>44462</v>
      </c>
      <c r="G783" s="23">
        <f>VLOOKUP(A783,'2.09.2021'!A$3:'2.09.2021'!I$202,7,)</f>
        <v>0.12013888888888889</v>
      </c>
      <c r="H783" t="str">
        <f>VLOOKUP(A783,'2.09.2021'!A$3:'2.09.2021'!I$202,8,)</f>
        <v>LATIN URBAN</v>
      </c>
      <c r="I783" t="str">
        <f>VLOOKUP(A783,'2.09.2021'!A$3:'2.09.2021'!I$202,9,)</f>
        <v>Australia</v>
      </c>
      <c r="J783" t="str">
        <f t="shared" si="30"/>
        <v>Nu</v>
      </c>
    </row>
    <row r="784" spans="1:10" x14ac:dyDescent="0.2">
      <c r="A784" t="s">
        <v>226</v>
      </c>
      <c r="B784" t="s">
        <v>227</v>
      </c>
      <c r="C784">
        <v>5682156</v>
      </c>
      <c r="D784" s="7">
        <f t="shared" si="29"/>
        <v>28410.78</v>
      </c>
      <c r="E784" s="2">
        <f>VLOOKUP(A784,'2.09.2021'!A$3:'2.09.2021'!I$202,5,)</f>
        <v>44437</v>
      </c>
      <c r="F784" s="2">
        <v>44462</v>
      </c>
      <c r="G784" s="23">
        <f>VLOOKUP(A784,'2.09.2021'!A$3:'2.09.2021'!I$202,7,)</f>
        <v>0.19930555555555554</v>
      </c>
      <c r="H784" t="str">
        <f>VLOOKUP(A784,'2.09.2021'!A$3:'2.09.2021'!I$202,8,)</f>
        <v>LATIN URBAN</v>
      </c>
      <c r="I784" t="str">
        <f>VLOOKUP(A784,'2.09.2021'!A$3:'2.09.2021'!I$202,9,)</f>
        <v>SUA</v>
      </c>
      <c r="J784" t="str">
        <f t="shared" si="30"/>
        <v>Nu</v>
      </c>
    </row>
    <row r="785" spans="1:10" x14ac:dyDescent="0.2">
      <c r="A785" t="s">
        <v>228</v>
      </c>
      <c r="B785" t="s">
        <v>229</v>
      </c>
      <c r="C785">
        <v>5626129</v>
      </c>
      <c r="D785" s="7">
        <f t="shared" si="29"/>
        <v>28130.645</v>
      </c>
      <c r="E785" s="2">
        <f>VLOOKUP(A785,'2.09.2021'!A$3:'2.09.2021'!I$202,5,)</f>
        <v>44336</v>
      </c>
      <c r="F785" s="2">
        <v>44462</v>
      </c>
      <c r="G785" s="23">
        <f>VLOOKUP(A785,'2.09.2021'!A$3:'2.09.2021'!I$202,7,)</f>
        <v>9.7916666666666666E-2</v>
      </c>
      <c r="H785" t="str">
        <f>VLOOKUP(A785,'2.09.2021'!A$3:'2.09.2021'!I$202,8,)</f>
        <v>DANCE</v>
      </c>
      <c r="I785" t="str">
        <f>VLOOKUP(A785,'2.09.2021'!A$3:'2.09.2021'!I$202,9,)</f>
        <v>SUA</v>
      </c>
      <c r="J785" t="str">
        <f t="shared" si="30"/>
        <v>Nu</v>
      </c>
    </row>
    <row r="786" spans="1:10" x14ac:dyDescent="0.2">
      <c r="A786" t="s">
        <v>268</v>
      </c>
      <c r="B786" t="s">
        <v>269</v>
      </c>
      <c r="C786">
        <v>5624497</v>
      </c>
      <c r="D786" s="7">
        <f t="shared" si="29"/>
        <v>28122.485000000001</v>
      </c>
      <c r="E786" s="2">
        <f>VLOOKUP(A786,'2.09.2021'!A$3:'2.09.2021'!I$202,5,)</f>
        <v>44350</v>
      </c>
      <c r="F786" s="2">
        <v>44462</v>
      </c>
      <c r="G786" s="23">
        <f>VLOOKUP(A786,'2.09.2021'!A$3:'2.09.2021'!I$202,7,)</f>
        <v>0.14444444444444446</v>
      </c>
      <c r="H786" t="str">
        <f>VLOOKUP(A786,'2.09.2021'!A$3:'2.09.2021'!I$202,8,)</f>
        <v>HIP-HOP/RAP</v>
      </c>
      <c r="I786" t="str">
        <f>VLOOKUP(A786,'2.09.2021'!A$3:'2.09.2021'!I$202,9,)</f>
        <v>SUA</v>
      </c>
      <c r="J786" t="str">
        <f t="shared" si="30"/>
        <v>Nu</v>
      </c>
    </row>
    <row r="787" spans="1:10" x14ac:dyDescent="0.2">
      <c r="A787" t="s">
        <v>275</v>
      </c>
      <c r="B787" t="s">
        <v>276</v>
      </c>
      <c r="C787">
        <v>5622532</v>
      </c>
      <c r="D787" s="7">
        <f t="shared" si="29"/>
        <v>28112.66</v>
      </c>
      <c r="E787" s="2">
        <f>VLOOKUP(A787,'2.09.2021'!A$3:'2.09.2021'!I$202,5,)</f>
        <v>44209</v>
      </c>
      <c r="F787" s="2">
        <v>44462</v>
      </c>
      <c r="G787" s="23">
        <f>VLOOKUP(A787,'2.09.2021'!A$3:'2.09.2021'!I$202,7,)</f>
        <v>0.15902777777777777</v>
      </c>
      <c r="H787" t="str">
        <f>VLOOKUP(A787,'2.09.2021'!A$3:'2.09.2021'!I$202,8,)</f>
        <v>LATIN</v>
      </c>
      <c r="I787" t="str">
        <f>VLOOKUP(A787,'2.09.2021'!A$3:'2.09.2021'!I$202,9,)</f>
        <v>Franța</v>
      </c>
      <c r="J787" t="str">
        <f t="shared" si="30"/>
        <v>Nu</v>
      </c>
    </row>
    <row r="788" spans="1:10" x14ac:dyDescent="0.2">
      <c r="A788" t="s">
        <v>344</v>
      </c>
      <c r="B788" t="s">
        <v>52</v>
      </c>
      <c r="C788">
        <v>5618339</v>
      </c>
      <c r="D788" s="7">
        <f t="shared" si="29"/>
        <v>28091.695</v>
      </c>
      <c r="E788" s="2">
        <f>VLOOKUP(A788,'2.09.2021'!A$3:'2.09.2021'!I$202,5,)</f>
        <v>44437</v>
      </c>
      <c r="F788" s="2">
        <v>44462</v>
      </c>
      <c r="G788" s="23">
        <f>VLOOKUP(A788,'2.09.2021'!A$3:'2.09.2021'!I$202,7,)</f>
        <v>0.23124999999999998</v>
      </c>
      <c r="H788" t="str">
        <f>VLOOKUP(A788,'2.09.2021'!A$3:'2.09.2021'!I$202,8,)</f>
        <v>HIP-HOP/RAP</v>
      </c>
      <c r="I788" t="str">
        <f>VLOOKUP(A788,'2.09.2021'!A$3:'2.09.2021'!I$202,9,)</f>
        <v>SUA</v>
      </c>
      <c r="J788" t="str">
        <f t="shared" si="30"/>
        <v>Nu</v>
      </c>
    </row>
    <row r="789" spans="1:10" x14ac:dyDescent="0.2">
      <c r="A789" t="s">
        <v>234</v>
      </c>
      <c r="B789" t="s">
        <v>235</v>
      </c>
      <c r="C789">
        <v>5574395</v>
      </c>
      <c r="D789" s="7">
        <f t="shared" si="29"/>
        <v>27871.975000000002</v>
      </c>
      <c r="E789" s="2">
        <f>VLOOKUP(A789,'2.09.2021'!A$3:'2.09.2021'!I$202,5,)</f>
        <v>44285</v>
      </c>
      <c r="F789" s="2">
        <v>44462</v>
      </c>
      <c r="G789" s="23">
        <f>VLOOKUP(A789,'2.09.2021'!A$3:'2.09.2021'!I$202,7,)</f>
        <v>0.12708333333333333</v>
      </c>
      <c r="H789" t="str">
        <f>VLOOKUP(A789,'2.09.2021'!A$3:'2.09.2021'!I$202,8,)</f>
        <v>HIP-HOP/RAP</v>
      </c>
      <c r="I789" t="str">
        <f>VLOOKUP(A789,'2.09.2021'!A$3:'2.09.2021'!I$202,9,)</f>
        <v>Marea Britanie</v>
      </c>
      <c r="J789" t="str">
        <f t="shared" si="30"/>
        <v>Nu</v>
      </c>
    </row>
    <row r="790" spans="1:10" x14ac:dyDescent="0.2">
      <c r="A790" t="s">
        <v>210</v>
      </c>
      <c r="B790" t="s">
        <v>211</v>
      </c>
      <c r="C790">
        <v>5568753</v>
      </c>
      <c r="D790" s="7">
        <f t="shared" si="29"/>
        <v>27843.764999999999</v>
      </c>
      <c r="E790" s="2">
        <f>VLOOKUP(A790,'2.09.2021'!A$3:'2.09.2021'!I$202,5,)</f>
        <v>44456</v>
      </c>
      <c r="F790" s="2">
        <v>44462</v>
      </c>
      <c r="G790" s="23">
        <f>VLOOKUP(A790,'2.09.2021'!A$3:'2.09.2021'!I$202,7,)</f>
        <v>0.12361111111111112</v>
      </c>
      <c r="H790" t="str">
        <f>VLOOKUP(A790,'2.09.2021'!A$3:'2.09.2021'!I$202,8,)</f>
        <v>ROCK</v>
      </c>
      <c r="I790" t="str">
        <f>VLOOKUP(A790,'2.09.2021'!A$3:'2.09.2021'!I$202,9,)</f>
        <v>SUA</v>
      </c>
      <c r="J790" t="str">
        <f t="shared" si="30"/>
        <v>Nu</v>
      </c>
    </row>
    <row r="791" spans="1:10" x14ac:dyDescent="0.2">
      <c r="A791" t="s">
        <v>241</v>
      </c>
      <c r="B791" t="s">
        <v>242</v>
      </c>
      <c r="C791">
        <v>5567519</v>
      </c>
      <c r="D791" s="7">
        <f t="shared" si="29"/>
        <v>27837.595000000001</v>
      </c>
      <c r="E791" s="2">
        <f>VLOOKUP(A791,'2.09.2021'!A$3:'2.09.2021'!I$202,5,)</f>
        <v>44377</v>
      </c>
      <c r="F791" s="2">
        <v>44462</v>
      </c>
      <c r="G791" s="23">
        <f>VLOOKUP(A791,'2.09.2021'!A$3:'2.09.2021'!I$202,7,)</f>
        <v>0.16527777777777777</v>
      </c>
      <c r="H791" t="str">
        <f>VLOOKUP(A791,'2.09.2021'!A$3:'2.09.2021'!I$202,8,)</f>
        <v>HIP-HOP/RAP</v>
      </c>
      <c r="I791" t="str">
        <f>VLOOKUP(A791,'2.09.2021'!A$3:'2.09.2021'!I$202,9,)</f>
        <v>Marea Britanie</v>
      </c>
      <c r="J791" t="str">
        <f t="shared" si="30"/>
        <v>Nu</v>
      </c>
    </row>
    <row r="792" spans="1:10" x14ac:dyDescent="0.2">
      <c r="A792" t="s">
        <v>263</v>
      </c>
      <c r="B792" t="s">
        <v>213</v>
      </c>
      <c r="C792">
        <v>5554738</v>
      </c>
      <c r="D792" s="7">
        <f t="shared" si="29"/>
        <v>27773.690000000002</v>
      </c>
      <c r="E792" s="2">
        <f>VLOOKUP(A792,'2.09.2021'!A$3:'2.09.2021'!I$202,5,)</f>
        <v>44256</v>
      </c>
      <c r="F792" s="2">
        <v>44462</v>
      </c>
      <c r="G792" s="23">
        <f>VLOOKUP(A792,'2.09.2021'!A$3:'2.09.2021'!I$202,7,)</f>
        <v>0.13749999999999998</v>
      </c>
      <c r="H792" t="str">
        <f>VLOOKUP(A792,'2.09.2021'!A$3:'2.09.2021'!I$202,8,)</f>
        <v>HIP-HOP/RAP</v>
      </c>
      <c r="I792" t="str">
        <f>VLOOKUP(A792,'2.09.2021'!A$3:'2.09.2021'!I$202,9,)</f>
        <v>Suedia</v>
      </c>
      <c r="J792" t="str">
        <f t="shared" si="30"/>
        <v>Nu</v>
      </c>
    </row>
    <row r="793" spans="1:10" x14ac:dyDescent="0.2">
      <c r="A793" t="s">
        <v>167</v>
      </c>
      <c r="B793" t="s">
        <v>4</v>
      </c>
      <c r="C793">
        <v>5526358</v>
      </c>
      <c r="D793" s="7">
        <f t="shared" si="29"/>
        <v>27631.79</v>
      </c>
      <c r="E793" s="2">
        <f>VLOOKUP(A793,'2.09.2021'!A$3:'2.09.2021'!I$202,5,)</f>
        <v>44437</v>
      </c>
      <c r="F793" s="2">
        <v>44462</v>
      </c>
      <c r="G793" s="23">
        <f>VLOOKUP(A793,'2.09.2021'!A$3:'2.09.2021'!I$202,7,)</f>
        <v>0.20625000000000002</v>
      </c>
      <c r="H793" t="str">
        <f>VLOOKUP(A793,'2.09.2021'!A$3:'2.09.2021'!I$202,8,)</f>
        <v>RHYTHM &amp; BLUES</v>
      </c>
      <c r="I793" t="str">
        <f>VLOOKUP(A793,'2.09.2021'!A$3:'2.09.2021'!I$202,9,)</f>
        <v>Marea Britanie</v>
      </c>
      <c r="J793" t="str">
        <f t="shared" si="30"/>
        <v>Nu</v>
      </c>
    </row>
    <row r="794" spans="1:10" x14ac:dyDescent="0.2">
      <c r="A794" t="s">
        <v>261</v>
      </c>
      <c r="B794" t="s">
        <v>262</v>
      </c>
      <c r="C794">
        <v>5519131</v>
      </c>
      <c r="D794" s="7">
        <f t="shared" si="29"/>
        <v>27595.655000000002</v>
      </c>
      <c r="E794" s="2">
        <f>VLOOKUP(A794,'2.09.2021'!A$3:'2.09.2021'!I$202,5,)</f>
        <v>44259</v>
      </c>
      <c r="F794" s="2">
        <v>44462</v>
      </c>
      <c r="G794" s="23">
        <f>VLOOKUP(A794,'2.09.2021'!A$3:'2.09.2021'!I$202,7,)</f>
        <v>0.10833333333333334</v>
      </c>
      <c r="H794" t="str">
        <f>VLOOKUP(A794,'2.09.2021'!A$3:'2.09.2021'!I$202,8,)</f>
        <v>HIP-HOP/RAP</v>
      </c>
      <c r="I794" t="str">
        <f>VLOOKUP(A794,'2.09.2021'!A$3:'2.09.2021'!I$202,9,)</f>
        <v>Marea Britanie</v>
      </c>
      <c r="J794" t="str">
        <f t="shared" si="30"/>
        <v>Nu</v>
      </c>
    </row>
    <row r="795" spans="1:10" x14ac:dyDescent="0.2">
      <c r="A795" t="s">
        <v>239</v>
      </c>
      <c r="B795" t="s">
        <v>240</v>
      </c>
      <c r="C795">
        <v>5505935</v>
      </c>
      <c r="D795" s="7">
        <f t="shared" ref="D795:D801" si="31">(C795/1000*5)</f>
        <v>27529.675000000003</v>
      </c>
      <c r="E795" s="2">
        <f>VLOOKUP(A795,'2.09.2021'!A$3:'2.09.2021'!I$202,5,)</f>
        <v>44407</v>
      </c>
      <c r="F795" s="2">
        <v>44462</v>
      </c>
      <c r="G795" s="23">
        <f>VLOOKUP(A795,'2.09.2021'!A$3:'2.09.2021'!I$202,7,)</f>
        <v>0.16874999999999998</v>
      </c>
      <c r="H795" t="str">
        <f>VLOOKUP(A795,'2.09.2021'!A$3:'2.09.2021'!I$202,8,)</f>
        <v>POP</v>
      </c>
      <c r="I795" t="str">
        <f>VLOOKUP(A795,'2.09.2021'!A$3:'2.09.2021'!I$202,9,)</f>
        <v>Irlanda</v>
      </c>
      <c r="J795" t="str">
        <f t="shared" si="30"/>
        <v>Nu</v>
      </c>
    </row>
    <row r="796" spans="1:10" x14ac:dyDescent="0.2">
      <c r="A796" t="s">
        <v>224</v>
      </c>
      <c r="B796" t="s">
        <v>225</v>
      </c>
      <c r="C796">
        <v>5474110</v>
      </c>
      <c r="D796" s="7">
        <f t="shared" si="31"/>
        <v>27370.55</v>
      </c>
      <c r="E796" s="2">
        <f>VLOOKUP(A796,'2.09.2021'!A$3:'2.09.2021'!I$202,5,)</f>
        <v>44460</v>
      </c>
      <c r="F796" s="2">
        <v>44462</v>
      </c>
      <c r="G796" s="23">
        <f>VLOOKUP(A796,'2.09.2021'!A$3:'2.09.2021'!I$202,7,)</f>
        <v>0.15694444444444444</v>
      </c>
      <c r="H796" t="str">
        <f>VLOOKUP(A796,'2.09.2021'!A$3:'2.09.2021'!I$202,8,)</f>
        <v>HIP-HOP/RAP</v>
      </c>
      <c r="I796" t="str">
        <f>VLOOKUP(A796,'2.09.2021'!A$3:'2.09.2021'!I$202,9,)</f>
        <v>Marea Britanie</v>
      </c>
      <c r="J796" t="str">
        <f t="shared" si="30"/>
        <v>Nu</v>
      </c>
    </row>
    <row r="797" spans="1:10" x14ac:dyDescent="0.2">
      <c r="A797" t="s">
        <v>345</v>
      </c>
      <c r="B797" t="s">
        <v>346</v>
      </c>
      <c r="C797">
        <v>5465605</v>
      </c>
      <c r="D797" s="7">
        <f t="shared" si="31"/>
        <v>27328.024999999998</v>
      </c>
      <c r="E797" s="2">
        <v>44315</v>
      </c>
      <c r="F797" s="2">
        <v>44462</v>
      </c>
      <c r="G797" s="23">
        <v>9.7916666666666666E-2</v>
      </c>
      <c r="H797" t="s">
        <v>418</v>
      </c>
      <c r="I797" t="s">
        <v>474</v>
      </c>
      <c r="J797" t="str">
        <f t="shared" si="30"/>
        <v>Nu</v>
      </c>
    </row>
    <row r="798" spans="1:10" x14ac:dyDescent="0.2">
      <c r="A798" t="s">
        <v>292</v>
      </c>
      <c r="B798" t="s">
        <v>43</v>
      </c>
      <c r="C798">
        <v>5464809</v>
      </c>
      <c r="D798" s="7">
        <f t="shared" si="31"/>
        <v>27324.045000000002</v>
      </c>
      <c r="E798" s="2">
        <f>VLOOKUP(A798,'2.09.2021'!A$3:'2.09.2021'!I$202,5,)</f>
        <v>44242</v>
      </c>
      <c r="F798" s="2">
        <v>44462</v>
      </c>
      <c r="G798" s="23">
        <f>VLOOKUP(A798,'2.09.2021'!A$3:'2.09.2021'!I$202,7,)</f>
        <v>0.14652777777777778</v>
      </c>
      <c r="H798" t="str">
        <f>VLOOKUP(A798,'2.09.2021'!A$3:'2.09.2021'!I$202,8,)</f>
        <v>RHYTHM &amp; BLUES</v>
      </c>
      <c r="I798" t="str">
        <f>VLOOKUP(A798,'2.09.2021'!A$3:'2.09.2021'!I$202,9,)</f>
        <v>Canada</v>
      </c>
      <c r="J798" t="str">
        <f t="shared" si="30"/>
        <v>Nu</v>
      </c>
    </row>
    <row r="799" spans="1:10" x14ac:dyDescent="0.2">
      <c r="A799" t="s">
        <v>252</v>
      </c>
      <c r="B799" t="s">
        <v>154</v>
      </c>
      <c r="C799">
        <v>5461991</v>
      </c>
      <c r="D799" s="7">
        <f t="shared" si="31"/>
        <v>27309.955000000002</v>
      </c>
      <c r="E799" s="2">
        <f>VLOOKUP(A799,'2.09.2021'!A$3:'2.09.2021'!I$202,5,)</f>
        <v>44338</v>
      </c>
      <c r="F799" s="2">
        <v>44462</v>
      </c>
      <c r="G799" s="23">
        <f>VLOOKUP(A799,'2.09.2021'!A$3:'2.09.2021'!I$202,7,)</f>
        <v>0.10069444444444443</v>
      </c>
      <c r="H799" t="str">
        <f>VLOOKUP(A799,'2.09.2021'!A$3:'2.09.2021'!I$202,8,)</f>
        <v>R&amp;B/SOUL</v>
      </c>
      <c r="I799" t="str">
        <f>VLOOKUP(A799,'2.09.2021'!A$3:'2.09.2021'!I$202,9,)</f>
        <v>SUA</v>
      </c>
      <c r="J799" t="str">
        <f t="shared" si="30"/>
        <v>Nu</v>
      </c>
    </row>
    <row r="800" spans="1:10" x14ac:dyDescent="0.2">
      <c r="A800" t="s">
        <v>347</v>
      </c>
      <c r="B800" t="s">
        <v>348</v>
      </c>
      <c r="C800">
        <v>5411385</v>
      </c>
      <c r="D800" s="7">
        <f t="shared" si="31"/>
        <v>27056.925000000003</v>
      </c>
      <c r="E800" s="2">
        <f>VLOOKUP(A800,'2.09.2021'!A$3:'2.09.2021'!I$202,5,)</f>
        <v>44238</v>
      </c>
      <c r="F800" s="2">
        <v>44462</v>
      </c>
      <c r="G800" s="23">
        <f>VLOOKUP(A800,'2.09.2021'!A$3:'2.09.2021'!I$202,7,)</f>
        <v>0.14722222222222223</v>
      </c>
      <c r="H800" t="str">
        <f>VLOOKUP(A800,'2.09.2021'!A$3:'2.09.2021'!I$202,8,)</f>
        <v>LATIN URBAN</v>
      </c>
      <c r="I800" t="str">
        <f>VLOOKUP(A800,'2.09.2021'!A$3:'2.09.2021'!I$202,9,)</f>
        <v>Puerto Rico</v>
      </c>
      <c r="J800" t="str">
        <f t="shared" si="30"/>
        <v>Nu</v>
      </c>
    </row>
    <row r="801" spans="1:10" x14ac:dyDescent="0.2">
      <c r="A801" t="s">
        <v>349</v>
      </c>
      <c r="B801" t="s">
        <v>350</v>
      </c>
      <c r="C801">
        <v>5409053</v>
      </c>
      <c r="D801" s="7">
        <f t="shared" si="31"/>
        <v>27045.264999999999</v>
      </c>
      <c r="E801" s="2">
        <f>VLOOKUP(A801,'2.09.2021'!A$3:'2.09.2021'!I$202,5,)</f>
        <v>44351</v>
      </c>
      <c r="F801" s="2">
        <v>44462</v>
      </c>
      <c r="G801" s="23">
        <f>VLOOKUP(A801,'2.09.2021'!A$3:'2.09.2021'!I$202,7,)</f>
        <v>0.14444444444444446</v>
      </c>
      <c r="H801" t="str">
        <f>VLOOKUP(A801,'2.09.2021'!A$3:'2.09.2021'!I$202,8,)</f>
        <v>HIP-HOP/RAP</v>
      </c>
      <c r="I801" t="str">
        <f>VLOOKUP(A801,'2.09.2021'!A$3:'2.09.2021'!I$202,9,)</f>
        <v>Marea Britanie</v>
      </c>
      <c r="J801" t="str">
        <f t="shared" si="30"/>
        <v>Nu</v>
      </c>
    </row>
    <row r="802" spans="1:10" x14ac:dyDescent="0.2">
      <c r="A802" t="s">
        <v>0</v>
      </c>
      <c r="B802" t="s">
        <v>1</v>
      </c>
      <c r="C802">
        <v>55885730</v>
      </c>
      <c r="D802" s="7">
        <f>(C802/1000*5)</f>
        <v>279428.65000000002</v>
      </c>
      <c r="E802" s="2">
        <f>VLOOKUP(A802,'2.09.2021'!A$3:'2.09.2021'!I$202,5,)</f>
        <v>44386</v>
      </c>
      <c r="F802" s="2">
        <v>44469</v>
      </c>
      <c r="G802" s="23">
        <f>VLOOKUP(A802,'2.09.2021'!A$3:'2.09.2021'!I$202,7,)</f>
        <v>9.7916666666666666E-2</v>
      </c>
      <c r="H802" t="str">
        <f>VLOOKUP(A802,'2.09.2021'!A$3:'2.09.2021'!I$202,8,)</f>
        <v>POP</v>
      </c>
      <c r="I802" t="str">
        <f>VLOOKUP(A802,'2.09.2021'!A$3:'2.09.2021'!I$202,9,)</f>
        <v>Australia</v>
      </c>
      <c r="J802" t="str">
        <f t="shared" si="30"/>
        <v>Da</v>
      </c>
    </row>
    <row r="803" spans="1:10" x14ac:dyDescent="0.2">
      <c r="A803" t="s">
        <v>436</v>
      </c>
      <c r="B803" t="s">
        <v>2</v>
      </c>
      <c r="C803">
        <v>47510601</v>
      </c>
      <c r="D803" s="7">
        <f t="shared" ref="D803:D866" si="32">(C803/1000*5)</f>
        <v>237553.005</v>
      </c>
      <c r="E803" s="2">
        <f>VLOOKUP(A803,'2.09.2021'!A$3:'2.09.2021'!I$202,5,)</f>
        <v>44400</v>
      </c>
      <c r="F803" s="2">
        <v>44469</v>
      </c>
      <c r="G803" s="23">
        <f>VLOOKUP(A803,'2.09.2021'!A$3:'2.09.2021'!I$202,7,)</f>
        <v>0.14722222222222223</v>
      </c>
      <c r="H803" t="str">
        <f>VLOOKUP(A803,'2.09.2021'!A$3:'2.09.2021'!I$202,8,)</f>
        <v>HIP-HOP/RAP</v>
      </c>
      <c r="I803" t="str">
        <f>VLOOKUP(A803,'2.09.2021'!A$3:'2.09.2021'!I$202,9,)</f>
        <v>SUA</v>
      </c>
      <c r="J803" t="str">
        <f t="shared" si="30"/>
        <v>Da</v>
      </c>
    </row>
    <row r="804" spans="1:10" x14ac:dyDescent="0.2">
      <c r="A804" t="s">
        <v>3</v>
      </c>
      <c r="B804" t="s">
        <v>4</v>
      </c>
      <c r="C804">
        <v>32790116</v>
      </c>
      <c r="D804" s="7">
        <f t="shared" si="32"/>
        <v>163950.58000000002</v>
      </c>
      <c r="E804" s="2">
        <v>44339</v>
      </c>
      <c r="F804" s="2">
        <v>44469</v>
      </c>
      <c r="G804" s="23">
        <v>0.14097222222222222</v>
      </c>
      <c r="H804" t="s">
        <v>433</v>
      </c>
      <c r="I804" t="s">
        <v>469</v>
      </c>
      <c r="J804" t="str">
        <f t="shared" si="30"/>
        <v>Nu</v>
      </c>
    </row>
    <row r="805" spans="1:10" x14ac:dyDescent="0.2">
      <c r="A805" t="s">
        <v>5</v>
      </c>
      <c r="B805" t="s">
        <v>6</v>
      </c>
      <c r="C805">
        <v>31067813</v>
      </c>
      <c r="D805" s="7">
        <f t="shared" si="32"/>
        <v>155339.065</v>
      </c>
      <c r="E805" s="2">
        <f>VLOOKUP(A805,'2.09.2021'!A$3:'2.09.2021'!I$202,5,)</f>
        <v>44050</v>
      </c>
      <c r="F805" s="2">
        <v>44469</v>
      </c>
      <c r="G805" s="23">
        <f>VLOOKUP(A805,'2.09.2021'!A$3:'2.09.2021'!I$202,7,)</f>
        <v>0.16527777777777777</v>
      </c>
      <c r="H805" t="str">
        <f>VLOOKUP(A805,'2.09.2021'!A$3:'2.09.2021'!I$202,8,)</f>
        <v>POP</v>
      </c>
      <c r="I805" t="str">
        <f>VLOOKUP(A805,'2.09.2021'!A$3:'2.09.2021'!I$202,9,)</f>
        <v>Marea Britanie</v>
      </c>
      <c r="J805" t="str">
        <f t="shared" si="30"/>
        <v>Nu</v>
      </c>
    </row>
    <row r="806" spans="1:10" x14ac:dyDescent="0.2">
      <c r="A806" t="s">
        <v>7</v>
      </c>
      <c r="B806" t="s">
        <v>8</v>
      </c>
      <c r="C806">
        <v>29289287</v>
      </c>
      <c r="D806" s="7">
        <f t="shared" si="32"/>
        <v>146446.435</v>
      </c>
      <c r="E806" s="2">
        <f>VLOOKUP(A806,'2.09.2021'!A$3:'2.09.2021'!I$202,5,)</f>
        <v>44538</v>
      </c>
      <c r="F806" s="2">
        <v>44469</v>
      </c>
      <c r="G806" s="23">
        <f>VLOOKUP(A806,'2.09.2021'!A$3:'2.09.2021'!I$202,7,)</f>
        <v>0.19930555555555554</v>
      </c>
      <c r="H806" t="str">
        <f>VLOOKUP(A806,'2.09.2021'!A$3:'2.09.2021'!I$202,8,)</f>
        <v>LATIN URBAN</v>
      </c>
      <c r="I806" t="str">
        <f>VLOOKUP(A806,'2.09.2021'!A$3:'2.09.2021'!I$202,9,)</f>
        <v>Puerto Rico</v>
      </c>
      <c r="J806" t="str">
        <f t="shared" si="30"/>
        <v>Nu</v>
      </c>
    </row>
    <row r="807" spans="1:10" x14ac:dyDescent="0.2">
      <c r="A807" t="s">
        <v>9</v>
      </c>
      <c r="B807" t="s">
        <v>10</v>
      </c>
      <c r="C807">
        <v>29024050</v>
      </c>
      <c r="D807" s="7">
        <f t="shared" si="32"/>
        <v>145120.25</v>
      </c>
      <c r="E807" s="2">
        <f>VLOOKUP(A807,'2.09.2021'!A$3:'2.09.2021'!I$202,5,)</f>
        <v>44358</v>
      </c>
      <c r="F807" s="2">
        <v>44469</v>
      </c>
      <c r="G807" s="23">
        <f>VLOOKUP(A807,'2.09.2021'!A$3:'2.09.2021'!I$202,7,)</f>
        <v>0.14722222222222223</v>
      </c>
      <c r="H807" t="str">
        <f>VLOOKUP(A807,'2.09.2021'!A$3:'2.09.2021'!I$202,8,)</f>
        <v>POP</v>
      </c>
      <c r="I807" t="str">
        <f>VLOOKUP(A807,'2.09.2021'!A$3:'2.09.2021'!I$202,9,)</f>
        <v>Marea Britanie</v>
      </c>
      <c r="J807" t="str">
        <f t="shared" si="30"/>
        <v>Nu</v>
      </c>
    </row>
    <row r="808" spans="1:10" x14ac:dyDescent="0.2">
      <c r="A808" t="s">
        <v>11</v>
      </c>
      <c r="B808" t="s">
        <v>12</v>
      </c>
      <c r="C808">
        <v>27995514</v>
      </c>
      <c r="D808" s="7">
        <f t="shared" si="32"/>
        <v>139977.57</v>
      </c>
      <c r="E808" s="2">
        <f>VLOOKUP(A808,'2.09.2021'!A$3:'2.09.2021'!I$202,5,)</f>
        <v>44374</v>
      </c>
      <c r="F808" s="2">
        <v>44469</v>
      </c>
      <c r="G808" s="23">
        <f>VLOOKUP(A808,'2.09.2021'!A$3:'2.09.2021'!I$202,7,)</f>
        <v>0.10069444444444443</v>
      </c>
      <c r="H808" t="str">
        <f>VLOOKUP(A808,'2.09.2021'!A$3:'2.09.2021'!I$202,8,)</f>
        <v>POP</v>
      </c>
      <c r="I808" t="str">
        <f>VLOOKUP(A808,'2.09.2021'!A$3:'2.09.2021'!I$202,9,)</f>
        <v>SUA</v>
      </c>
      <c r="J808" t="str">
        <f t="shared" si="30"/>
        <v>Nu</v>
      </c>
    </row>
    <row r="809" spans="1:10" x14ac:dyDescent="0.2">
      <c r="A809" t="s">
        <v>13</v>
      </c>
      <c r="B809" t="s">
        <v>10</v>
      </c>
      <c r="C809">
        <v>26022703</v>
      </c>
      <c r="D809" s="7">
        <f t="shared" si="32"/>
        <v>130113.51500000001</v>
      </c>
      <c r="E809" s="2">
        <v>44315</v>
      </c>
      <c r="F809" s="2">
        <v>44469</v>
      </c>
      <c r="G809" s="23">
        <v>0.10555555555555556</v>
      </c>
      <c r="H809" t="s">
        <v>422</v>
      </c>
      <c r="I809" t="s">
        <v>469</v>
      </c>
      <c r="J809" t="str">
        <f t="shared" si="30"/>
        <v>Nu</v>
      </c>
    </row>
    <row r="810" spans="1:10" x14ac:dyDescent="0.2">
      <c r="A810" t="s">
        <v>14</v>
      </c>
      <c r="B810" t="s">
        <v>2</v>
      </c>
      <c r="C810">
        <v>25839821</v>
      </c>
      <c r="D810" s="7">
        <f t="shared" si="32"/>
        <v>129199.105</v>
      </c>
      <c r="E810" s="2">
        <v>44316</v>
      </c>
      <c r="F810" s="2">
        <v>44469</v>
      </c>
      <c r="G810" s="23">
        <v>0.18124999999999999</v>
      </c>
      <c r="H810" t="s">
        <v>422</v>
      </c>
      <c r="I810" t="s">
        <v>468</v>
      </c>
      <c r="J810" t="str">
        <f t="shared" si="30"/>
        <v>Nu</v>
      </c>
    </row>
    <row r="811" spans="1:10" x14ac:dyDescent="0.2">
      <c r="A811" t="s">
        <v>15</v>
      </c>
      <c r="B811" t="s">
        <v>415</v>
      </c>
      <c r="C811">
        <v>24387323</v>
      </c>
      <c r="D811" s="7">
        <f t="shared" si="32"/>
        <v>121936.61500000001</v>
      </c>
      <c r="E811" s="2">
        <f>VLOOKUP(A811,'2.09.2021'!A$3:'2.09.2021'!I$202,5,)</f>
        <v>43077</v>
      </c>
      <c r="F811" s="2">
        <v>44469</v>
      </c>
      <c r="G811" s="23">
        <f>VLOOKUP(A811,'2.09.2021'!A$3:'2.09.2021'!I$202,7,)</f>
        <v>0.14652777777777778</v>
      </c>
      <c r="H811" t="str">
        <f>VLOOKUP(A811,'2.09.2021'!A$3:'2.09.2021'!I$202,8,)</f>
        <v>ROCK</v>
      </c>
      <c r="I811" t="str">
        <f>VLOOKUP(A811,'2.09.2021'!A$3:'2.09.2021'!I$202,9,)</f>
        <v>Italia</v>
      </c>
      <c r="J811" t="str">
        <f t="shared" si="30"/>
        <v>Nu</v>
      </c>
    </row>
    <row r="812" spans="1:10" x14ac:dyDescent="0.2">
      <c r="A812" t="s">
        <v>16</v>
      </c>
      <c r="B812" t="s">
        <v>17</v>
      </c>
      <c r="C812">
        <v>23551560</v>
      </c>
      <c r="D812" s="7">
        <f t="shared" si="32"/>
        <v>117757.8</v>
      </c>
      <c r="E812" s="2">
        <f>VLOOKUP(A812,'2.09.2021'!A$3:'2.09.2021'!I$202,5,)</f>
        <v>44337</v>
      </c>
      <c r="F812" s="2">
        <v>44469</v>
      </c>
      <c r="G812" s="23">
        <f>VLOOKUP(A812,'2.09.2021'!A$3:'2.09.2021'!I$202,7,)</f>
        <v>0.12361111111111112</v>
      </c>
      <c r="H812" t="str">
        <f>VLOOKUP(A812,'2.09.2021'!A$3:'2.09.2021'!I$202,8,)</f>
        <v>POP</v>
      </c>
      <c r="I812" t="str">
        <f>VLOOKUP(A812,'2.09.2021'!A$3:'2.09.2021'!I$202,9,)</f>
        <v>SUA</v>
      </c>
      <c r="J812" t="str">
        <f t="shared" si="30"/>
        <v>Nu</v>
      </c>
    </row>
    <row r="813" spans="1:10" x14ac:dyDescent="0.2">
      <c r="A813" t="s">
        <v>18</v>
      </c>
      <c r="B813" t="s">
        <v>2</v>
      </c>
      <c r="C813">
        <v>23544094</v>
      </c>
      <c r="D813" s="7">
        <f t="shared" si="32"/>
        <v>117720.47</v>
      </c>
      <c r="E813" s="2">
        <f>VLOOKUP(A813,'2.09.2021'!A$3:'2.09.2021'!I$202,5,)</f>
        <v>44456</v>
      </c>
      <c r="F813" s="2">
        <v>44469</v>
      </c>
      <c r="G813" s="23">
        <f>VLOOKUP(A813,'2.09.2021'!A$3:'2.09.2021'!I$202,7,)</f>
        <v>9.5138888888888884E-2</v>
      </c>
      <c r="H813" t="str">
        <f>VLOOKUP(A813,'2.09.2021'!A$3:'2.09.2021'!I$202,8,)</f>
        <v>POP</v>
      </c>
      <c r="I813" t="str">
        <f>VLOOKUP(A813,'2.09.2021'!A$3:'2.09.2021'!I$202,9,)</f>
        <v>SUA</v>
      </c>
      <c r="J813" t="str">
        <f t="shared" si="30"/>
        <v>Nu</v>
      </c>
    </row>
    <row r="814" spans="1:10" x14ac:dyDescent="0.2">
      <c r="A814" t="s">
        <v>19</v>
      </c>
      <c r="B814" t="s">
        <v>20</v>
      </c>
      <c r="C814">
        <v>20625145</v>
      </c>
      <c r="D814" s="7">
        <f t="shared" si="32"/>
        <v>103125.72500000001</v>
      </c>
      <c r="E814" s="2">
        <v>44246</v>
      </c>
      <c r="F814" s="2">
        <v>44469</v>
      </c>
      <c r="G814" s="23">
        <v>0.16388888888888889</v>
      </c>
      <c r="H814" t="s">
        <v>423</v>
      </c>
      <c r="I814" t="s">
        <v>420</v>
      </c>
      <c r="J814" t="str">
        <f t="shared" si="30"/>
        <v>Da</v>
      </c>
    </row>
    <row r="815" spans="1:10" x14ac:dyDescent="0.2">
      <c r="A815" t="s">
        <v>21</v>
      </c>
      <c r="B815" t="s">
        <v>12</v>
      </c>
      <c r="C815">
        <v>20494448</v>
      </c>
      <c r="D815" s="7">
        <f t="shared" si="32"/>
        <v>102472.24</v>
      </c>
      <c r="E815" s="2">
        <f>VLOOKUP(A815,'2.09.2021'!A$3:'2.09.2021'!I$202,5,)</f>
        <v>44371</v>
      </c>
      <c r="F815" s="2">
        <v>44469</v>
      </c>
      <c r="G815" s="23">
        <f>VLOOKUP(A815,'2.09.2021'!A$3:'2.09.2021'!I$202,7,)</f>
        <v>0.14583333333333334</v>
      </c>
      <c r="H815" t="str">
        <f>VLOOKUP(A815,'2.09.2021'!A$3:'2.09.2021'!I$202,8,)</f>
        <v>POP</v>
      </c>
      <c r="I815" t="str">
        <f>VLOOKUP(A815,'2.09.2021'!A$3:'2.09.2021'!I$202,9,)</f>
        <v>SUA</v>
      </c>
      <c r="J815" t="str">
        <f t="shared" si="30"/>
        <v>Nu</v>
      </c>
    </row>
    <row r="816" spans="1:10" x14ac:dyDescent="0.2">
      <c r="A816" t="s">
        <v>22</v>
      </c>
      <c r="B816" t="s">
        <v>23</v>
      </c>
      <c r="C816">
        <v>19975909</v>
      </c>
      <c r="D816" s="7">
        <f t="shared" si="32"/>
        <v>99879.544999999998</v>
      </c>
      <c r="E816" s="2">
        <f>VLOOKUP(A816,'2.09.2021'!A$3:'2.09.2021'!I$202,5,)</f>
        <v>44407</v>
      </c>
      <c r="F816" s="2">
        <v>44469</v>
      </c>
      <c r="G816" s="23">
        <f>VLOOKUP(A816,'2.09.2021'!A$3:'2.09.2021'!I$202,7,)</f>
        <v>0.20694444444444446</v>
      </c>
      <c r="H816" t="str">
        <f>VLOOKUP(A816,'2.09.2021'!A$3:'2.09.2021'!I$202,8,)</f>
        <v>ALTERNATIVE</v>
      </c>
      <c r="I816" t="str">
        <f>VLOOKUP(A816,'2.09.2021'!A$3:'2.09.2021'!I$202,9,)</f>
        <v>SUA</v>
      </c>
      <c r="J816" t="str">
        <f t="shared" si="30"/>
        <v>Nu</v>
      </c>
    </row>
    <row r="817" spans="1:10" x14ac:dyDescent="0.2">
      <c r="A817" t="s">
        <v>24</v>
      </c>
      <c r="B817" t="s">
        <v>25</v>
      </c>
      <c r="C817">
        <v>19974579</v>
      </c>
      <c r="D817" s="7">
        <f t="shared" si="32"/>
        <v>99872.895000000004</v>
      </c>
      <c r="E817" s="2">
        <v>44337</v>
      </c>
      <c r="F817" s="2">
        <v>44469</v>
      </c>
      <c r="G817" s="23">
        <v>0.1013888888888889</v>
      </c>
      <c r="H817" t="s">
        <v>498</v>
      </c>
      <c r="I817" t="s">
        <v>497</v>
      </c>
      <c r="J817" t="str">
        <f t="shared" si="30"/>
        <v>Nu</v>
      </c>
    </row>
    <row r="818" spans="1:10" x14ac:dyDescent="0.2">
      <c r="A818" t="s">
        <v>26</v>
      </c>
      <c r="B818" t="s">
        <v>27</v>
      </c>
      <c r="C818">
        <v>19485554</v>
      </c>
      <c r="D818" s="7">
        <f t="shared" si="32"/>
        <v>97427.77</v>
      </c>
      <c r="E818" s="2">
        <f>VLOOKUP(A818,'2.09.2021'!A$3:'2.09.2021'!I$202,5,)</f>
        <v>44421</v>
      </c>
      <c r="F818" s="2">
        <v>44469</v>
      </c>
      <c r="G818" s="23">
        <f>VLOOKUP(A818,'2.09.2021'!A$3:'2.09.2021'!I$202,7,)</f>
        <v>0.14027777777777778</v>
      </c>
      <c r="H818" t="str">
        <f>VLOOKUP(A818,'2.09.2021'!A$3:'2.09.2021'!I$202,8,)</f>
        <v>POP</v>
      </c>
      <c r="I818" t="str">
        <f>VLOOKUP(A818,'2.09.2021'!A$3:'2.09.2021'!I$202,9,)</f>
        <v>Marea Britanie</v>
      </c>
      <c r="J818" t="str">
        <f t="shared" si="30"/>
        <v>Nu</v>
      </c>
    </row>
    <row r="819" spans="1:10" x14ac:dyDescent="0.2">
      <c r="A819" t="s">
        <v>28</v>
      </c>
      <c r="B819" t="s">
        <v>29</v>
      </c>
      <c r="C819">
        <v>19268564</v>
      </c>
      <c r="D819" s="7">
        <f t="shared" si="32"/>
        <v>96342.819999999992</v>
      </c>
      <c r="E819" s="2">
        <v>44197</v>
      </c>
      <c r="F819" s="2">
        <v>44469</v>
      </c>
      <c r="G819" s="23">
        <v>0.12569444444444444</v>
      </c>
      <c r="H819" t="s">
        <v>422</v>
      </c>
      <c r="I819" t="s">
        <v>468</v>
      </c>
      <c r="J819" t="str">
        <f t="shared" si="30"/>
        <v>Nu</v>
      </c>
    </row>
    <row r="820" spans="1:10" x14ac:dyDescent="0.2">
      <c r="A820" t="s">
        <v>437</v>
      </c>
      <c r="B820" t="s">
        <v>12</v>
      </c>
      <c r="C820">
        <v>18642369</v>
      </c>
      <c r="D820" s="7">
        <f t="shared" si="32"/>
        <v>93211.845000000001</v>
      </c>
      <c r="E820" s="2">
        <f>VLOOKUP(A820,'2.09.2021'!A$3:'2.09.2021'!I$202,5,)</f>
        <v>44295</v>
      </c>
      <c r="F820" s="2">
        <v>44469</v>
      </c>
      <c r="G820" s="23">
        <f>VLOOKUP(A820,'2.09.2021'!A$3:'2.09.2021'!I$202,7,)</f>
        <v>0.14444444444444446</v>
      </c>
      <c r="H820" t="str">
        <f>VLOOKUP(A820,'2.09.2021'!A$3:'2.09.2021'!I$202,8,)</f>
        <v>POP</v>
      </c>
      <c r="I820" t="str">
        <f>VLOOKUP(A820,'2.09.2021'!A$3:'2.09.2021'!I$202,9,)</f>
        <v>SUA</v>
      </c>
      <c r="J820" t="str">
        <f t="shared" si="30"/>
        <v>Da</v>
      </c>
    </row>
    <row r="821" spans="1:10" x14ac:dyDescent="0.2">
      <c r="A821" t="s">
        <v>30</v>
      </c>
      <c r="B821" t="s">
        <v>20</v>
      </c>
      <c r="C821">
        <v>16714273</v>
      </c>
      <c r="D821" s="7">
        <f t="shared" si="32"/>
        <v>83571.365000000005</v>
      </c>
      <c r="E821" s="2">
        <v>44341</v>
      </c>
      <c r="F821" s="2">
        <v>44469</v>
      </c>
      <c r="G821" s="23">
        <v>0.14861111111111111</v>
      </c>
      <c r="H821" t="s">
        <v>423</v>
      </c>
      <c r="I821" t="s">
        <v>420</v>
      </c>
      <c r="J821" t="str">
        <f t="shared" si="30"/>
        <v>Da</v>
      </c>
    </row>
    <row r="822" spans="1:10" x14ac:dyDescent="0.2">
      <c r="A822" t="s">
        <v>438</v>
      </c>
      <c r="B822" t="s">
        <v>25</v>
      </c>
      <c r="C822">
        <v>16305632</v>
      </c>
      <c r="D822" s="7">
        <f t="shared" si="32"/>
        <v>81528.160000000003</v>
      </c>
      <c r="E822" s="2">
        <v>44437</v>
      </c>
      <c r="F822" s="2">
        <v>44469</v>
      </c>
      <c r="G822" s="23">
        <v>0.18124999999999999</v>
      </c>
      <c r="H822" t="s">
        <v>498</v>
      </c>
      <c r="I822" t="s">
        <v>497</v>
      </c>
      <c r="J822" t="str">
        <f t="shared" si="30"/>
        <v>Da</v>
      </c>
    </row>
    <row r="823" spans="1:10" x14ac:dyDescent="0.2">
      <c r="A823" t="s">
        <v>31</v>
      </c>
      <c r="B823" t="s">
        <v>32</v>
      </c>
      <c r="C823">
        <v>16199560</v>
      </c>
      <c r="D823" s="7">
        <f t="shared" si="32"/>
        <v>80997.8</v>
      </c>
      <c r="E823" s="2">
        <f>VLOOKUP(A823,'2.09.2021'!A$3:'2.09.2021'!I$202,5,)</f>
        <v>44351</v>
      </c>
      <c r="F823" s="2">
        <v>44469</v>
      </c>
      <c r="G823" s="23">
        <f>VLOOKUP(A823,'2.09.2021'!A$3:'2.09.2021'!I$202,7,)</f>
        <v>0.14305555555555557</v>
      </c>
      <c r="H823" t="str">
        <f>VLOOKUP(A823,'2.09.2021'!A$3:'2.09.2021'!I$202,8,)</f>
        <v>LATIN URBAN</v>
      </c>
      <c r="I823" t="str">
        <f>VLOOKUP(A823,'2.09.2021'!A$3:'2.09.2021'!I$202,9,)</f>
        <v>Puerto Rico</v>
      </c>
      <c r="J823" t="str">
        <f t="shared" si="30"/>
        <v>Nu</v>
      </c>
    </row>
    <row r="824" spans="1:10" x14ac:dyDescent="0.2">
      <c r="A824" t="s">
        <v>33</v>
      </c>
      <c r="B824" t="s">
        <v>34</v>
      </c>
      <c r="C824">
        <v>15778535</v>
      </c>
      <c r="D824" s="7">
        <f t="shared" si="32"/>
        <v>78892.675000000003</v>
      </c>
      <c r="E824" s="2">
        <f>VLOOKUP(A824,'2.09.2021'!A$3:'2.09.2021'!I$202,5,)</f>
        <v>44338</v>
      </c>
      <c r="F824" s="2">
        <v>44469</v>
      </c>
      <c r="G824" s="23">
        <f>VLOOKUP(A824,'2.09.2021'!A$3:'2.09.2021'!I$202,7,)</f>
        <v>0.13819444444444443</v>
      </c>
      <c r="H824" t="str">
        <f>VLOOKUP(A824,'2.09.2021'!A$3:'2.09.2021'!I$202,8,)</f>
        <v>LATIN URBAN</v>
      </c>
      <c r="I824" t="str">
        <f>VLOOKUP(A824,'2.09.2021'!A$3:'2.09.2021'!I$202,9,)</f>
        <v>Puerto Rico</v>
      </c>
      <c r="J824" t="str">
        <f t="shared" si="30"/>
        <v>Nu</v>
      </c>
    </row>
    <row r="825" spans="1:10" x14ac:dyDescent="0.2">
      <c r="A825" t="s">
        <v>35</v>
      </c>
      <c r="B825" t="s">
        <v>20</v>
      </c>
      <c r="C825">
        <v>15077355</v>
      </c>
      <c r="D825" s="7">
        <f t="shared" si="32"/>
        <v>75386.774999999994</v>
      </c>
      <c r="E825" s="2">
        <v>44313</v>
      </c>
      <c r="F825" s="2">
        <v>44469</v>
      </c>
      <c r="G825" s="23">
        <v>0.16180555555555556</v>
      </c>
      <c r="H825" t="s">
        <v>423</v>
      </c>
      <c r="I825" t="s">
        <v>420</v>
      </c>
      <c r="J825" t="str">
        <f t="shared" si="30"/>
        <v>Da</v>
      </c>
    </row>
    <row r="826" spans="1:10" x14ac:dyDescent="0.2">
      <c r="A826" t="s">
        <v>414</v>
      </c>
      <c r="B826" t="s">
        <v>36</v>
      </c>
      <c r="C826">
        <v>15058863</v>
      </c>
      <c r="D826" s="7">
        <f t="shared" si="32"/>
        <v>75294.315000000002</v>
      </c>
      <c r="E826" s="2">
        <f>VLOOKUP(A826,'2.09.2021'!A$3:'2.09.2021'!I$202,5,)</f>
        <v>44411</v>
      </c>
      <c r="F826" s="2">
        <v>44469</v>
      </c>
      <c r="G826" s="23">
        <v>0.10555555555555556</v>
      </c>
      <c r="H826" t="s">
        <v>422</v>
      </c>
      <c r="I826" t="s">
        <v>487</v>
      </c>
      <c r="J826" t="str">
        <f t="shared" si="30"/>
        <v>Nu</v>
      </c>
    </row>
    <row r="827" spans="1:10" x14ac:dyDescent="0.2">
      <c r="A827" t="s">
        <v>37</v>
      </c>
      <c r="B827" t="s">
        <v>17</v>
      </c>
      <c r="C827">
        <v>14875224</v>
      </c>
      <c r="D827" s="7">
        <f t="shared" si="32"/>
        <v>74376.12</v>
      </c>
      <c r="E827" s="2">
        <f>VLOOKUP(A827,'2.09.2021'!A$3:'2.09.2021'!I$202,5,)</f>
        <v>44337</v>
      </c>
      <c r="F827" s="2">
        <v>44469</v>
      </c>
      <c r="G827" s="23">
        <f>VLOOKUP(A827,'2.09.2021'!A$3:'2.09.2021'!I$202,7,)</f>
        <v>0.15902777777777777</v>
      </c>
      <c r="H827" t="str">
        <f>VLOOKUP(A827,'2.09.2021'!A$3:'2.09.2021'!I$202,8,)</f>
        <v>POP</v>
      </c>
      <c r="I827" t="str">
        <f>VLOOKUP(A827,'2.09.2021'!A$3:'2.09.2021'!I$202,9,)</f>
        <v>SUA</v>
      </c>
      <c r="J827" t="str">
        <f t="shared" si="30"/>
        <v>Nu</v>
      </c>
    </row>
    <row r="828" spans="1:10" x14ac:dyDescent="0.2">
      <c r="A828" t="s">
        <v>439</v>
      </c>
      <c r="B828" t="s">
        <v>38</v>
      </c>
      <c r="C828">
        <v>14800239</v>
      </c>
      <c r="D828" s="7">
        <f t="shared" si="32"/>
        <v>74001.194999999992</v>
      </c>
      <c r="E828" s="2">
        <f>VLOOKUP(A828,'2.09.2021'!A$3:'2.09.2021'!I$202,5,)</f>
        <v>43917</v>
      </c>
      <c r="F828" s="2">
        <v>44469</v>
      </c>
      <c r="G828" s="23">
        <f>VLOOKUP(A828,'2.09.2021'!A$3:'2.09.2021'!I$202,7,)</f>
        <v>0.14097222222222222</v>
      </c>
      <c r="H828" t="str">
        <f>VLOOKUP(A828,'2.09.2021'!A$3:'2.09.2021'!I$202,8,)</f>
        <v>POP</v>
      </c>
      <c r="I828" t="str">
        <f>VLOOKUP(A828,'2.09.2021'!A$3:'2.09.2021'!I$202,9,)</f>
        <v>Marea Britanie</v>
      </c>
      <c r="J828" t="str">
        <f t="shared" si="30"/>
        <v>Da</v>
      </c>
    </row>
    <row r="829" spans="1:10" x14ac:dyDescent="0.2">
      <c r="A829" t="s">
        <v>39</v>
      </c>
      <c r="B829" t="s">
        <v>40</v>
      </c>
      <c r="C829">
        <v>14488602</v>
      </c>
      <c r="D829" s="7">
        <f t="shared" si="32"/>
        <v>72443.010000000009</v>
      </c>
      <c r="E829" s="2">
        <v>44257</v>
      </c>
      <c r="F829" s="2">
        <v>44469</v>
      </c>
      <c r="G829" s="23">
        <v>0.1388888888888889</v>
      </c>
      <c r="H829" t="s">
        <v>423</v>
      </c>
      <c r="I829" t="s">
        <v>499</v>
      </c>
      <c r="J829" t="str">
        <f t="shared" si="30"/>
        <v>Nu</v>
      </c>
    </row>
    <row r="830" spans="1:10" x14ac:dyDescent="0.2">
      <c r="A830" t="s">
        <v>41</v>
      </c>
      <c r="B830" t="s">
        <v>42</v>
      </c>
      <c r="C830">
        <v>14189564</v>
      </c>
      <c r="D830" s="7">
        <f t="shared" si="32"/>
        <v>70947.820000000007</v>
      </c>
      <c r="E830" s="2">
        <f>VLOOKUP(A830,'2.09.2021'!A$3:'2.09.2021'!I$202,5,)</f>
        <v>44379</v>
      </c>
      <c r="F830" s="2">
        <v>44469</v>
      </c>
      <c r="G830" s="23">
        <f>VLOOKUP(A830,'2.09.2021'!A$3:'2.09.2021'!I$202,7,)</f>
        <v>9.0277777777777776E-2</v>
      </c>
      <c r="H830" t="str">
        <f>VLOOKUP(A830,'2.09.2021'!A$3:'2.09.2021'!I$202,8,)</f>
        <v>LATIN URBAN</v>
      </c>
      <c r="I830" t="str">
        <f>VLOOKUP(A830,'2.09.2021'!A$3:'2.09.2021'!I$202,9,)</f>
        <v>Columbia</v>
      </c>
      <c r="J830" t="str">
        <f t="shared" si="30"/>
        <v>Nu</v>
      </c>
    </row>
    <row r="831" spans="1:10" x14ac:dyDescent="0.2">
      <c r="A831" t="s">
        <v>440</v>
      </c>
      <c r="B831" t="s">
        <v>43</v>
      </c>
      <c r="C831">
        <v>13613633</v>
      </c>
      <c r="D831" s="7">
        <f t="shared" si="32"/>
        <v>68068.164999999994</v>
      </c>
      <c r="E831" s="2">
        <f>VLOOKUP(A831,'2.09.2021'!A$3:'2.09.2021'!I$202,5,)</f>
        <v>44274</v>
      </c>
      <c r="F831" s="2">
        <v>44469</v>
      </c>
      <c r="G831" s="23">
        <f>VLOOKUP(A831,'2.09.2021'!A$3:'2.09.2021'!I$202,7,)</f>
        <v>0.13749999999999998</v>
      </c>
      <c r="H831" t="str">
        <f>VLOOKUP(A831,'2.09.2021'!A$3:'2.09.2021'!I$202,8,)</f>
        <v>POP</v>
      </c>
      <c r="I831" t="str">
        <f>VLOOKUP(A831,'2.09.2021'!A$3:'2.09.2021'!I$202,9,)</f>
        <v>Canada</v>
      </c>
      <c r="J831" t="str">
        <f t="shared" si="30"/>
        <v>Da</v>
      </c>
    </row>
    <row r="832" spans="1:10" x14ac:dyDescent="0.2">
      <c r="A832" t="s">
        <v>44</v>
      </c>
      <c r="B832" t="s">
        <v>40</v>
      </c>
      <c r="C832">
        <v>13545135</v>
      </c>
      <c r="D832" s="7">
        <f t="shared" si="32"/>
        <v>67725.675000000003</v>
      </c>
      <c r="E832" s="2">
        <v>44445</v>
      </c>
      <c r="F832" s="2">
        <v>44469</v>
      </c>
      <c r="G832" s="23">
        <v>9.8611111111111108E-2</v>
      </c>
      <c r="H832" t="s">
        <v>422</v>
      </c>
      <c r="I832" t="s">
        <v>420</v>
      </c>
      <c r="J832" t="str">
        <f t="shared" si="30"/>
        <v>Nu</v>
      </c>
    </row>
    <row r="833" spans="1:10" x14ac:dyDescent="0.2">
      <c r="A833" t="s">
        <v>45</v>
      </c>
      <c r="B833" t="s">
        <v>46</v>
      </c>
      <c r="C833">
        <v>13244817</v>
      </c>
      <c r="D833" s="7">
        <f t="shared" si="32"/>
        <v>66224.084999999992</v>
      </c>
      <c r="E833" s="2">
        <f>VLOOKUP(A833,'2.09.2021'!A$3:'2.09.2021'!I$202,5,)</f>
        <v>44414</v>
      </c>
      <c r="F833" s="2">
        <v>44469</v>
      </c>
      <c r="G833" s="23">
        <f>VLOOKUP(A833,'2.09.2021'!A$3:'2.09.2021'!I$202,7,)</f>
        <v>0.15277777777777776</v>
      </c>
      <c r="H833" t="str">
        <f>VLOOKUP(A833,'2.09.2021'!A$3:'2.09.2021'!I$202,8,)</f>
        <v>R&amp;B/SOUL</v>
      </c>
      <c r="I833" t="str">
        <f>VLOOKUP(A833,'2.09.2021'!A$3:'2.09.2021'!I$202,9,)</f>
        <v>Canada</v>
      </c>
      <c r="J833" t="str">
        <f t="shared" si="30"/>
        <v>Nu</v>
      </c>
    </row>
    <row r="834" spans="1:10" x14ac:dyDescent="0.2">
      <c r="A834" t="s">
        <v>47</v>
      </c>
      <c r="B834" t="s">
        <v>48</v>
      </c>
      <c r="C834">
        <v>13161436</v>
      </c>
      <c r="D834" s="7">
        <f t="shared" si="32"/>
        <v>65807.179999999993</v>
      </c>
      <c r="E834" s="2">
        <v>44347</v>
      </c>
      <c r="F834" s="2">
        <v>44469</v>
      </c>
      <c r="G834" s="23">
        <v>0.15625</v>
      </c>
      <c r="H834" t="s">
        <v>422</v>
      </c>
      <c r="I834" t="s">
        <v>468</v>
      </c>
      <c r="J834" t="str">
        <f t="shared" ref="J834:J897" si="33">IF(ISNUMBER(SEARCH("with",A834)),"Da","Nu")</f>
        <v>Nu</v>
      </c>
    </row>
    <row r="835" spans="1:10" x14ac:dyDescent="0.2">
      <c r="A835" t="s">
        <v>417</v>
      </c>
      <c r="B835" t="s">
        <v>42</v>
      </c>
      <c r="C835">
        <v>12845957</v>
      </c>
      <c r="D835" s="7">
        <f t="shared" si="32"/>
        <v>64229.785000000003</v>
      </c>
      <c r="E835" s="2">
        <f>VLOOKUP(A835,'2.09.2021'!A$3:'2.09.2021'!I$202,5,)</f>
        <v>44344</v>
      </c>
      <c r="F835" s="2">
        <v>44469</v>
      </c>
      <c r="G835" s="23">
        <f>VLOOKUP(A835,'2.09.2021'!A$3:'2.09.2021'!I$202,7,)</f>
        <v>0.15069444444444444</v>
      </c>
      <c r="H835" t="str">
        <f>VLOOKUP(A835,'2.09.2021'!A$3:'2.09.2021'!I$202,8,)</f>
        <v>LATIN URBAN</v>
      </c>
      <c r="I835" t="str">
        <f>VLOOKUP(A835,'2.09.2021'!A$3:'2.09.2021'!I$202,9,)</f>
        <v>Columbia</v>
      </c>
      <c r="J835" t="str">
        <f t="shared" si="33"/>
        <v>Nu</v>
      </c>
    </row>
    <row r="836" spans="1:10" x14ac:dyDescent="0.2">
      <c r="A836" t="s">
        <v>49</v>
      </c>
      <c r="B836" t="s">
        <v>46</v>
      </c>
      <c r="C836">
        <v>12810321</v>
      </c>
      <c r="D836" s="7">
        <f t="shared" si="32"/>
        <v>64051.604999999996</v>
      </c>
      <c r="E836" s="2">
        <f>VLOOKUP(A836,'2.09.2021'!A$3:'2.09.2021'!I$202,5,)</f>
        <v>43798</v>
      </c>
      <c r="F836" s="2">
        <v>44469</v>
      </c>
      <c r="G836" s="23">
        <f>VLOOKUP(A836,'2.09.2021'!A$3:'2.09.2021'!I$202,7,)</f>
        <v>0.13958333333333334</v>
      </c>
      <c r="H836" t="str">
        <f>VLOOKUP(A836,'2.09.2021'!A$3:'2.09.2021'!I$202,8,)</f>
        <v>R&amp;B/SOUL</v>
      </c>
      <c r="I836" t="str">
        <f>VLOOKUP(A836,'2.09.2021'!A$3:'2.09.2021'!I$202,9,)</f>
        <v>Canada</v>
      </c>
      <c r="J836" t="str">
        <f t="shared" si="33"/>
        <v>Nu</v>
      </c>
    </row>
    <row r="837" spans="1:10" x14ac:dyDescent="0.2">
      <c r="A837" t="s">
        <v>50</v>
      </c>
      <c r="B837" t="s">
        <v>20</v>
      </c>
      <c r="C837">
        <v>12790468</v>
      </c>
      <c r="D837" s="7">
        <f t="shared" si="32"/>
        <v>63952.340000000004</v>
      </c>
      <c r="E837" s="2">
        <v>44359</v>
      </c>
      <c r="F837" s="2">
        <v>44469</v>
      </c>
      <c r="G837" s="23">
        <v>0.14861111111111111</v>
      </c>
      <c r="H837" t="s">
        <v>423</v>
      </c>
      <c r="I837" t="s">
        <v>420</v>
      </c>
      <c r="J837" t="str">
        <f t="shared" si="33"/>
        <v>Da</v>
      </c>
    </row>
    <row r="838" spans="1:10" x14ac:dyDescent="0.2">
      <c r="A838" t="s">
        <v>51</v>
      </c>
      <c r="B838" t="s">
        <v>52</v>
      </c>
      <c r="C838">
        <v>12717295</v>
      </c>
      <c r="D838" s="7">
        <f t="shared" si="32"/>
        <v>63586.474999999999</v>
      </c>
      <c r="E838" s="2">
        <f>VLOOKUP(A838,'2.09.2021'!A$3:'2.09.2021'!I$202,5,)</f>
        <v>44416</v>
      </c>
      <c r="F838" s="2">
        <v>44469</v>
      </c>
      <c r="G838" s="23">
        <f>VLOOKUP(A838,'2.09.2021'!A$3:'2.09.2021'!I$202,7,)</f>
        <v>0.16874999999999998</v>
      </c>
      <c r="H838" t="str">
        <f>VLOOKUP(A838,'2.09.2021'!A$3:'2.09.2021'!I$202,8,)</f>
        <v>HIP-HOP/RAP</v>
      </c>
      <c r="I838" t="str">
        <f>VLOOKUP(A838,'2.09.2021'!A$3:'2.09.2021'!I$202,9,)</f>
        <v>SUA</v>
      </c>
      <c r="J838" t="str">
        <f t="shared" si="33"/>
        <v>Nu</v>
      </c>
    </row>
    <row r="839" spans="1:10" x14ac:dyDescent="0.2">
      <c r="A839" t="s">
        <v>53</v>
      </c>
      <c r="B839" t="s">
        <v>415</v>
      </c>
      <c r="C839">
        <v>12345473</v>
      </c>
      <c r="D839" s="7">
        <f t="shared" si="32"/>
        <v>61727.364999999998</v>
      </c>
      <c r="E839" s="2">
        <f>VLOOKUP(A839,'2.09.2021'!A$3:'2.09.2021'!I$202,5,)</f>
        <v>44274</v>
      </c>
      <c r="F839" s="2">
        <v>44469</v>
      </c>
      <c r="G839" s="23">
        <f>VLOOKUP(A839,'2.09.2021'!A$3:'2.09.2021'!I$202,7,)</f>
        <v>0.12013888888888889</v>
      </c>
      <c r="H839" t="str">
        <f>VLOOKUP(A839,'2.09.2021'!A$3:'2.09.2021'!I$202,8,)</f>
        <v>ROCK</v>
      </c>
      <c r="I839" t="str">
        <f>VLOOKUP(A839,'2.09.2021'!A$3:'2.09.2021'!I$202,9,)</f>
        <v>Italia</v>
      </c>
      <c r="J839" t="str">
        <f t="shared" si="33"/>
        <v>Nu</v>
      </c>
    </row>
    <row r="840" spans="1:10" x14ac:dyDescent="0.2">
      <c r="A840" t="s">
        <v>54</v>
      </c>
      <c r="B840" t="s">
        <v>55</v>
      </c>
      <c r="C840">
        <v>12286136</v>
      </c>
      <c r="D840" s="7">
        <f t="shared" si="32"/>
        <v>61430.68</v>
      </c>
      <c r="E840" s="2">
        <f>VLOOKUP(A840,'2.09.2021'!A$3:'2.09.2021'!I$202,5,)</f>
        <v>44337</v>
      </c>
      <c r="F840" s="2">
        <v>44469</v>
      </c>
      <c r="G840" s="23">
        <f>VLOOKUP(A840,'2.09.2021'!A$3:'2.09.2021'!I$202,7,)</f>
        <v>0.11388888888888889</v>
      </c>
      <c r="H840" t="str">
        <f>VLOOKUP(A840,'2.09.2021'!A$3:'2.09.2021'!I$202,8,)</f>
        <v>K-POP</v>
      </c>
      <c r="I840" t="str">
        <f>VLOOKUP(A840,'2.09.2021'!A$3:'2.09.2021'!I$202,9,)</f>
        <v>Korea de Sud</v>
      </c>
      <c r="J840" t="str">
        <f t="shared" si="33"/>
        <v>Nu</v>
      </c>
    </row>
    <row r="841" spans="1:10" x14ac:dyDescent="0.2">
      <c r="A841" t="s">
        <v>56</v>
      </c>
      <c r="B841" t="s">
        <v>46</v>
      </c>
      <c r="C841">
        <v>12206040</v>
      </c>
      <c r="D841" s="7">
        <f t="shared" si="32"/>
        <v>61030.200000000004</v>
      </c>
      <c r="E841" s="2">
        <f>VLOOKUP(A841,'2.09.2021'!A$3:'2.09.2021'!I$202,5,)</f>
        <v>43910</v>
      </c>
      <c r="F841" s="2">
        <v>44469</v>
      </c>
      <c r="G841" s="23">
        <f>VLOOKUP(A841,'2.09.2021'!A$3:'2.09.2021'!I$202,7,)</f>
        <v>0.14930555555555555</v>
      </c>
      <c r="H841" t="str">
        <f>VLOOKUP(A841,'2.09.2021'!A$3:'2.09.2021'!I$202,8,)</f>
        <v>R&amp;B/SOUL</v>
      </c>
      <c r="I841" t="str">
        <f>VLOOKUP(A841,'2.09.2021'!A$3:'2.09.2021'!I$202,9,)</f>
        <v>Canada</v>
      </c>
      <c r="J841" t="str">
        <f t="shared" si="33"/>
        <v>Da</v>
      </c>
    </row>
    <row r="842" spans="1:10" x14ac:dyDescent="0.2">
      <c r="A842" t="s">
        <v>57</v>
      </c>
      <c r="B842" t="s">
        <v>17</v>
      </c>
      <c r="C842">
        <v>11602712</v>
      </c>
      <c r="D842" s="7">
        <f t="shared" si="32"/>
        <v>58013.56</v>
      </c>
      <c r="E842" s="2">
        <f>VLOOKUP(A842,'2.09.2021'!A$3:'2.09.2021'!I$202,5,)</f>
        <v>44204</v>
      </c>
      <c r="F842" s="2">
        <v>44469</v>
      </c>
      <c r="G842" s="23">
        <f>VLOOKUP(A842,'2.09.2021'!A$3:'2.09.2021'!I$202,7,)</f>
        <v>0.16805555555555554</v>
      </c>
      <c r="H842" t="str">
        <f>VLOOKUP(A842,'2.09.2021'!A$3:'2.09.2021'!I$202,8,)</f>
        <v>POP</v>
      </c>
      <c r="I842" t="str">
        <f>VLOOKUP(A842,'2.09.2021'!A$3:'2.09.2021'!I$202,9,)</f>
        <v>SUA</v>
      </c>
      <c r="J842" t="str">
        <f t="shared" si="33"/>
        <v>Nu</v>
      </c>
    </row>
    <row r="843" spans="1:10" x14ac:dyDescent="0.2">
      <c r="A843" t="s">
        <v>58</v>
      </c>
      <c r="B843" t="s">
        <v>59</v>
      </c>
      <c r="C843">
        <v>11587692</v>
      </c>
      <c r="D843" s="7">
        <f t="shared" si="32"/>
        <v>57938.459999999992</v>
      </c>
      <c r="E843" s="2">
        <f>VLOOKUP(A843,'2.09.2021'!A$3:'2.09.2021'!I$202,5,)</f>
        <v>44320</v>
      </c>
      <c r="F843" s="2">
        <v>44469</v>
      </c>
      <c r="G843" s="23">
        <f>VLOOKUP(A843,'2.09.2021'!A$3:'2.09.2021'!I$202,7,)</f>
        <v>0.14097222222222222</v>
      </c>
      <c r="H843" t="str">
        <f>VLOOKUP(A843,'2.09.2021'!A$3:'2.09.2021'!I$202,8,)</f>
        <v>R&amp;B/SOUL</v>
      </c>
      <c r="I843" t="str">
        <f>VLOOKUP(A843,'2.09.2021'!A$3:'2.09.2021'!I$202,9,)</f>
        <v>Olanda</v>
      </c>
      <c r="J843" t="str">
        <f t="shared" si="33"/>
        <v>Nu</v>
      </c>
    </row>
    <row r="844" spans="1:10" x14ac:dyDescent="0.2">
      <c r="A844" s="10">
        <v>2055</v>
      </c>
      <c r="B844" t="s">
        <v>60</v>
      </c>
      <c r="C844">
        <v>11579376</v>
      </c>
      <c r="D844" s="7">
        <f t="shared" si="32"/>
        <v>57896.880000000005</v>
      </c>
      <c r="E844" s="2">
        <f>VLOOKUP(A844,'2.09.2021'!A$3:'2.09.2021'!I$202,5,)</f>
        <v>44300</v>
      </c>
      <c r="F844" s="2">
        <v>44469</v>
      </c>
      <c r="G844" s="23">
        <f>VLOOKUP(A844,'2.09.2021'!A$3:'2.09.2021'!I$202,7,)</f>
        <v>8.5416666666666655E-2</v>
      </c>
      <c r="H844" t="str">
        <f>VLOOKUP(A844,'2.09.2021'!A$3:'2.09.2021'!I$202,8,)</f>
        <v>HIP-HOP/RAP</v>
      </c>
      <c r="I844" t="str">
        <f>VLOOKUP(A844,'2.09.2021'!A$3:'2.09.2021'!I$202,9,)</f>
        <v>Jamaica</v>
      </c>
      <c r="J844" t="str">
        <f t="shared" si="33"/>
        <v>Nu</v>
      </c>
    </row>
    <row r="845" spans="1:10" x14ac:dyDescent="0.2">
      <c r="A845" t="s">
        <v>61</v>
      </c>
      <c r="B845" t="s">
        <v>62</v>
      </c>
      <c r="C845">
        <v>11464000</v>
      </c>
      <c r="D845" s="7">
        <f t="shared" si="32"/>
        <v>57320</v>
      </c>
      <c r="E845" s="2">
        <v>44370</v>
      </c>
      <c r="F845" s="2">
        <v>44469</v>
      </c>
      <c r="G845" s="23">
        <v>0.11527777777777777</v>
      </c>
      <c r="H845" t="s">
        <v>422</v>
      </c>
      <c r="I845" t="s">
        <v>468</v>
      </c>
      <c r="J845" t="str">
        <f t="shared" si="33"/>
        <v>Nu</v>
      </c>
    </row>
    <row r="846" spans="1:10" x14ac:dyDescent="0.2">
      <c r="A846" t="s">
        <v>63</v>
      </c>
      <c r="B846" t="s">
        <v>64</v>
      </c>
      <c r="C846">
        <v>11418146</v>
      </c>
      <c r="D846" s="7">
        <f t="shared" si="32"/>
        <v>57090.73</v>
      </c>
      <c r="E846" s="2">
        <v>44370</v>
      </c>
      <c r="F846" s="2">
        <v>44469</v>
      </c>
      <c r="G846" s="23">
        <v>9.930555555555555E-2</v>
      </c>
      <c r="H846" t="s">
        <v>418</v>
      </c>
      <c r="I846" t="s">
        <v>472</v>
      </c>
      <c r="J846" t="str">
        <f t="shared" si="33"/>
        <v>Nu</v>
      </c>
    </row>
    <row r="847" spans="1:10" x14ac:dyDescent="0.2">
      <c r="A847" t="s">
        <v>427</v>
      </c>
      <c r="B847" t="s">
        <v>34</v>
      </c>
      <c r="C847">
        <v>11345113</v>
      </c>
      <c r="D847" s="7">
        <f t="shared" si="32"/>
        <v>56725.564999999995</v>
      </c>
      <c r="E847" s="2">
        <f>VLOOKUP(A847,'2.09.2021'!A$3:'2.09.2021'!I$202,5,)</f>
        <v>44372</v>
      </c>
      <c r="F847" s="2">
        <v>44469</v>
      </c>
      <c r="G847" s="23">
        <f>VLOOKUP(A847,'2.09.2021'!A$3:'2.09.2021'!I$202,7,)</f>
        <v>0.11388888888888889</v>
      </c>
      <c r="H847" t="str">
        <f>VLOOKUP(A847,'2.09.2021'!A$3:'2.09.2021'!I$202,8,)</f>
        <v>LATIN URBAN</v>
      </c>
      <c r="I847" t="str">
        <f>VLOOKUP(A847,'2.09.2021'!A$3:'2.09.2021'!I$202,9,)</f>
        <v>Puerto Rico</v>
      </c>
      <c r="J847" t="str">
        <f t="shared" si="33"/>
        <v>Nu</v>
      </c>
    </row>
    <row r="848" spans="1:10" x14ac:dyDescent="0.2">
      <c r="A848" t="s">
        <v>65</v>
      </c>
      <c r="B848" t="s">
        <v>12</v>
      </c>
      <c r="C848">
        <v>10881176</v>
      </c>
      <c r="D848" s="7">
        <f t="shared" si="32"/>
        <v>54405.88</v>
      </c>
      <c r="E848" s="2">
        <f>VLOOKUP(A848,'2.09.2021'!A$3:'2.09.2021'!I$202,5,)</f>
        <v>44372</v>
      </c>
      <c r="F848" s="2">
        <v>44469</v>
      </c>
      <c r="G848" s="23">
        <f>VLOOKUP(A848,'2.09.2021'!A$3:'2.09.2021'!I$202,7,)</f>
        <v>9.5833333333333326E-2</v>
      </c>
      <c r="H848" t="str">
        <f>VLOOKUP(A848,'2.09.2021'!A$3:'2.09.2021'!I$202,8,)</f>
        <v>POP</v>
      </c>
      <c r="I848" t="str">
        <f>VLOOKUP(A848,'2.09.2021'!A$3:'2.09.2021'!I$202,9,)</f>
        <v>SUA</v>
      </c>
      <c r="J848" t="str">
        <f t="shared" si="33"/>
        <v>Nu</v>
      </c>
    </row>
    <row r="849" spans="1:10" x14ac:dyDescent="0.2">
      <c r="A849" t="s">
        <v>66</v>
      </c>
      <c r="B849" t="s">
        <v>67</v>
      </c>
      <c r="C849">
        <v>10746236</v>
      </c>
      <c r="D849" s="7">
        <f t="shared" si="32"/>
        <v>53731.180000000008</v>
      </c>
      <c r="E849" s="2">
        <v>44366</v>
      </c>
      <c r="F849" s="2">
        <v>44469</v>
      </c>
      <c r="G849" s="23">
        <v>0.24930555555555556</v>
      </c>
      <c r="H849" t="s">
        <v>422</v>
      </c>
      <c r="I849" t="s">
        <v>500</v>
      </c>
      <c r="J849" t="str">
        <f t="shared" si="33"/>
        <v>Nu</v>
      </c>
    </row>
    <row r="850" spans="1:10" x14ac:dyDescent="0.2">
      <c r="A850" t="s">
        <v>68</v>
      </c>
      <c r="B850" t="s">
        <v>69</v>
      </c>
      <c r="C850">
        <v>10645133</v>
      </c>
      <c r="D850" s="7">
        <f t="shared" si="32"/>
        <v>53225.665000000001</v>
      </c>
      <c r="E850" s="2">
        <f>VLOOKUP(A850,'2.09.2021'!A$3:'2.09.2021'!I$202,5,)</f>
        <v>44385</v>
      </c>
      <c r="F850" s="2">
        <v>44469</v>
      </c>
      <c r="G850" s="23">
        <f>VLOOKUP(A850,'2.09.2021'!A$3:'2.09.2021'!I$202,7,)</f>
        <v>0.13958333333333334</v>
      </c>
      <c r="H850" t="str">
        <f>VLOOKUP(A850,'2.09.2021'!A$3:'2.09.2021'!I$202,8,)</f>
        <v>LATIN URBAN</v>
      </c>
      <c r="I850" t="str">
        <f>VLOOKUP(A850,'2.09.2021'!A$3:'2.09.2021'!I$202,9,)</f>
        <v>Columbia</v>
      </c>
      <c r="J850" t="str">
        <f t="shared" si="33"/>
        <v>Nu</v>
      </c>
    </row>
    <row r="851" spans="1:10" x14ac:dyDescent="0.2">
      <c r="A851" t="s">
        <v>70</v>
      </c>
      <c r="B851" t="s">
        <v>71</v>
      </c>
      <c r="C851">
        <v>10482746</v>
      </c>
      <c r="D851" s="7">
        <f t="shared" si="32"/>
        <v>52413.729999999996</v>
      </c>
      <c r="E851" s="2">
        <f>VLOOKUP(A851,'2.09.2021'!A$3:'2.09.2021'!I$202,5,)</f>
        <v>44371</v>
      </c>
      <c r="F851" s="2">
        <v>44469</v>
      </c>
      <c r="G851" s="23">
        <f>VLOOKUP(A851,'2.09.2021'!A$3:'2.09.2021'!I$202,7,)</f>
        <v>0.18124999999999999</v>
      </c>
      <c r="H851" t="str">
        <f>VLOOKUP(A851,'2.09.2021'!A$3:'2.09.2021'!I$202,8,)</f>
        <v>LATIN URBAN</v>
      </c>
      <c r="I851" t="str">
        <f>VLOOKUP(A851,'2.09.2021'!A$3:'2.09.2021'!I$202,9,)</f>
        <v>Puerto Rico</v>
      </c>
      <c r="J851" t="str">
        <f t="shared" si="33"/>
        <v>Nu</v>
      </c>
    </row>
    <row r="852" spans="1:10" x14ac:dyDescent="0.2">
      <c r="A852" t="s">
        <v>72</v>
      </c>
      <c r="B852" t="s">
        <v>73</v>
      </c>
      <c r="C852">
        <v>10364052</v>
      </c>
      <c r="D852" s="7">
        <f t="shared" si="32"/>
        <v>51820.259999999995</v>
      </c>
      <c r="E852" s="2">
        <f>VLOOKUP(A852,'2.09.2021'!A$3:'2.09.2021'!I$202,5,)</f>
        <v>44385</v>
      </c>
      <c r="F852" s="2">
        <v>44469</v>
      </c>
      <c r="G852" s="23">
        <f>VLOOKUP(A852,'2.09.2021'!A$3:'2.09.2021'!I$202,7,)</f>
        <v>0.18958333333333333</v>
      </c>
      <c r="H852" t="str">
        <f>VLOOKUP(A852,'2.09.2021'!A$3:'2.09.2021'!I$202,8,)</f>
        <v>LATIN</v>
      </c>
      <c r="I852" t="str">
        <f>VLOOKUP(A852,'2.09.2021'!A$3:'2.09.2021'!I$202,9,)</f>
        <v>Puerto Rico</v>
      </c>
      <c r="J852" t="str">
        <f t="shared" si="33"/>
        <v>Nu</v>
      </c>
    </row>
    <row r="853" spans="1:10" x14ac:dyDescent="0.2">
      <c r="A853" t="s">
        <v>74</v>
      </c>
      <c r="B853" t="s">
        <v>17</v>
      </c>
      <c r="C853">
        <v>10335435</v>
      </c>
      <c r="D853" s="7">
        <f t="shared" si="32"/>
        <v>51677.174999999996</v>
      </c>
      <c r="E853" s="2">
        <f>VLOOKUP(A853,'2.09.2021'!A$3:'2.09.2021'!I$202,5,)</f>
        <v>44337</v>
      </c>
      <c r="F853" s="2">
        <v>44469</v>
      </c>
      <c r="G853" s="23">
        <f>VLOOKUP(A853,'2.09.2021'!A$3:'2.09.2021'!I$202,7,)</f>
        <v>0.14930555555555555</v>
      </c>
      <c r="H853" t="str">
        <f>VLOOKUP(A853,'2.09.2021'!A$3:'2.09.2021'!I$202,8,)</f>
        <v>POP</v>
      </c>
      <c r="I853" t="str">
        <f>VLOOKUP(A853,'2.09.2021'!A$3:'2.09.2021'!I$202,9,)</f>
        <v>SUA</v>
      </c>
      <c r="J853" t="str">
        <f t="shared" si="33"/>
        <v>Nu</v>
      </c>
    </row>
    <row r="854" spans="1:10" x14ac:dyDescent="0.2">
      <c r="A854" t="s">
        <v>75</v>
      </c>
      <c r="B854" t="s">
        <v>55</v>
      </c>
      <c r="C854">
        <v>10333834</v>
      </c>
      <c r="D854" s="7">
        <f t="shared" si="32"/>
        <v>51669.170000000006</v>
      </c>
      <c r="E854" s="2">
        <f>VLOOKUP(A854,'2.09.2021'!A$3:'2.09.2021'!I$202,5,)</f>
        <v>44386</v>
      </c>
      <c r="F854" s="2">
        <v>44469</v>
      </c>
      <c r="G854" s="23">
        <f>VLOOKUP(A854,'2.09.2021'!A$3:'2.09.2021'!I$202,7,)</f>
        <v>0.12986111111111112</v>
      </c>
      <c r="H854" t="str">
        <f>VLOOKUP(A854,'2.09.2021'!A$3:'2.09.2021'!I$202,8,)</f>
        <v>K-POP</v>
      </c>
      <c r="I854" t="str">
        <f>VLOOKUP(A854,'2.09.2021'!A$3:'2.09.2021'!I$202,9,)</f>
        <v>Korea de Sud</v>
      </c>
      <c r="J854" t="str">
        <f t="shared" si="33"/>
        <v>Nu</v>
      </c>
    </row>
    <row r="855" spans="1:10" x14ac:dyDescent="0.2">
      <c r="A855" t="s">
        <v>441</v>
      </c>
      <c r="B855" t="s">
        <v>76</v>
      </c>
      <c r="C855">
        <v>10206267</v>
      </c>
      <c r="D855" s="7">
        <f t="shared" si="32"/>
        <v>51031.334999999999</v>
      </c>
      <c r="E855" s="2">
        <f>VLOOKUP(A855,'2.09.2021'!A$3:'2.09.2021'!I$202,5,)</f>
        <v>44370</v>
      </c>
      <c r="F855" s="2">
        <v>44469</v>
      </c>
      <c r="G855" s="23">
        <f>VLOOKUP(A855,'2.09.2021'!A$3:'2.09.2021'!I$202,7,)</f>
        <v>0.18124999999999999</v>
      </c>
      <c r="H855" t="str">
        <f>VLOOKUP(A855,'2.09.2021'!A$3:'2.09.2021'!I$202,8,)</f>
        <v>ROCK</v>
      </c>
      <c r="I855" t="str">
        <f>VLOOKUP(A855,'2.09.2021'!A$3:'2.09.2021'!I$202,9,)</f>
        <v>Marea Britanie</v>
      </c>
      <c r="J855" t="str">
        <f t="shared" si="33"/>
        <v>Da</v>
      </c>
    </row>
    <row r="856" spans="1:10" x14ac:dyDescent="0.2">
      <c r="A856" t="s">
        <v>77</v>
      </c>
      <c r="B856" t="s">
        <v>78</v>
      </c>
      <c r="C856">
        <v>9964005</v>
      </c>
      <c r="D856" s="7">
        <f t="shared" si="32"/>
        <v>49820.024999999994</v>
      </c>
      <c r="E856" s="2">
        <v>44435</v>
      </c>
      <c r="F856" s="2">
        <v>44469</v>
      </c>
      <c r="G856" s="23">
        <v>0.13194444444444445</v>
      </c>
      <c r="H856" t="s">
        <v>422</v>
      </c>
      <c r="I856" t="s">
        <v>476</v>
      </c>
      <c r="J856" t="str">
        <f t="shared" si="33"/>
        <v>Nu</v>
      </c>
    </row>
    <row r="857" spans="1:10" x14ac:dyDescent="0.2">
      <c r="A857" t="s">
        <v>79</v>
      </c>
      <c r="B857" t="s">
        <v>80</v>
      </c>
      <c r="C857">
        <v>9900093</v>
      </c>
      <c r="D857" s="7">
        <f t="shared" si="32"/>
        <v>49500.465000000004</v>
      </c>
      <c r="E857" s="2">
        <f>VLOOKUP(A857,'2.09.2021'!A$3:'2.09.2021'!I$202,5,)</f>
        <v>44435</v>
      </c>
      <c r="F857" s="2">
        <v>44469</v>
      </c>
      <c r="G857" s="23">
        <f>VLOOKUP(A857,'2.09.2021'!A$3:'2.09.2021'!I$202,7,)</f>
        <v>0.17500000000000002</v>
      </c>
      <c r="H857" t="str">
        <f>VLOOKUP(A857,'2.09.2021'!A$3:'2.09.2021'!I$202,8,)</f>
        <v>HIP-HOP/RAP</v>
      </c>
      <c r="I857" t="str">
        <f>VLOOKUP(A857,'2.09.2021'!A$3:'2.09.2021'!I$202,9,)</f>
        <v>SUA</v>
      </c>
      <c r="J857" t="str">
        <f t="shared" si="33"/>
        <v>Da</v>
      </c>
    </row>
    <row r="858" spans="1:10" x14ac:dyDescent="0.2">
      <c r="A858" t="s">
        <v>81</v>
      </c>
      <c r="B858" t="s">
        <v>82</v>
      </c>
      <c r="C858">
        <v>9587759</v>
      </c>
      <c r="D858" s="7">
        <f t="shared" si="32"/>
        <v>47938.794999999998</v>
      </c>
      <c r="E858" s="2">
        <f>VLOOKUP(A858,'2.09.2021'!A$3:'2.09.2021'!I$202,5,)</f>
        <v>44400</v>
      </c>
      <c r="F858" s="2">
        <v>44469</v>
      </c>
      <c r="G858" s="23">
        <f>VLOOKUP(A858,'2.09.2021'!A$3:'2.09.2021'!I$202,7,)</f>
        <v>0.11388888888888889</v>
      </c>
      <c r="H858" t="str">
        <f>VLOOKUP(A858,'2.09.2021'!A$3:'2.09.2021'!I$202,8,)</f>
        <v>POP</v>
      </c>
      <c r="I858" t="str">
        <f>VLOOKUP(A858,'2.09.2021'!A$3:'2.09.2021'!I$202,9,)</f>
        <v>Cuba</v>
      </c>
      <c r="J858" t="str">
        <f t="shared" si="33"/>
        <v>Nu</v>
      </c>
    </row>
    <row r="859" spans="1:10" x14ac:dyDescent="0.2">
      <c r="A859" t="s">
        <v>83</v>
      </c>
      <c r="B859" t="s">
        <v>84</v>
      </c>
      <c r="C859">
        <v>9566164</v>
      </c>
      <c r="D859" s="7">
        <f t="shared" si="32"/>
        <v>47830.820000000007</v>
      </c>
      <c r="E859" s="2">
        <f>VLOOKUP(A859,'2.09.2021'!A$3:'2.09.2021'!I$202,5,)</f>
        <v>43812</v>
      </c>
      <c r="F859" s="2">
        <v>44469</v>
      </c>
      <c r="G859" s="23">
        <f>VLOOKUP(A859,'2.09.2021'!A$3:'2.09.2021'!I$202,7,)</f>
        <v>0.12013888888888889</v>
      </c>
      <c r="H859" t="str">
        <f>VLOOKUP(A859,'2.09.2021'!A$3:'2.09.2021'!I$202,8,)</f>
        <v>POP</v>
      </c>
      <c r="I859" t="str">
        <f>VLOOKUP(A859,'2.09.2021'!A$3:'2.09.2021'!I$202,9,)</f>
        <v>Marea Britanie</v>
      </c>
      <c r="J859" t="str">
        <f t="shared" si="33"/>
        <v>Nu</v>
      </c>
    </row>
    <row r="860" spans="1:10" x14ac:dyDescent="0.2">
      <c r="A860" t="s">
        <v>85</v>
      </c>
      <c r="B860" t="s">
        <v>86</v>
      </c>
      <c r="C860">
        <v>9268765</v>
      </c>
      <c r="D860" s="7">
        <f t="shared" si="32"/>
        <v>46343.824999999997</v>
      </c>
      <c r="E860" s="2">
        <f>VLOOKUP(A860,'2.09.2021'!A$3:'2.09.2021'!I$202,5,)</f>
        <v>44230</v>
      </c>
      <c r="F860" s="2">
        <v>44469</v>
      </c>
      <c r="G860" s="23">
        <f>VLOOKUP(A860,'2.09.2021'!A$3:'2.09.2021'!I$202,7,)</f>
        <v>9.5833333333333326E-2</v>
      </c>
      <c r="H860" t="str">
        <f>VLOOKUP(A860,'2.09.2021'!A$3:'2.09.2021'!I$202,8,)</f>
        <v>R&amp;B/SOUL</v>
      </c>
      <c r="I860" t="str">
        <f>VLOOKUP(A860,'2.09.2021'!A$3:'2.09.2021'!I$202,9,)</f>
        <v>SUA</v>
      </c>
      <c r="J860" t="str">
        <f t="shared" si="33"/>
        <v>Nu</v>
      </c>
    </row>
    <row r="861" spans="1:10" x14ac:dyDescent="0.2">
      <c r="A861" t="s">
        <v>430</v>
      </c>
      <c r="B861" t="s">
        <v>32</v>
      </c>
      <c r="C861">
        <v>9153046</v>
      </c>
      <c r="D861" s="7">
        <f t="shared" si="32"/>
        <v>45765.23</v>
      </c>
      <c r="E861" s="2">
        <f>VLOOKUP(A861,'2.09.2021'!A$3:'2.09.2021'!I$202,5,)</f>
        <v>44134</v>
      </c>
      <c r="F861" s="2">
        <v>44469</v>
      </c>
      <c r="G861" s="23">
        <f>VLOOKUP(A861,'2.09.2021'!A$3:'2.09.2021'!I$202,7,)</f>
        <v>0.1423611111111111</v>
      </c>
      <c r="H861" t="str">
        <f>VLOOKUP(A861,'2.09.2021'!A$3:'2.09.2021'!I$202,8,)</f>
        <v>LATIN</v>
      </c>
      <c r="I861" t="str">
        <f>VLOOKUP(A861,'2.09.2021'!A$3:'2.09.2021'!I$202,9,)</f>
        <v>Puerto Rico</v>
      </c>
      <c r="J861" t="str">
        <f t="shared" si="33"/>
        <v>Nu</v>
      </c>
    </row>
    <row r="862" spans="1:10" x14ac:dyDescent="0.2">
      <c r="A862" t="s">
        <v>87</v>
      </c>
      <c r="B862" t="s">
        <v>88</v>
      </c>
      <c r="C862">
        <v>8999268</v>
      </c>
      <c r="D862" s="7">
        <f t="shared" si="32"/>
        <v>44996.34</v>
      </c>
      <c r="E862" s="2">
        <f>VLOOKUP(A862,'2.09.2021'!A$3:'2.09.2021'!I$202,5,)</f>
        <v>44260</v>
      </c>
      <c r="F862" s="2">
        <v>44469</v>
      </c>
      <c r="G862" s="23">
        <f>VLOOKUP(A862,'2.09.2021'!A$3:'2.09.2021'!I$202,7,)</f>
        <v>0.16805555555555554</v>
      </c>
      <c r="H862" t="str">
        <f>VLOOKUP(A862,'2.09.2021'!A$3:'2.09.2021'!I$202,8,)</f>
        <v>R&amp;B/SOUL</v>
      </c>
      <c r="I862" t="str">
        <f>VLOOKUP(A862,'2.09.2021'!A$3:'2.09.2021'!I$202,9,)</f>
        <v>Puerto Rico</v>
      </c>
      <c r="J862" t="str">
        <f t="shared" si="33"/>
        <v>Nu</v>
      </c>
    </row>
    <row r="863" spans="1:10" x14ac:dyDescent="0.2">
      <c r="A863" t="s">
        <v>89</v>
      </c>
      <c r="B863" t="s">
        <v>90</v>
      </c>
      <c r="C863">
        <v>8890732</v>
      </c>
      <c r="D863" s="7">
        <f t="shared" si="32"/>
        <v>44453.66</v>
      </c>
      <c r="E863" s="2">
        <v>44339</v>
      </c>
      <c r="F863" s="2">
        <v>44469</v>
      </c>
      <c r="G863" s="23">
        <v>0.14097222222222222</v>
      </c>
      <c r="H863" t="s">
        <v>418</v>
      </c>
      <c r="I863" t="s">
        <v>472</v>
      </c>
      <c r="J863" t="str">
        <f t="shared" si="33"/>
        <v>Nu</v>
      </c>
    </row>
    <row r="864" spans="1:10" x14ac:dyDescent="0.2">
      <c r="A864" t="s">
        <v>91</v>
      </c>
      <c r="B864" t="s">
        <v>92</v>
      </c>
      <c r="C864">
        <v>8824618</v>
      </c>
      <c r="D864" s="7">
        <f t="shared" si="32"/>
        <v>44123.090000000004</v>
      </c>
      <c r="E864" s="2">
        <f>VLOOKUP(A864,'2.09.2021'!A$3:'2.09.2021'!I$202,5,)</f>
        <v>44276</v>
      </c>
      <c r="F864" s="2">
        <v>44469</v>
      </c>
      <c r="G864" s="23">
        <f>VLOOKUP(A864,'2.09.2021'!A$3:'2.09.2021'!I$202,7,)</f>
        <v>0.17500000000000002</v>
      </c>
      <c r="H864" t="str">
        <f>VLOOKUP(A864,'2.09.2021'!A$3:'2.09.2021'!I$202,8,)</f>
        <v>POP</v>
      </c>
      <c r="I864" t="str">
        <f>VLOOKUP(A864,'2.09.2021'!A$3:'2.09.2021'!I$202,9,)</f>
        <v>Marea Britanie</v>
      </c>
      <c r="J864" t="str">
        <f t="shared" si="33"/>
        <v>Nu</v>
      </c>
    </row>
    <row r="865" spans="1:10" x14ac:dyDescent="0.2">
      <c r="A865" t="s">
        <v>93</v>
      </c>
      <c r="B865" t="s">
        <v>94</v>
      </c>
      <c r="C865">
        <v>8763558</v>
      </c>
      <c r="D865" s="7">
        <f t="shared" si="32"/>
        <v>43817.790000000008</v>
      </c>
      <c r="E865" s="2">
        <f>VLOOKUP(A865,'2.09.2021'!A$3:'2.09.2021'!I$202,5,)</f>
        <v>44386</v>
      </c>
      <c r="F865" s="2">
        <v>44469</v>
      </c>
      <c r="G865" s="23">
        <f>VLOOKUP(A865,'2.09.2021'!A$3:'2.09.2021'!I$202,7,)</f>
        <v>0.13333333333333333</v>
      </c>
      <c r="H865" t="str">
        <f>VLOOKUP(A865,'2.09.2021'!A$3:'2.09.2021'!I$202,8,)</f>
        <v>RHYTHM &amp; BLUES</v>
      </c>
      <c r="I865" t="str">
        <f>VLOOKUP(A865,'2.09.2021'!A$3:'2.09.2021'!I$202,9,)</f>
        <v>Argentina</v>
      </c>
      <c r="J865" t="str">
        <f t="shared" si="33"/>
        <v>Nu</v>
      </c>
    </row>
    <row r="866" spans="1:10" x14ac:dyDescent="0.2">
      <c r="A866" t="s">
        <v>95</v>
      </c>
      <c r="B866" t="s">
        <v>17</v>
      </c>
      <c r="C866">
        <v>8748754</v>
      </c>
      <c r="D866" s="7">
        <f t="shared" si="32"/>
        <v>43743.770000000004</v>
      </c>
      <c r="E866" s="2">
        <f>VLOOKUP(A866,'2.09.2021'!A$3:'2.09.2021'!I$202,5,)</f>
        <v>44337</v>
      </c>
      <c r="F866" s="2">
        <v>44469</v>
      </c>
      <c r="G866" s="23">
        <f>VLOOKUP(A866,'2.09.2021'!A$3:'2.09.2021'!I$202,7,)</f>
        <v>0.12152777777777778</v>
      </c>
      <c r="H866" t="str">
        <f>VLOOKUP(A866,'2.09.2021'!A$3:'2.09.2021'!I$202,8,)</f>
        <v>POP</v>
      </c>
      <c r="I866" t="str">
        <f>VLOOKUP(A866,'2.09.2021'!A$3:'2.09.2021'!I$202,9,)</f>
        <v>SUA</v>
      </c>
      <c r="J866" t="str">
        <f t="shared" si="33"/>
        <v>Nu</v>
      </c>
    </row>
    <row r="867" spans="1:10" x14ac:dyDescent="0.2">
      <c r="A867" t="s">
        <v>96</v>
      </c>
      <c r="B867" t="s">
        <v>97</v>
      </c>
      <c r="C867">
        <v>8735579</v>
      </c>
      <c r="D867" s="7">
        <f t="shared" ref="D867:D930" si="34">(C867/1000*5)</f>
        <v>43677.894999999997</v>
      </c>
      <c r="E867" s="2">
        <f>VLOOKUP(A867,'2.09.2021'!A$3:'2.09.2021'!I$202,5,)</f>
        <v>43083</v>
      </c>
      <c r="F867" s="2">
        <v>44469</v>
      </c>
      <c r="G867" s="23">
        <f>VLOOKUP(A867,'2.09.2021'!A$3:'2.09.2021'!I$202,7,)</f>
        <v>0.1673611111111111</v>
      </c>
      <c r="H867" t="str">
        <f>VLOOKUP(A867,'2.09.2021'!A$3:'2.09.2021'!I$202,8,)</f>
        <v>ELECTRONIC</v>
      </c>
      <c r="I867" t="str">
        <f>VLOOKUP(A867,'2.09.2021'!A$3:'2.09.2021'!I$202,9,)</f>
        <v>Australia</v>
      </c>
      <c r="J867" t="str">
        <f t="shared" si="33"/>
        <v>Nu</v>
      </c>
    </row>
    <row r="868" spans="1:10" x14ac:dyDescent="0.2">
      <c r="A868" t="s">
        <v>442</v>
      </c>
      <c r="B868" t="s">
        <v>98</v>
      </c>
      <c r="C868">
        <v>8723444</v>
      </c>
      <c r="D868" s="7">
        <f t="shared" si="34"/>
        <v>43617.22</v>
      </c>
      <c r="E868" s="2">
        <f>VLOOKUP(A868,'2.09.2021'!A$3:'2.09.2021'!I$202,5,)</f>
        <v>44336</v>
      </c>
      <c r="F868" s="2">
        <v>44469</v>
      </c>
      <c r="G868" s="23">
        <f>VLOOKUP(A868,'2.09.2021'!A$3:'2.09.2021'!I$202,7,)</f>
        <v>9.5138888888888884E-2</v>
      </c>
      <c r="H868" t="str">
        <f>VLOOKUP(A868,'2.09.2021'!A$3:'2.09.2021'!I$202,8,)</f>
        <v>HIP-HOP/RAP</v>
      </c>
      <c r="I868" t="str">
        <f>VLOOKUP(A868,'2.09.2021'!A$3:'2.09.2021'!I$202,9,)</f>
        <v>SUA</v>
      </c>
      <c r="J868" t="str">
        <f t="shared" si="33"/>
        <v>Da</v>
      </c>
    </row>
    <row r="869" spans="1:10" x14ac:dyDescent="0.2">
      <c r="A869" t="s">
        <v>99</v>
      </c>
      <c r="B869" t="s">
        <v>55</v>
      </c>
      <c r="C869">
        <v>8719388</v>
      </c>
      <c r="D869" s="7">
        <f t="shared" si="34"/>
        <v>43596.94</v>
      </c>
      <c r="E869" s="2">
        <f>VLOOKUP(A869,'2.09.2021'!A$3:'2.09.2021'!I$202,5,)</f>
        <v>44459</v>
      </c>
      <c r="F869" s="2">
        <v>44469</v>
      </c>
      <c r="G869" s="23">
        <f>VLOOKUP(A869,'2.09.2021'!A$3:'2.09.2021'!I$202,7,)</f>
        <v>9.7916666666666666E-2</v>
      </c>
      <c r="H869" t="str">
        <f>VLOOKUP(A869,'2.09.2021'!A$3:'2.09.2021'!I$202,8,)</f>
        <v>K-POP</v>
      </c>
      <c r="I869" t="str">
        <f>VLOOKUP(A869,'2.09.2021'!A$3:'2.09.2021'!I$202,9,)</f>
        <v>Korea de Sud</v>
      </c>
      <c r="J869" t="str">
        <f t="shared" si="33"/>
        <v>Nu</v>
      </c>
    </row>
    <row r="870" spans="1:10" x14ac:dyDescent="0.2">
      <c r="A870" t="s">
        <v>100</v>
      </c>
      <c r="B870" t="s">
        <v>42</v>
      </c>
      <c r="C870">
        <v>8680859</v>
      </c>
      <c r="D870" s="7">
        <f t="shared" si="34"/>
        <v>43404.294999999998</v>
      </c>
      <c r="E870" s="2">
        <v>44229</v>
      </c>
      <c r="F870" s="2">
        <v>44469</v>
      </c>
      <c r="G870" s="23">
        <v>0.10555555555555556</v>
      </c>
      <c r="H870" t="s">
        <v>418</v>
      </c>
      <c r="I870" t="s">
        <v>474</v>
      </c>
      <c r="J870" t="str">
        <f t="shared" si="33"/>
        <v>Nu</v>
      </c>
    </row>
    <row r="871" spans="1:10" x14ac:dyDescent="0.2">
      <c r="A871" t="s">
        <v>101</v>
      </c>
      <c r="B871" t="s">
        <v>102</v>
      </c>
      <c r="C871">
        <v>8637286</v>
      </c>
      <c r="D871" s="7">
        <f t="shared" si="34"/>
        <v>43186.43</v>
      </c>
      <c r="E871" s="2">
        <f>VLOOKUP(A871,'2.09.2021'!A$3:'2.09.2021'!I$202,5,)</f>
        <v>44306</v>
      </c>
      <c r="F871" s="2">
        <v>44469</v>
      </c>
      <c r="G871" s="23">
        <f>VLOOKUP(A871,'2.09.2021'!A$3:'2.09.2021'!I$202,7,)</f>
        <v>0.15347222222222223</v>
      </c>
      <c r="H871" t="str">
        <f>VLOOKUP(A871,'2.09.2021'!A$3:'2.09.2021'!I$202,8,)</f>
        <v>DANCE</v>
      </c>
      <c r="I871" t="str">
        <f>VLOOKUP(A871,'2.09.2021'!A$3:'2.09.2021'!I$202,9,)</f>
        <v>SUA</v>
      </c>
      <c r="J871" t="str">
        <f t="shared" si="33"/>
        <v>Nu</v>
      </c>
    </row>
    <row r="872" spans="1:10" x14ac:dyDescent="0.2">
      <c r="A872" t="s">
        <v>103</v>
      </c>
      <c r="B872" t="s">
        <v>104</v>
      </c>
      <c r="C872">
        <v>8229013</v>
      </c>
      <c r="D872" s="7">
        <f t="shared" si="34"/>
        <v>41145.065000000002</v>
      </c>
      <c r="E872" s="2">
        <f>VLOOKUP(A872,'2.09.2021'!A$3:'2.09.2021'!I$202,5,)</f>
        <v>44229</v>
      </c>
      <c r="F872" s="2">
        <v>44469</v>
      </c>
      <c r="G872" s="23">
        <f>VLOOKUP(A872,'2.09.2021'!A$3:'2.09.2021'!I$202,7,)</f>
        <v>0.14097222222222222</v>
      </c>
      <c r="H872" t="str">
        <f>VLOOKUP(A872,'2.09.2021'!A$3:'2.09.2021'!I$202,8,)</f>
        <v>POP</v>
      </c>
      <c r="I872" t="str">
        <f>VLOOKUP(A872,'2.09.2021'!A$3:'2.09.2021'!I$202,9,)</f>
        <v>SUA</v>
      </c>
      <c r="J872" t="str">
        <f t="shared" si="33"/>
        <v>Nu</v>
      </c>
    </row>
    <row r="873" spans="1:10" x14ac:dyDescent="0.2">
      <c r="A873" t="s">
        <v>105</v>
      </c>
      <c r="B873" t="s">
        <v>106</v>
      </c>
      <c r="C873">
        <v>8198902</v>
      </c>
      <c r="D873" s="7">
        <f t="shared" si="34"/>
        <v>40994.51</v>
      </c>
      <c r="E873" s="2">
        <f>VLOOKUP(A873,'2.09.2021'!A$3:'2.09.2021'!I$202,5,)</f>
        <v>44377</v>
      </c>
      <c r="F873" s="2">
        <v>44469</v>
      </c>
      <c r="G873" s="23">
        <f>VLOOKUP(A873,'2.09.2021'!A$3:'2.09.2021'!I$202,7,)</f>
        <v>0.14444444444444446</v>
      </c>
      <c r="H873" t="str">
        <f>VLOOKUP(A873,'2.09.2021'!A$3:'2.09.2021'!I$202,8,)</f>
        <v>HIP-HOP/RAP</v>
      </c>
      <c r="I873" t="str">
        <f>VLOOKUP(A873,'2.09.2021'!A$3:'2.09.2021'!I$202,9,)</f>
        <v>Scoția</v>
      </c>
      <c r="J873" t="str">
        <f t="shared" si="33"/>
        <v>Nu</v>
      </c>
    </row>
    <row r="874" spans="1:10" x14ac:dyDescent="0.2">
      <c r="A874" t="s">
        <v>107</v>
      </c>
      <c r="B874" t="s">
        <v>108</v>
      </c>
      <c r="C874">
        <v>8184031</v>
      </c>
      <c r="D874" s="7">
        <f t="shared" si="34"/>
        <v>40920.154999999999</v>
      </c>
      <c r="E874" s="2">
        <f>VLOOKUP(A874,'2.09.2021'!A$3:'2.09.2021'!I$202,5,)</f>
        <v>44466</v>
      </c>
      <c r="F874" s="2">
        <v>44469</v>
      </c>
      <c r="G874" s="23">
        <f>VLOOKUP(A874,'2.09.2021'!A$3:'2.09.2021'!I$202,7,)</f>
        <v>0.16805555555555554</v>
      </c>
      <c r="H874" t="str">
        <f>VLOOKUP(A874,'2.09.2021'!A$3:'2.09.2021'!I$202,8,)</f>
        <v>ROCK</v>
      </c>
      <c r="I874" t="str">
        <f>VLOOKUP(A874,'2.09.2021'!A$3:'2.09.2021'!I$202,9,)</f>
        <v>SUA</v>
      </c>
      <c r="J874" t="str">
        <f t="shared" si="33"/>
        <v>Da</v>
      </c>
    </row>
    <row r="875" spans="1:10" x14ac:dyDescent="0.2">
      <c r="A875" t="s">
        <v>109</v>
      </c>
      <c r="B875" t="s">
        <v>38</v>
      </c>
      <c r="C875">
        <v>8140242</v>
      </c>
      <c r="D875" s="7">
        <f t="shared" si="34"/>
        <v>40701.21</v>
      </c>
      <c r="E875" s="2">
        <f>VLOOKUP(A875,'2.09.2021'!A$3:'2.09.2021'!I$202,5,)</f>
        <v>44248</v>
      </c>
      <c r="F875" s="2">
        <v>44469</v>
      </c>
      <c r="G875" s="23">
        <f>VLOOKUP(A875,'2.09.2021'!A$3:'2.09.2021'!I$202,7,)</f>
        <v>0.1173611111111111</v>
      </c>
      <c r="H875" t="str">
        <f>VLOOKUP(A875,'2.09.2021'!A$3:'2.09.2021'!I$202,8,)</f>
        <v>K-POP</v>
      </c>
      <c r="I875" t="str">
        <f>VLOOKUP(A875,'2.09.2021'!A$3:'2.09.2021'!I$202,9,)</f>
        <v>Marea Britanie</v>
      </c>
      <c r="J875" t="str">
        <f t="shared" si="33"/>
        <v>Nu</v>
      </c>
    </row>
    <row r="876" spans="1:10" x14ac:dyDescent="0.2">
      <c r="A876" t="s">
        <v>110</v>
      </c>
      <c r="B876" t="s">
        <v>23</v>
      </c>
      <c r="C876">
        <v>8136788</v>
      </c>
      <c r="D876" s="7">
        <f t="shared" si="34"/>
        <v>40683.939999999995</v>
      </c>
      <c r="E876" s="2">
        <v>44258</v>
      </c>
      <c r="F876" s="2">
        <v>44469</v>
      </c>
      <c r="G876" s="23">
        <v>0.15902777777777777</v>
      </c>
      <c r="H876" t="s">
        <v>434</v>
      </c>
      <c r="I876" t="s">
        <v>468</v>
      </c>
      <c r="J876" t="str">
        <f t="shared" si="33"/>
        <v>Nu</v>
      </c>
    </row>
    <row r="877" spans="1:10" x14ac:dyDescent="0.2">
      <c r="A877" t="s">
        <v>431</v>
      </c>
      <c r="B877" t="s">
        <v>111</v>
      </c>
      <c r="C877">
        <v>7982451</v>
      </c>
      <c r="D877" s="7">
        <f t="shared" si="34"/>
        <v>39912.254999999997</v>
      </c>
      <c r="E877" s="2">
        <f>VLOOKUP(A877,'2.09.2021'!A$3:'2.09.2021'!I$202,5,)</f>
        <v>44317</v>
      </c>
      <c r="F877" s="2">
        <v>44469</v>
      </c>
      <c r="G877" s="23">
        <f>VLOOKUP(A877,'2.09.2021'!A$3:'2.09.2021'!I$202,7,)</f>
        <v>0.11458333333333333</v>
      </c>
      <c r="H877" t="str">
        <f>VLOOKUP(A877,'2.09.2021'!A$3:'2.09.2021'!I$202,8,)</f>
        <v>LATIN URBAN</v>
      </c>
      <c r="I877" t="str">
        <f>VLOOKUP(A877,'2.09.2021'!A$3:'2.09.2021'!I$202,9,)</f>
        <v>Argentina</v>
      </c>
      <c r="J877" t="str">
        <f t="shared" si="33"/>
        <v>Nu</v>
      </c>
    </row>
    <row r="878" spans="1:10" x14ac:dyDescent="0.2">
      <c r="A878" t="s">
        <v>112</v>
      </c>
      <c r="B878" t="s">
        <v>113</v>
      </c>
      <c r="C878">
        <v>7964933</v>
      </c>
      <c r="D878" s="7">
        <f t="shared" si="34"/>
        <v>39824.665000000001</v>
      </c>
      <c r="E878" s="2">
        <f>VLOOKUP(A878,'2.09.2021'!A$3:'2.09.2021'!I$202,5,)</f>
        <v>44238</v>
      </c>
      <c r="F878" s="2">
        <v>44469</v>
      </c>
      <c r="G878" s="23">
        <f>VLOOKUP(A878,'2.09.2021'!A$3:'2.09.2021'!I$202,7,)</f>
        <v>0.20625000000000002</v>
      </c>
      <c r="H878" t="str">
        <f>VLOOKUP(A878,'2.09.2021'!A$3:'2.09.2021'!I$202,8,)</f>
        <v>LATIN URBAN</v>
      </c>
      <c r="I878" t="str">
        <f>VLOOKUP(A878,'2.09.2021'!A$3:'2.09.2021'!I$202,9,)</f>
        <v>Columbia</v>
      </c>
      <c r="J878" t="str">
        <f t="shared" si="33"/>
        <v>Nu</v>
      </c>
    </row>
    <row r="879" spans="1:10" x14ac:dyDescent="0.2">
      <c r="A879" t="s">
        <v>114</v>
      </c>
      <c r="B879" t="s">
        <v>115</v>
      </c>
      <c r="C879">
        <v>7895736</v>
      </c>
      <c r="D879" s="7">
        <f t="shared" si="34"/>
        <v>39478.68</v>
      </c>
      <c r="E879" s="2">
        <f>VLOOKUP(A879,'2.09.2021'!A$3:'2.09.2021'!I$202,5,)</f>
        <v>44352</v>
      </c>
      <c r="F879" s="2">
        <v>44469</v>
      </c>
      <c r="G879" s="23">
        <f>VLOOKUP(A879,'2.09.2021'!A$3:'2.09.2021'!I$202,7,)</f>
        <v>0.11388888888888889</v>
      </c>
      <c r="H879" t="str">
        <f>VLOOKUP(A879,'2.09.2021'!A$3:'2.09.2021'!I$202,8,)</f>
        <v>HIP-HOP/RAP</v>
      </c>
      <c r="I879" t="str">
        <f>VLOOKUP(A879,'2.09.2021'!A$3:'2.09.2021'!I$202,9,)</f>
        <v>Norvegia</v>
      </c>
      <c r="J879" t="str">
        <f t="shared" si="33"/>
        <v>Nu</v>
      </c>
    </row>
    <row r="880" spans="1:10" x14ac:dyDescent="0.2">
      <c r="A880" t="s">
        <v>443</v>
      </c>
      <c r="B880" t="s">
        <v>116</v>
      </c>
      <c r="C880">
        <v>7823821</v>
      </c>
      <c r="D880" s="7">
        <f t="shared" si="34"/>
        <v>39119.104999999996</v>
      </c>
      <c r="E880" s="2">
        <f>VLOOKUP(A880,'2.09.2021'!A$3:'2.09.2021'!I$202,5,)</f>
        <v>44211</v>
      </c>
      <c r="F880" s="2">
        <v>44469</v>
      </c>
      <c r="G880" s="23">
        <f>VLOOKUP(A880,'2.09.2021'!A$3:'2.09.2021'!I$202,7,)</f>
        <v>0.1173611111111111</v>
      </c>
      <c r="H880" t="str">
        <f>VLOOKUP(A880,'2.09.2021'!A$3:'2.09.2021'!I$202,8,)</f>
        <v>DANCE</v>
      </c>
      <c r="I880" t="str">
        <f>VLOOKUP(A880,'2.09.2021'!A$3:'2.09.2021'!I$202,9,)</f>
        <v>Marea Britanie</v>
      </c>
      <c r="J880" t="str">
        <f t="shared" si="33"/>
        <v>Da</v>
      </c>
    </row>
    <row r="881" spans="1:10" x14ac:dyDescent="0.2">
      <c r="A881" t="s">
        <v>117</v>
      </c>
      <c r="B881" t="s">
        <v>118</v>
      </c>
      <c r="C881">
        <v>7691845</v>
      </c>
      <c r="D881" s="7">
        <f t="shared" si="34"/>
        <v>38459.224999999999</v>
      </c>
      <c r="E881" s="2">
        <f>VLOOKUP(A881,'2.09.2021'!A$3:'2.09.2021'!I$202,5,)</f>
        <v>44287</v>
      </c>
      <c r="F881" s="2">
        <v>44469</v>
      </c>
      <c r="G881" s="23">
        <f>VLOOKUP(A881,'2.09.2021'!A$3:'2.09.2021'!I$202,7,)</f>
        <v>0.22291666666666665</v>
      </c>
      <c r="H881" t="str">
        <f>VLOOKUP(A881,'2.09.2021'!A$3:'2.09.2021'!I$202,8,)</f>
        <v>LATIN URBAN</v>
      </c>
      <c r="I881" t="str">
        <f>VLOOKUP(A881,'2.09.2021'!A$3:'2.09.2021'!I$202,9,)</f>
        <v>Puerto Rico</v>
      </c>
      <c r="J881" t="str">
        <f t="shared" si="33"/>
        <v>Nu</v>
      </c>
    </row>
    <row r="882" spans="1:10" x14ac:dyDescent="0.2">
      <c r="A882" t="s">
        <v>119</v>
      </c>
      <c r="B882" t="s">
        <v>120</v>
      </c>
      <c r="C882">
        <v>7683857</v>
      </c>
      <c r="D882" s="7">
        <f t="shared" si="34"/>
        <v>38419.285000000003</v>
      </c>
      <c r="E882" s="2">
        <f>VLOOKUP(A882,'2.09.2021'!A$3:'2.09.2021'!I$202,5,)</f>
        <v>44438</v>
      </c>
      <c r="F882" s="2">
        <v>44469</v>
      </c>
      <c r="G882" s="23">
        <f>VLOOKUP(A882,'2.09.2021'!A$3:'2.09.2021'!I$202,7,)</f>
        <v>0.16874999999999998</v>
      </c>
      <c r="H882" t="str">
        <f>VLOOKUP(A882,'2.09.2021'!A$3:'2.09.2021'!I$202,8,)</f>
        <v>POP</v>
      </c>
      <c r="I882" t="str">
        <f>VLOOKUP(A882,'2.09.2021'!A$3:'2.09.2021'!I$202,9,)</f>
        <v>Australia</v>
      </c>
      <c r="J882" t="str">
        <f t="shared" si="33"/>
        <v>Nu</v>
      </c>
    </row>
    <row r="883" spans="1:10" x14ac:dyDescent="0.2">
      <c r="A883" t="s">
        <v>444</v>
      </c>
      <c r="B883" t="s">
        <v>121</v>
      </c>
      <c r="C883">
        <v>7651389</v>
      </c>
      <c r="D883" s="7">
        <f t="shared" si="34"/>
        <v>38256.945</v>
      </c>
      <c r="E883" s="2">
        <f>VLOOKUP(A883,'2.09.2021'!A$3:'2.09.2021'!I$202,5,)</f>
        <v>43945</v>
      </c>
      <c r="F883" s="2">
        <v>44469</v>
      </c>
      <c r="G883" s="23">
        <f>VLOOKUP(A883,'2.09.2021'!A$3:'2.09.2021'!I$202,7,)</f>
        <v>9.0277777777777776E-2</v>
      </c>
      <c r="H883" t="str">
        <f>VLOOKUP(A883,'2.09.2021'!A$3:'2.09.2021'!I$202,8,)</f>
        <v>R&amp;B/SOUL</v>
      </c>
      <c r="I883" t="str">
        <f>VLOOKUP(A883,'2.09.2021'!A$3:'2.09.2021'!I$202,9,)</f>
        <v>Canada</v>
      </c>
      <c r="J883" t="str">
        <f t="shared" si="33"/>
        <v>Da</v>
      </c>
    </row>
    <row r="884" spans="1:10" x14ac:dyDescent="0.2">
      <c r="A884" t="s">
        <v>122</v>
      </c>
      <c r="B884" t="s">
        <v>59</v>
      </c>
      <c r="C884">
        <v>7608736</v>
      </c>
      <c r="D884" s="7">
        <f t="shared" si="34"/>
        <v>38043.68</v>
      </c>
      <c r="E884" s="2">
        <f>VLOOKUP(A884,'2.09.2021'!A$3:'2.09.2021'!I$202,5,)</f>
        <v>44336</v>
      </c>
      <c r="F884" s="2">
        <v>44469</v>
      </c>
      <c r="G884" s="23">
        <f>VLOOKUP(A884,'2.09.2021'!A$3:'2.09.2021'!I$202,7,)</f>
        <v>0.12152777777777778</v>
      </c>
      <c r="H884" t="str">
        <f>VLOOKUP(A884,'2.09.2021'!A$3:'2.09.2021'!I$202,8,)</f>
        <v>DANCE</v>
      </c>
      <c r="I884" t="str">
        <f>VLOOKUP(A884,'2.09.2021'!A$3:'2.09.2021'!I$202,9,)</f>
        <v>Olanda</v>
      </c>
      <c r="J884" t="str">
        <f t="shared" si="33"/>
        <v>Nu</v>
      </c>
    </row>
    <row r="885" spans="1:10" x14ac:dyDescent="0.2">
      <c r="A885" t="s">
        <v>123</v>
      </c>
      <c r="B885" t="s">
        <v>124</v>
      </c>
      <c r="C885">
        <v>7564368</v>
      </c>
      <c r="D885" s="7">
        <f t="shared" si="34"/>
        <v>37821.840000000004</v>
      </c>
      <c r="E885" s="2">
        <v>44308</v>
      </c>
      <c r="F885" s="2">
        <v>44469</v>
      </c>
      <c r="G885" s="23">
        <v>0.14097222222222222</v>
      </c>
      <c r="H885" t="s">
        <v>422</v>
      </c>
      <c r="I885" t="s">
        <v>468</v>
      </c>
      <c r="J885" t="str">
        <f t="shared" si="33"/>
        <v>Nu</v>
      </c>
    </row>
    <row r="886" spans="1:10" x14ac:dyDescent="0.2">
      <c r="A886" t="s">
        <v>125</v>
      </c>
      <c r="B886" t="s">
        <v>17</v>
      </c>
      <c r="C886">
        <v>7417730</v>
      </c>
      <c r="D886" s="7">
        <f t="shared" si="34"/>
        <v>37088.649999999994</v>
      </c>
      <c r="E886" s="2">
        <f>VLOOKUP(A886,'2.09.2021'!A$3:'2.09.2021'!I$202,5,)</f>
        <v>44337</v>
      </c>
      <c r="F886" s="2">
        <v>44469</v>
      </c>
      <c r="G886" s="23">
        <f>VLOOKUP(A886,'2.09.2021'!A$3:'2.09.2021'!I$202,7,)</f>
        <v>0.12013888888888889</v>
      </c>
      <c r="H886" t="str">
        <f>VLOOKUP(A886,'2.09.2021'!A$3:'2.09.2021'!I$202,8,)</f>
        <v>POP</v>
      </c>
      <c r="I886" t="str">
        <f>VLOOKUP(A886,'2.09.2021'!A$3:'2.09.2021'!I$202,9,)</f>
        <v>SUA</v>
      </c>
      <c r="J886" t="str">
        <f t="shared" si="33"/>
        <v>Nu</v>
      </c>
    </row>
    <row r="887" spans="1:10" x14ac:dyDescent="0.2">
      <c r="A887" t="s">
        <v>126</v>
      </c>
      <c r="B887" t="s">
        <v>38</v>
      </c>
      <c r="C887">
        <v>7406089</v>
      </c>
      <c r="D887" s="7">
        <f t="shared" si="34"/>
        <v>37030.445</v>
      </c>
      <c r="E887" s="2">
        <f>VLOOKUP(A887,'2.09.2021'!A$3:'2.09.2021'!I$202,5,)</f>
        <v>44259</v>
      </c>
      <c r="F887" s="2">
        <v>44469</v>
      </c>
      <c r="G887" s="23">
        <f>VLOOKUP(A887,'2.09.2021'!A$3:'2.09.2021'!I$202,7,)</f>
        <v>0.14027777777777778</v>
      </c>
      <c r="H887" t="str">
        <f>VLOOKUP(A887,'2.09.2021'!A$3:'2.09.2021'!I$202,8,)</f>
        <v>ELECTRONIC</v>
      </c>
      <c r="I887" t="str">
        <f>VLOOKUP(A887,'2.09.2021'!A$3:'2.09.2021'!I$202,9,)</f>
        <v>Marea Britanie</v>
      </c>
      <c r="J887" t="str">
        <f t="shared" si="33"/>
        <v>Nu</v>
      </c>
    </row>
    <row r="888" spans="1:10" x14ac:dyDescent="0.2">
      <c r="A888" t="s">
        <v>127</v>
      </c>
      <c r="B888" t="s">
        <v>12</v>
      </c>
      <c r="C888">
        <v>7396316</v>
      </c>
      <c r="D888" s="7">
        <f t="shared" si="34"/>
        <v>36981.58</v>
      </c>
      <c r="E888" s="2">
        <f>VLOOKUP(A888,'2.09.2021'!A$3:'2.09.2021'!I$202,5,)</f>
        <v>44372</v>
      </c>
      <c r="F888" s="2">
        <v>44469</v>
      </c>
      <c r="G888" s="23">
        <f>VLOOKUP(A888,'2.09.2021'!A$3:'2.09.2021'!I$202,7,)</f>
        <v>0.12083333333333333</v>
      </c>
      <c r="H888" t="str">
        <f>VLOOKUP(A888,'2.09.2021'!A$3:'2.09.2021'!I$202,8,)</f>
        <v>POP</v>
      </c>
      <c r="I888" t="str">
        <f>VLOOKUP(A888,'2.09.2021'!A$3:'2.09.2021'!I$202,9,)</f>
        <v>SUA</v>
      </c>
      <c r="J888" t="str">
        <f t="shared" si="33"/>
        <v>Nu</v>
      </c>
    </row>
    <row r="889" spans="1:10" x14ac:dyDescent="0.2">
      <c r="A889" t="s">
        <v>128</v>
      </c>
      <c r="B889" t="s">
        <v>129</v>
      </c>
      <c r="C889">
        <v>7362969</v>
      </c>
      <c r="D889" s="7">
        <f t="shared" si="34"/>
        <v>36814.845000000001</v>
      </c>
      <c r="E889" s="2">
        <v>44339</v>
      </c>
      <c r="F889" s="2">
        <v>44469</v>
      </c>
      <c r="G889" s="23">
        <v>0.11458333333333333</v>
      </c>
      <c r="H889" t="s">
        <v>422</v>
      </c>
      <c r="I889" t="s">
        <v>468</v>
      </c>
      <c r="J889" t="str">
        <f t="shared" si="33"/>
        <v>Nu</v>
      </c>
    </row>
    <row r="890" spans="1:10" x14ac:dyDescent="0.2">
      <c r="A890" t="s">
        <v>130</v>
      </c>
      <c r="B890" t="s">
        <v>23</v>
      </c>
      <c r="C890">
        <v>7341942</v>
      </c>
      <c r="D890" s="7">
        <f t="shared" si="34"/>
        <v>36709.71</v>
      </c>
      <c r="E890" s="2">
        <f>VLOOKUP(A890,'2.09.2021'!A$3:'2.09.2021'!I$202,5,)</f>
        <v>44385</v>
      </c>
      <c r="F890" s="2">
        <v>44469</v>
      </c>
      <c r="G890" s="23">
        <f>VLOOKUP(A890,'2.09.2021'!A$3:'2.09.2021'!I$202,7,)</f>
        <v>0.16805555555555554</v>
      </c>
      <c r="H890" t="str">
        <f>VLOOKUP(A890,'2.09.2021'!A$3:'2.09.2021'!I$202,8,)</f>
        <v>LATIN URBAN</v>
      </c>
      <c r="I890" t="str">
        <f>VLOOKUP(A890,'2.09.2021'!A$3:'2.09.2021'!I$202,9,)</f>
        <v>SUA</v>
      </c>
      <c r="J890" t="str">
        <f t="shared" si="33"/>
        <v>Da</v>
      </c>
    </row>
    <row r="891" spans="1:10" x14ac:dyDescent="0.2">
      <c r="A891" t="s">
        <v>131</v>
      </c>
      <c r="B891" t="s">
        <v>132</v>
      </c>
      <c r="C891">
        <v>7311219</v>
      </c>
      <c r="D891" s="7">
        <f t="shared" si="34"/>
        <v>36556.095000000001</v>
      </c>
      <c r="E891" s="2">
        <v>44331</v>
      </c>
      <c r="F891" s="2">
        <v>44469</v>
      </c>
      <c r="G891" s="23">
        <v>0.22430555555555556</v>
      </c>
      <c r="H891" t="s">
        <v>418</v>
      </c>
      <c r="I891" t="s">
        <v>474</v>
      </c>
      <c r="J891" t="str">
        <f t="shared" si="33"/>
        <v>Nu</v>
      </c>
    </row>
    <row r="892" spans="1:10" x14ac:dyDescent="0.2">
      <c r="A892" t="s">
        <v>133</v>
      </c>
      <c r="B892" t="s">
        <v>17</v>
      </c>
      <c r="C892">
        <v>7279399</v>
      </c>
      <c r="D892" s="7">
        <f t="shared" si="34"/>
        <v>36396.995000000003</v>
      </c>
      <c r="E892" s="2">
        <f>VLOOKUP(A892,'2.09.2021'!A$3:'2.09.2021'!I$202,5,)</f>
        <v>44346</v>
      </c>
      <c r="F892" s="2">
        <v>44469</v>
      </c>
      <c r="G892" s="23">
        <f>VLOOKUP(A892,'2.09.2021'!A$3:'2.09.2021'!I$202,7,)</f>
        <v>0.14930555555555555</v>
      </c>
      <c r="H892" t="str">
        <f>VLOOKUP(A892,'2.09.2021'!A$3:'2.09.2021'!I$202,8,)</f>
        <v>ALTERNATIVE</v>
      </c>
      <c r="I892" t="str">
        <f>VLOOKUP(A892,'2.09.2021'!A$3:'2.09.2021'!I$202,9,)</f>
        <v>SUA</v>
      </c>
      <c r="J892" t="str">
        <f t="shared" si="33"/>
        <v>Nu</v>
      </c>
    </row>
    <row r="893" spans="1:10" x14ac:dyDescent="0.2">
      <c r="A893" t="s">
        <v>134</v>
      </c>
      <c r="B893" t="s">
        <v>135</v>
      </c>
      <c r="C893">
        <v>7276832</v>
      </c>
      <c r="D893" s="7">
        <f t="shared" si="34"/>
        <v>36384.160000000003</v>
      </c>
      <c r="E893" s="2">
        <f>VLOOKUP(A893,'2.09.2021'!A$3:'2.09.2021'!I$202,5,)</f>
        <v>44386</v>
      </c>
      <c r="F893" s="2">
        <v>44469</v>
      </c>
      <c r="G893" s="23">
        <f>VLOOKUP(A893,'2.09.2021'!A$3:'2.09.2021'!I$202,7,)</f>
        <v>0.14444444444444446</v>
      </c>
      <c r="H893" t="str">
        <f>VLOOKUP(A893,'2.09.2021'!A$3:'2.09.2021'!I$202,8,)</f>
        <v>LATIN URBAN</v>
      </c>
      <c r="I893" t="str">
        <f>VLOOKUP(A893,'2.09.2021'!A$3:'2.09.2021'!I$202,9,)</f>
        <v>Panama</v>
      </c>
      <c r="J893" t="str">
        <f t="shared" si="33"/>
        <v>Nu</v>
      </c>
    </row>
    <row r="894" spans="1:10" x14ac:dyDescent="0.2">
      <c r="A894" t="s">
        <v>136</v>
      </c>
      <c r="B894" t="s">
        <v>10</v>
      </c>
      <c r="C894">
        <v>7254400</v>
      </c>
      <c r="D894" s="7">
        <f t="shared" si="34"/>
        <v>36272</v>
      </c>
      <c r="E894" s="2">
        <f>VLOOKUP(A894,'2.09.2021'!A$3:'2.09.2021'!I$202,5,)</f>
        <v>44240</v>
      </c>
      <c r="F894" s="2">
        <v>44469</v>
      </c>
      <c r="G894" s="23">
        <f>VLOOKUP(A894,'2.09.2021'!A$3:'2.09.2021'!I$202,7,)</f>
        <v>0.13958333333333334</v>
      </c>
      <c r="H894" t="str">
        <f>VLOOKUP(A894,'2.09.2021'!A$3:'2.09.2021'!I$202,8,)</f>
        <v>POP</v>
      </c>
      <c r="I894" t="str">
        <f>VLOOKUP(A894,'2.09.2021'!A$3:'2.09.2021'!I$202,9,)</f>
        <v>Marea Britanie</v>
      </c>
      <c r="J894" t="str">
        <f t="shared" si="33"/>
        <v>Nu</v>
      </c>
    </row>
    <row r="895" spans="1:10" x14ac:dyDescent="0.2">
      <c r="A895" t="s">
        <v>137</v>
      </c>
      <c r="B895" t="s">
        <v>138</v>
      </c>
      <c r="C895">
        <v>7193229</v>
      </c>
      <c r="D895" s="7">
        <f t="shared" si="34"/>
        <v>35966.145000000004</v>
      </c>
      <c r="E895" s="2">
        <f>VLOOKUP(A895,'2.09.2021'!A$3:'2.09.2021'!I$202,5,)</f>
        <v>44428</v>
      </c>
      <c r="F895" s="2">
        <v>44469</v>
      </c>
      <c r="G895" s="23">
        <f>VLOOKUP(A895,'2.09.2021'!A$3:'2.09.2021'!I$202,7,)</f>
        <v>0.1277777777777778</v>
      </c>
      <c r="H895" t="str">
        <f>VLOOKUP(A895,'2.09.2021'!A$3:'2.09.2021'!I$202,8,)</f>
        <v>POP</v>
      </c>
      <c r="I895" t="str">
        <f>VLOOKUP(A895,'2.09.2021'!A$3:'2.09.2021'!I$202,9,)</f>
        <v>Canada</v>
      </c>
      <c r="J895" t="str">
        <f t="shared" si="33"/>
        <v>Nu</v>
      </c>
    </row>
    <row r="896" spans="1:10" x14ac:dyDescent="0.2">
      <c r="A896" t="s">
        <v>139</v>
      </c>
      <c r="B896" t="s">
        <v>46</v>
      </c>
      <c r="C896">
        <v>7160013</v>
      </c>
      <c r="D896" s="7">
        <f t="shared" si="34"/>
        <v>35800.065000000002</v>
      </c>
      <c r="E896" s="2">
        <f>VLOOKUP(A896,'2.09.2021'!A$3:'2.09.2021'!I$202,5,)</f>
        <v>44209</v>
      </c>
      <c r="F896" s="2">
        <v>44469</v>
      </c>
      <c r="G896" s="23">
        <f>VLOOKUP(A896,'2.09.2021'!A$3:'2.09.2021'!I$202,7,)</f>
        <v>0.16874999999999998</v>
      </c>
      <c r="H896" t="str">
        <f>VLOOKUP(A896,'2.09.2021'!A$3:'2.09.2021'!I$202,8,)</f>
        <v>ELECTRONIC</v>
      </c>
      <c r="I896" t="str">
        <f>VLOOKUP(A896,'2.09.2021'!A$3:'2.09.2021'!I$202,9,)</f>
        <v>Canada</v>
      </c>
      <c r="J896" t="str">
        <f t="shared" si="33"/>
        <v>Nu</v>
      </c>
    </row>
    <row r="897" spans="1:10" x14ac:dyDescent="0.2">
      <c r="A897" t="s">
        <v>445</v>
      </c>
      <c r="B897" t="s">
        <v>140</v>
      </c>
      <c r="C897">
        <v>7146580</v>
      </c>
      <c r="D897" s="7">
        <f t="shared" si="34"/>
        <v>35732.9</v>
      </c>
      <c r="E897" s="2">
        <f>VLOOKUP(A897,'2.09.2021'!A$3:'2.09.2021'!I$202,5,)</f>
        <v>44389</v>
      </c>
      <c r="F897" s="2">
        <v>44469</v>
      </c>
      <c r="G897" s="23">
        <f>VLOOKUP(A897,'2.09.2021'!A$3:'2.09.2021'!I$202,7,)</f>
        <v>0.20694444444444446</v>
      </c>
      <c r="H897" t="str">
        <f>VLOOKUP(A897,'2.09.2021'!A$3:'2.09.2021'!I$202,8,)</f>
        <v>ALTERNATIVE</v>
      </c>
      <c r="I897" t="str">
        <f>VLOOKUP(A897,'2.09.2021'!A$3:'2.09.2021'!I$202,9,)</f>
        <v>SUA</v>
      </c>
      <c r="J897" t="str">
        <f t="shared" si="33"/>
        <v>Da</v>
      </c>
    </row>
    <row r="898" spans="1:10" x14ac:dyDescent="0.2">
      <c r="A898" t="s">
        <v>141</v>
      </c>
      <c r="B898" t="s">
        <v>142</v>
      </c>
      <c r="C898">
        <v>7089600</v>
      </c>
      <c r="D898" s="7">
        <f t="shared" si="34"/>
        <v>35448</v>
      </c>
      <c r="E898" s="2">
        <f>VLOOKUP(A898,'2.09.2021'!A$3:'2.09.2021'!I$202,5,)</f>
        <v>44309</v>
      </c>
      <c r="F898" s="2">
        <v>44469</v>
      </c>
      <c r="G898" s="23">
        <f>VLOOKUP(A898,'2.09.2021'!A$3:'2.09.2021'!I$202,7,)</f>
        <v>0.19930555555555554</v>
      </c>
      <c r="H898" t="str">
        <f>VLOOKUP(A898,'2.09.2021'!A$3:'2.09.2021'!I$202,8,)</f>
        <v>K-POP</v>
      </c>
      <c r="I898" t="str">
        <f>VLOOKUP(A898,'2.09.2021'!A$3:'2.09.2021'!I$202,9,)</f>
        <v>SUA</v>
      </c>
      <c r="J898" t="str">
        <f t="shared" ref="J898:J961" si="35">IF(ISNUMBER(SEARCH("with",A898)),"Da","Nu")</f>
        <v>Nu</v>
      </c>
    </row>
    <row r="899" spans="1:10" x14ac:dyDescent="0.2">
      <c r="A899" t="s">
        <v>143</v>
      </c>
      <c r="B899" t="s">
        <v>20</v>
      </c>
      <c r="C899">
        <v>7082667</v>
      </c>
      <c r="D899" s="7">
        <f t="shared" si="34"/>
        <v>35413.334999999999</v>
      </c>
      <c r="E899" s="2">
        <v>44476</v>
      </c>
      <c r="F899" s="2">
        <v>44469</v>
      </c>
      <c r="G899" s="23">
        <v>0.35625000000000001</v>
      </c>
      <c r="H899" t="s">
        <v>423</v>
      </c>
      <c r="I899" t="s">
        <v>420</v>
      </c>
      <c r="J899" t="str">
        <f t="shared" si="35"/>
        <v>Nu</v>
      </c>
    </row>
    <row r="900" spans="1:10" x14ac:dyDescent="0.2">
      <c r="A900" t="s">
        <v>144</v>
      </c>
      <c r="B900" t="s">
        <v>23</v>
      </c>
      <c r="C900">
        <v>7059035</v>
      </c>
      <c r="D900" s="7">
        <f t="shared" si="34"/>
        <v>35295.175000000003</v>
      </c>
      <c r="E900" s="2">
        <v>44332</v>
      </c>
      <c r="F900" s="2">
        <v>44469</v>
      </c>
      <c r="G900" s="23">
        <v>0.14791666666666667</v>
      </c>
      <c r="H900" t="s">
        <v>434</v>
      </c>
      <c r="I900" t="s">
        <v>501</v>
      </c>
      <c r="J900" t="str">
        <f t="shared" si="35"/>
        <v>Nu</v>
      </c>
    </row>
    <row r="901" spans="1:10" x14ac:dyDescent="0.2">
      <c r="A901" t="s">
        <v>145</v>
      </c>
      <c r="B901" t="s">
        <v>52</v>
      </c>
      <c r="C901">
        <v>6961937</v>
      </c>
      <c r="D901" s="7">
        <f t="shared" si="34"/>
        <v>34809.684999999998</v>
      </c>
      <c r="E901" s="2">
        <f>VLOOKUP(A901,'2.09.2021'!A$3:'2.09.2021'!I$202,5,)</f>
        <v>44437</v>
      </c>
      <c r="F901" s="2">
        <v>44469</v>
      </c>
      <c r="G901" s="23">
        <f>VLOOKUP(A901,'2.09.2021'!A$3:'2.09.2021'!I$202,7,)</f>
        <v>0.10833333333333334</v>
      </c>
      <c r="H901" t="str">
        <f>VLOOKUP(A901,'2.09.2021'!A$3:'2.09.2021'!I$202,8,)</f>
        <v>HIP-HOP/RAP</v>
      </c>
      <c r="I901" t="str">
        <f>VLOOKUP(A901,'2.09.2021'!A$3:'2.09.2021'!I$202,9,)</f>
        <v>SUA</v>
      </c>
      <c r="J901" t="str">
        <f t="shared" si="35"/>
        <v>Nu</v>
      </c>
    </row>
    <row r="902" spans="1:10" x14ac:dyDescent="0.2">
      <c r="A902" t="s">
        <v>146</v>
      </c>
      <c r="B902" t="s">
        <v>147</v>
      </c>
      <c r="C902">
        <v>6916676</v>
      </c>
      <c r="D902" s="7">
        <f t="shared" si="34"/>
        <v>34583.380000000005</v>
      </c>
      <c r="E902" s="2">
        <f>VLOOKUP(A902,'2.09.2021'!A$3:'2.09.2021'!I$202,5,)</f>
        <v>44370</v>
      </c>
      <c r="F902" s="2">
        <v>44469</v>
      </c>
      <c r="G902" s="23">
        <f>VLOOKUP(A902,'2.09.2021'!A$3:'2.09.2021'!I$202,7,)</f>
        <v>0.15972222222222224</v>
      </c>
      <c r="H902" t="str">
        <f>VLOOKUP(A902,'2.09.2021'!A$3:'2.09.2021'!I$202,8,)</f>
        <v>HIP-HOP/RAP</v>
      </c>
      <c r="I902" t="str">
        <f>VLOOKUP(A902,'2.09.2021'!A$3:'2.09.2021'!I$202,9,)</f>
        <v>SUA</v>
      </c>
      <c r="J902" t="str">
        <f t="shared" si="35"/>
        <v>Nu</v>
      </c>
    </row>
    <row r="903" spans="1:10" x14ac:dyDescent="0.2">
      <c r="A903" t="s">
        <v>148</v>
      </c>
      <c r="B903" t="s">
        <v>149</v>
      </c>
      <c r="C903">
        <v>6907180</v>
      </c>
      <c r="D903" s="7">
        <f t="shared" si="34"/>
        <v>34535.9</v>
      </c>
      <c r="E903" s="2">
        <f>VLOOKUP(A903,'2.09.2021'!A$3:'2.09.2021'!I$202,5,)</f>
        <v>44309</v>
      </c>
      <c r="F903" s="2">
        <v>44469</v>
      </c>
      <c r="G903" s="23">
        <f>VLOOKUP(A903,'2.09.2021'!A$3:'2.09.2021'!I$202,7,)</f>
        <v>0.19930555555555554</v>
      </c>
      <c r="H903" t="str">
        <f>VLOOKUP(A903,'2.09.2021'!A$3:'2.09.2021'!I$202,8,)</f>
        <v>K-POP</v>
      </c>
      <c r="I903" t="str">
        <f>VLOOKUP(A903,'2.09.2021'!A$3:'2.09.2021'!I$202,9,)</f>
        <v>SUA</v>
      </c>
      <c r="J903" t="str">
        <f t="shared" si="35"/>
        <v>Nu</v>
      </c>
    </row>
    <row r="904" spans="1:10" x14ac:dyDescent="0.2">
      <c r="A904" t="s">
        <v>150</v>
      </c>
      <c r="B904" t="s">
        <v>151</v>
      </c>
      <c r="C904">
        <v>6835228</v>
      </c>
      <c r="D904" s="7">
        <f t="shared" si="34"/>
        <v>34176.14</v>
      </c>
      <c r="E904" s="2">
        <f>VLOOKUP(A904,'2.09.2021'!A$3:'2.09.2021'!I$202,5,)</f>
        <v>44244</v>
      </c>
      <c r="F904" s="2">
        <v>44469</v>
      </c>
      <c r="G904" s="23">
        <f>VLOOKUP(A904,'2.09.2021'!A$3:'2.09.2021'!I$202,7,)</f>
        <v>0.1173611111111111</v>
      </c>
      <c r="H904" t="str">
        <f>VLOOKUP(A904,'2.09.2021'!A$3:'2.09.2021'!I$202,8,)</f>
        <v>LATIN URBAN</v>
      </c>
      <c r="I904" t="str">
        <f>VLOOKUP(A904,'2.09.2021'!A$3:'2.09.2021'!I$202,9,)</f>
        <v>Brazilia</v>
      </c>
      <c r="J904" t="str">
        <f t="shared" si="35"/>
        <v>Nu</v>
      </c>
    </row>
    <row r="905" spans="1:10" x14ac:dyDescent="0.2">
      <c r="A905" t="s">
        <v>152</v>
      </c>
      <c r="B905" t="s">
        <v>106</v>
      </c>
      <c r="C905">
        <v>6811196</v>
      </c>
      <c r="D905" s="7">
        <f t="shared" si="34"/>
        <v>34055.979999999996</v>
      </c>
      <c r="E905" s="2">
        <f>VLOOKUP(A905,'2.09.2021'!A$3:'2.09.2021'!I$202,5,)</f>
        <v>44226</v>
      </c>
      <c r="F905" s="2">
        <v>44469</v>
      </c>
      <c r="G905" s="23">
        <f>VLOOKUP(A905,'2.09.2021'!A$3:'2.09.2021'!I$202,7,)</f>
        <v>0.13541666666666666</v>
      </c>
      <c r="H905" t="str">
        <f>VLOOKUP(A905,'2.09.2021'!A$3:'2.09.2021'!I$202,8,)</f>
        <v>HIP-HOP/RAP</v>
      </c>
      <c r="I905" t="str">
        <f>VLOOKUP(A905,'2.09.2021'!A$3:'2.09.2021'!I$202,9,)</f>
        <v>Scoția</v>
      </c>
      <c r="J905" t="str">
        <f t="shared" si="35"/>
        <v>Nu</v>
      </c>
    </row>
    <row r="906" spans="1:10" x14ac:dyDescent="0.2">
      <c r="A906" t="s">
        <v>153</v>
      </c>
      <c r="B906" t="s">
        <v>154</v>
      </c>
      <c r="C906">
        <v>6790804</v>
      </c>
      <c r="D906" s="7">
        <f t="shared" si="34"/>
        <v>33954.020000000004</v>
      </c>
      <c r="E906" s="2">
        <f>VLOOKUP(A906,'2.09.2021'!A$3:'2.09.2021'!I$202,5,)</f>
        <v>44307</v>
      </c>
      <c r="F906" s="2">
        <v>44469</v>
      </c>
      <c r="G906" s="23">
        <f>VLOOKUP(A906,'2.09.2021'!A$3:'2.09.2021'!I$202,7,)</f>
        <v>0.15069444444444444</v>
      </c>
      <c r="H906" t="str">
        <f>VLOOKUP(A906,'2.09.2021'!A$3:'2.09.2021'!I$202,8,)</f>
        <v>POP</v>
      </c>
      <c r="I906" t="str">
        <f>VLOOKUP(A906,'2.09.2021'!A$3:'2.09.2021'!I$202,9,)</f>
        <v>SUA</v>
      </c>
      <c r="J906" t="str">
        <f t="shared" si="35"/>
        <v>Nu</v>
      </c>
    </row>
    <row r="907" spans="1:10" x14ac:dyDescent="0.2">
      <c r="A907" t="s">
        <v>155</v>
      </c>
      <c r="B907" t="s">
        <v>156</v>
      </c>
      <c r="C907">
        <v>6781446</v>
      </c>
      <c r="D907" s="7">
        <f t="shared" si="34"/>
        <v>33907.229999999996</v>
      </c>
      <c r="E907" s="2">
        <f>VLOOKUP(A907,'2.09.2021'!A$3:'2.09.2021'!I$202,5,)</f>
        <v>44245</v>
      </c>
      <c r="F907" s="2">
        <v>44469</v>
      </c>
      <c r="G907" s="23">
        <f>VLOOKUP(A907,'2.09.2021'!A$3:'2.09.2021'!I$202,7,)</f>
        <v>0.10069444444444443</v>
      </c>
      <c r="H907" t="str">
        <f>VLOOKUP(A907,'2.09.2021'!A$3:'2.09.2021'!I$202,8,)</f>
        <v>RHYTHM &amp; BLUES</v>
      </c>
      <c r="I907" t="str">
        <f>VLOOKUP(A907,'2.09.2021'!A$3:'2.09.2021'!I$202,9,)</f>
        <v>SUA</v>
      </c>
      <c r="J907" t="str">
        <f t="shared" si="35"/>
        <v>Nu</v>
      </c>
    </row>
    <row r="908" spans="1:10" x14ac:dyDescent="0.2">
      <c r="A908" t="s">
        <v>157</v>
      </c>
      <c r="B908" t="s">
        <v>158</v>
      </c>
      <c r="C908">
        <v>6767623</v>
      </c>
      <c r="D908" s="7">
        <f t="shared" si="34"/>
        <v>33838.114999999998</v>
      </c>
      <c r="E908" s="2">
        <f>VLOOKUP(A908,'2.09.2021'!A$3:'2.09.2021'!I$202,5,)</f>
        <v>44245</v>
      </c>
      <c r="F908" s="2">
        <v>44469</v>
      </c>
      <c r="G908" s="23">
        <f>VLOOKUP(A908,'2.09.2021'!A$3:'2.09.2021'!I$202,7,)</f>
        <v>0.14305555555555557</v>
      </c>
      <c r="H908" t="str">
        <f>VLOOKUP(A908,'2.09.2021'!A$3:'2.09.2021'!I$202,8,)</f>
        <v>POP</v>
      </c>
      <c r="I908" t="str">
        <f>VLOOKUP(A908,'2.09.2021'!A$3:'2.09.2021'!I$202,9,)</f>
        <v>SUA</v>
      </c>
      <c r="J908" t="str">
        <f t="shared" si="35"/>
        <v>Nu</v>
      </c>
    </row>
    <row r="909" spans="1:10" x14ac:dyDescent="0.2">
      <c r="A909" t="s">
        <v>446</v>
      </c>
      <c r="B909" t="s">
        <v>25</v>
      </c>
      <c r="C909">
        <v>6728495</v>
      </c>
      <c r="D909" s="7">
        <f t="shared" si="34"/>
        <v>33642.474999999999</v>
      </c>
      <c r="E909" s="2">
        <v>44245</v>
      </c>
      <c r="F909" s="2">
        <v>44469</v>
      </c>
      <c r="G909" s="23">
        <v>0.18263888888888891</v>
      </c>
      <c r="H909" t="s">
        <v>428</v>
      </c>
      <c r="I909" t="s">
        <v>497</v>
      </c>
      <c r="J909" t="str">
        <f t="shared" si="35"/>
        <v>Da</v>
      </c>
    </row>
    <row r="910" spans="1:10" x14ac:dyDescent="0.2">
      <c r="A910" t="s">
        <v>159</v>
      </c>
      <c r="B910" t="s">
        <v>160</v>
      </c>
      <c r="C910">
        <v>6708966</v>
      </c>
      <c r="D910" s="7">
        <f t="shared" si="34"/>
        <v>33544.83</v>
      </c>
      <c r="E910" s="2">
        <f>VLOOKUP(A910,'2.09.2021'!A$3:'2.09.2021'!I$202,5,)</f>
        <v>44329</v>
      </c>
      <c r="F910" s="2">
        <v>44469</v>
      </c>
      <c r="G910" s="23">
        <f>VLOOKUP(A910,'2.09.2021'!A$3:'2.09.2021'!I$202,7,)</f>
        <v>0.14930555555555555</v>
      </c>
      <c r="H910" t="str">
        <f>VLOOKUP(A910,'2.09.2021'!A$3:'2.09.2021'!I$202,8,)</f>
        <v>RHYTHM &amp; BLUES</v>
      </c>
      <c r="I910" t="str">
        <f>VLOOKUP(A910,'2.09.2021'!A$3:'2.09.2021'!I$202,9,)</f>
        <v>SUA</v>
      </c>
      <c r="J910" t="str">
        <f t="shared" si="35"/>
        <v>Nu</v>
      </c>
    </row>
    <row r="911" spans="1:10" x14ac:dyDescent="0.2">
      <c r="A911" t="s">
        <v>161</v>
      </c>
      <c r="B911" t="s">
        <v>162</v>
      </c>
      <c r="C911">
        <v>6675021</v>
      </c>
      <c r="D911" s="7">
        <f t="shared" si="34"/>
        <v>33375.104999999996</v>
      </c>
      <c r="E911" s="2">
        <f>VLOOKUP(A911,'2.09.2021'!A$3:'2.09.2021'!I$202,5,)</f>
        <v>44408</v>
      </c>
      <c r="F911" s="2">
        <v>44469</v>
      </c>
      <c r="G911" s="23">
        <f>VLOOKUP(A911,'2.09.2021'!A$3:'2.09.2021'!I$202,7,)</f>
        <v>0.15277777777777776</v>
      </c>
      <c r="H911" t="str">
        <f>VLOOKUP(A911,'2.09.2021'!A$3:'2.09.2021'!I$202,8,)</f>
        <v>HIP-HOP/RAP</v>
      </c>
      <c r="I911" t="str">
        <f>VLOOKUP(A911,'2.09.2021'!A$3:'2.09.2021'!I$202,9,)</f>
        <v>Australia</v>
      </c>
      <c r="J911" t="str">
        <f t="shared" si="35"/>
        <v>Nu</v>
      </c>
    </row>
    <row r="912" spans="1:10" x14ac:dyDescent="0.2">
      <c r="A912" t="s">
        <v>163</v>
      </c>
      <c r="B912" t="s">
        <v>164</v>
      </c>
      <c r="C912">
        <v>6646235</v>
      </c>
      <c r="D912" s="7">
        <f t="shared" si="34"/>
        <v>33231.174999999996</v>
      </c>
      <c r="E912" s="2">
        <f>VLOOKUP(A912,'2.09.2021'!A$3:'2.09.2021'!I$202,5,)</f>
        <v>44412</v>
      </c>
      <c r="F912" s="2">
        <v>44469</v>
      </c>
      <c r="G912" s="23">
        <f>VLOOKUP(A912,'2.09.2021'!A$3:'2.09.2021'!I$202,7,)</f>
        <v>0.10069444444444443</v>
      </c>
      <c r="H912" t="str">
        <f>VLOOKUP(A912,'2.09.2021'!A$3:'2.09.2021'!I$202,8,)</f>
        <v>HIP-HOP/RAP</v>
      </c>
      <c r="I912" t="str">
        <f>VLOOKUP(A912,'2.09.2021'!A$3:'2.09.2021'!I$202,9,)</f>
        <v>SUA</v>
      </c>
      <c r="J912" t="str">
        <f t="shared" si="35"/>
        <v>Nu</v>
      </c>
    </row>
    <row r="913" spans="1:10" x14ac:dyDescent="0.2">
      <c r="A913" t="s">
        <v>447</v>
      </c>
      <c r="B913" t="s">
        <v>2</v>
      </c>
      <c r="C913">
        <v>6612963</v>
      </c>
      <c r="D913" s="7">
        <f t="shared" si="34"/>
        <v>33064.815000000002</v>
      </c>
      <c r="E913" s="2">
        <v>44476</v>
      </c>
      <c r="F913" s="2">
        <v>44469</v>
      </c>
      <c r="G913" s="23">
        <v>0.22430555555555556</v>
      </c>
      <c r="H913" t="s">
        <v>423</v>
      </c>
      <c r="I913" t="s">
        <v>468</v>
      </c>
      <c r="J913" t="str">
        <f t="shared" si="35"/>
        <v>Da</v>
      </c>
    </row>
    <row r="914" spans="1:10" x14ac:dyDescent="0.2">
      <c r="A914" t="s">
        <v>165</v>
      </c>
      <c r="B914" t="s">
        <v>166</v>
      </c>
      <c r="C914">
        <v>6593965</v>
      </c>
      <c r="D914" s="7">
        <f t="shared" si="34"/>
        <v>32969.824999999997</v>
      </c>
      <c r="E914" s="2">
        <f>VLOOKUP(A914,'2.09.2021'!A$3:'2.09.2021'!I$202,5,)</f>
        <v>44406</v>
      </c>
      <c r="F914" s="2">
        <v>44469</v>
      </c>
      <c r="G914" s="23">
        <f>VLOOKUP(A914,'2.09.2021'!A$3:'2.09.2021'!I$202,7,)</f>
        <v>0.14652777777777778</v>
      </c>
      <c r="H914" t="str">
        <f>VLOOKUP(A914,'2.09.2021'!A$3:'2.09.2021'!I$202,8,)</f>
        <v>LATIN</v>
      </c>
      <c r="I914" t="str">
        <f>VLOOKUP(A914,'2.09.2021'!A$3:'2.09.2021'!I$202,9,)</f>
        <v>India</v>
      </c>
      <c r="J914" t="str">
        <f t="shared" si="35"/>
        <v>Nu</v>
      </c>
    </row>
    <row r="915" spans="1:10" x14ac:dyDescent="0.2">
      <c r="A915" t="s">
        <v>167</v>
      </c>
      <c r="B915" t="s">
        <v>4</v>
      </c>
      <c r="C915">
        <v>6501986</v>
      </c>
      <c r="D915" s="7">
        <f t="shared" si="34"/>
        <v>32509.93</v>
      </c>
      <c r="E915" s="2">
        <f>VLOOKUP(A915,'2.09.2021'!A$3:'2.09.2021'!I$202,5,)</f>
        <v>44437</v>
      </c>
      <c r="F915" s="2">
        <v>44469</v>
      </c>
      <c r="G915" s="23">
        <f>VLOOKUP(A915,'2.09.2021'!A$3:'2.09.2021'!I$202,7,)</f>
        <v>0.20625000000000002</v>
      </c>
      <c r="H915" t="str">
        <f>VLOOKUP(A915,'2.09.2021'!A$3:'2.09.2021'!I$202,8,)</f>
        <v>RHYTHM &amp; BLUES</v>
      </c>
      <c r="I915" t="str">
        <f>VLOOKUP(A915,'2.09.2021'!A$3:'2.09.2021'!I$202,9,)</f>
        <v>Marea Britanie</v>
      </c>
      <c r="J915" t="str">
        <f t="shared" si="35"/>
        <v>Nu</v>
      </c>
    </row>
    <row r="916" spans="1:10" x14ac:dyDescent="0.2">
      <c r="A916" t="s">
        <v>168</v>
      </c>
      <c r="B916" t="s">
        <v>158</v>
      </c>
      <c r="C916">
        <v>6474991</v>
      </c>
      <c r="D916" s="7">
        <f t="shared" si="34"/>
        <v>32374.955000000002</v>
      </c>
      <c r="E916" s="2">
        <f>VLOOKUP(A916,'2.09.2021'!A$3:'2.09.2021'!I$202,5,)</f>
        <v>44464</v>
      </c>
      <c r="F916" s="2">
        <v>44469</v>
      </c>
      <c r="G916" s="23">
        <f>VLOOKUP(A916,'2.09.2021'!A$3:'2.09.2021'!I$202,7,)</f>
        <v>0.12361111111111112</v>
      </c>
      <c r="H916" t="str">
        <f>VLOOKUP(A916,'2.09.2021'!A$3:'2.09.2021'!I$202,8,)</f>
        <v>LATIN URBAN</v>
      </c>
      <c r="I916" t="str">
        <f>VLOOKUP(A916,'2.09.2021'!A$3:'2.09.2021'!I$202,9,)</f>
        <v>SUA</v>
      </c>
      <c r="J916" t="str">
        <f t="shared" si="35"/>
        <v>Nu</v>
      </c>
    </row>
    <row r="917" spans="1:10" x14ac:dyDescent="0.2">
      <c r="A917" t="s">
        <v>169</v>
      </c>
      <c r="B917" t="s">
        <v>10</v>
      </c>
      <c r="C917">
        <v>6452401</v>
      </c>
      <c r="D917" s="7">
        <f t="shared" si="34"/>
        <v>32262.004999999997</v>
      </c>
      <c r="E917" s="2">
        <f>VLOOKUP(A917,'2.09.2021'!A$3:'2.09.2021'!I$202,5,)</f>
        <v>44309</v>
      </c>
      <c r="F917" s="2">
        <v>44469</v>
      </c>
      <c r="G917" s="23">
        <f>VLOOKUP(A917,'2.09.2021'!A$3:'2.09.2021'!I$202,7,)</f>
        <v>0.1076388888888889</v>
      </c>
      <c r="H917" t="str">
        <f>VLOOKUP(A917,'2.09.2021'!A$3:'2.09.2021'!I$202,8,)</f>
        <v>LATIN URBAN</v>
      </c>
      <c r="I917" t="str">
        <f>VLOOKUP(A917,'2.09.2021'!A$3:'2.09.2021'!I$202,9,)</f>
        <v>Marea Britanie</v>
      </c>
      <c r="J917" t="str">
        <f t="shared" si="35"/>
        <v>Nu</v>
      </c>
    </row>
    <row r="918" spans="1:10" x14ac:dyDescent="0.2">
      <c r="A918" t="s">
        <v>170</v>
      </c>
      <c r="B918" t="s">
        <v>171</v>
      </c>
      <c r="C918">
        <v>6435773</v>
      </c>
      <c r="D918" s="7">
        <f t="shared" si="34"/>
        <v>32178.865000000002</v>
      </c>
      <c r="E918" s="2">
        <f>VLOOKUP(A918,'2.09.2021'!A$3:'2.09.2021'!I$202,5,)</f>
        <v>44446</v>
      </c>
      <c r="F918" s="2">
        <v>44469</v>
      </c>
      <c r="G918" s="23">
        <f>VLOOKUP(A918,'2.09.2021'!A$3:'2.09.2021'!I$202,7,)</f>
        <v>9.5138888888888884E-2</v>
      </c>
      <c r="H918" t="str">
        <f>VLOOKUP(A918,'2.09.2021'!A$3:'2.09.2021'!I$202,8,)</f>
        <v>ALTERNATIVE</v>
      </c>
      <c r="I918" t="str">
        <f>VLOOKUP(A918,'2.09.2021'!A$3:'2.09.2021'!I$202,9,)</f>
        <v>SUA</v>
      </c>
      <c r="J918" t="str">
        <f t="shared" si="35"/>
        <v>Nu</v>
      </c>
    </row>
    <row r="919" spans="1:10" x14ac:dyDescent="0.2">
      <c r="A919" t="s">
        <v>172</v>
      </c>
      <c r="B919" t="s">
        <v>173</v>
      </c>
      <c r="C919">
        <v>6435163</v>
      </c>
      <c r="D919" s="7">
        <f t="shared" si="34"/>
        <v>32175.814999999999</v>
      </c>
      <c r="E919" s="2">
        <f>VLOOKUP(A919,'2.09.2021'!A$3:'2.09.2021'!I$202,5,)</f>
        <v>44227</v>
      </c>
      <c r="F919" s="2">
        <v>44469</v>
      </c>
      <c r="G919" s="23">
        <f>VLOOKUP(A919,'2.09.2021'!A$3:'2.09.2021'!I$202,7,)</f>
        <v>0.23124999999999998</v>
      </c>
      <c r="H919" t="str">
        <f>VLOOKUP(A919,'2.09.2021'!A$3:'2.09.2021'!I$202,8,)</f>
        <v>HIP-HOP/RAP</v>
      </c>
      <c r="I919" t="str">
        <f>VLOOKUP(A919,'2.09.2021'!A$3:'2.09.2021'!I$202,9,)</f>
        <v>SUA</v>
      </c>
      <c r="J919" t="str">
        <f t="shared" si="35"/>
        <v>Nu</v>
      </c>
    </row>
    <row r="920" spans="1:10" x14ac:dyDescent="0.2">
      <c r="A920" t="s">
        <v>174</v>
      </c>
      <c r="B920" t="s">
        <v>175</v>
      </c>
      <c r="C920">
        <v>6429703</v>
      </c>
      <c r="D920" s="7">
        <f t="shared" si="34"/>
        <v>32148.515000000003</v>
      </c>
      <c r="E920" s="2">
        <v>44440</v>
      </c>
      <c r="F920" s="2">
        <v>44469</v>
      </c>
      <c r="G920" s="23">
        <v>0.14097222222222222</v>
      </c>
      <c r="H920" t="s">
        <v>423</v>
      </c>
      <c r="I920" t="s">
        <v>468</v>
      </c>
      <c r="J920" t="str">
        <f t="shared" si="35"/>
        <v>Nu</v>
      </c>
    </row>
    <row r="921" spans="1:10" x14ac:dyDescent="0.2">
      <c r="A921" t="s">
        <v>176</v>
      </c>
      <c r="B921" t="s">
        <v>177</v>
      </c>
      <c r="C921">
        <v>6392025</v>
      </c>
      <c r="D921" s="7">
        <f t="shared" si="34"/>
        <v>31960.125</v>
      </c>
      <c r="E921" s="2">
        <v>44391</v>
      </c>
      <c r="F921" s="2">
        <v>44469</v>
      </c>
      <c r="G921" s="23">
        <v>0.14097222222222222</v>
      </c>
      <c r="H921" t="s">
        <v>426</v>
      </c>
      <c r="I921" t="s">
        <v>474</v>
      </c>
      <c r="J921" t="str">
        <f t="shared" si="35"/>
        <v>Nu</v>
      </c>
    </row>
    <row r="922" spans="1:10" x14ac:dyDescent="0.2">
      <c r="A922" t="s">
        <v>178</v>
      </c>
      <c r="B922" t="s">
        <v>52</v>
      </c>
      <c r="C922">
        <v>6389969</v>
      </c>
      <c r="D922" s="7">
        <f t="shared" si="34"/>
        <v>31949.845000000001</v>
      </c>
      <c r="E922" s="2">
        <f>VLOOKUP(A922,'2.09.2021'!A$3:'2.09.2021'!I$202,5,)</f>
        <v>44437</v>
      </c>
      <c r="F922" s="2">
        <v>44469</v>
      </c>
      <c r="G922" s="23">
        <f>VLOOKUP(A922,'2.09.2021'!A$3:'2.09.2021'!I$202,7,)</f>
        <v>0.23541666666666669</v>
      </c>
      <c r="H922" t="str">
        <f>VLOOKUP(A922,'2.09.2021'!A$3:'2.09.2021'!I$202,8,)</f>
        <v>HIP-HOP/RAP</v>
      </c>
      <c r="I922" t="str">
        <f>VLOOKUP(A922,'2.09.2021'!A$3:'2.09.2021'!I$202,9,)</f>
        <v>SUA</v>
      </c>
      <c r="J922" t="str">
        <f t="shared" si="35"/>
        <v>Nu</v>
      </c>
    </row>
    <row r="923" spans="1:10" x14ac:dyDescent="0.2">
      <c r="A923" t="s">
        <v>179</v>
      </c>
      <c r="B923" t="s">
        <v>180</v>
      </c>
      <c r="C923">
        <v>6312555</v>
      </c>
      <c r="D923" s="7">
        <f t="shared" si="34"/>
        <v>31562.775000000001</v>
      </c>
      <c r="E923" s="2">
        <f>VLOOKUP(A923,'2.09.2021'!A$3:'2.09.2021'!I$202,5,)</f>
        <v>44303</v>
      </c>
      <c r="F923" s="2">
        <v>44469</v>
      </c>
      <c r="G923" s="23">
        <f>VLOOKUP(A923,'2.09.2021'!A$3:'2.09.2021'!I$202,7,)</f>
        <v>0.15902777777777777</v>
      </c>
      <c r="H923" t="str">
        <f>VLOOKUP(A923,'2.09.2021'!A$3:'2.09.2021'!I$202,8,)</f>
        <v>HIP-HOP/RAP</v>
      </c>
      <c r="I923" t="str">
        <f>VLOOKUP(A923,'2.09.2021'!A$3:'2.09.2021'!I$202,9,)</f>
        <v>Olanda</v>
      </c>
      <c r="J923" t="str">
        <f t="shared" si="35"/>
        <v>Nu</v>
      </c>
    </row>
    <row r="924" spans="1:10" x14ac:dyDescent="0.2">
      <c r="A924" t="s">
        <v>181</v>
      </c>
      <c r="B924" t="s">
        <v>42</v>
      </c>
      <c r="C924">
        <v>6225584</v>
      </c>
      <c r="D924" s="7">
        <f t="shared" si="34"/>
        <v>31127.919999999998</v>
      </c>
      <c r="E924" s="2">
        <f>VLOOKUP(A924,'2.09.2021'!A$3:'2.09.2021'!I$202,5,)</f>
        <v>44316</v>
      </c>
      <c r="F924" s="2">
        <v>44469</v>
      </c>
      <c r="G924" s="23">
        <f>VLOOKUP(A924,'2.09.2021'!A$3:'2.09.2021'!I$202,7,)</f>
        <v>0.12013888888888889</v>
      </c>
      <c r="H924" t="str">
        <f>VLOOKUP(A924,'2.09.2021'!A$3:'2.09.2021'!I$202,8,)</f>
        <v>ELECTRONIC</v>
      </c>
      <c r="I924" t="str">
        <f>VLOOKUP(A924,'2.09.2021'!A$3:'2.09.2021'!I$202,9,)</f>
        <v>Columbia</v>
      </c>
      <c r="J924" t="str">
        <f t="shared" si="35"/>
        <v>Nu</v>
      </c>
    </row>
    <row r="925" spans="1:10" x14ac:dyDescent="0.2">
      <c r="A925" t="s">
        <v>182</v>
      </c>
      <c r="B925" t="s">
        <v>183</v>
      </c>
      <c r="C925">
        <v>6182823</v>
      </c>
      <c r="D925" s="7">
        <f t="shared" si="34"/>
        <v>30914.115000000002</v>
      </c>
      <c r="E925" s="2">
        <v>44346</v>
      </c>
      <c r="F925" s="2">
        <v>44469</v>
      </c>
      <c r="G925" s="23">
        <v>0.125</v>
      </c>
      <c r="H925" t="s">
        <v>423</v>
      </c>
      <c r="I925" t="s">
        <v>468</v>
      </c>
      <c r="J925" t="str">
        <f t="shared" si="35"/>
        <v>Nu</v>
      </c>
    </row>
    <row r="926" spans="1:10" x14ac:dyDescent="0.2">
      <c r="A926" t="s">
        <v>184</v>
      </c>
      <c r="B926" t="s">
        <v>185</v>
      </c>
      <c r="C926">
        <v>6179175</v>
      </c>
      <c r="D926" s="7">
        <f t="shared" si="34"/>
        <v>30895.875</v>
      </c>
      <c r="E926" s="2">
        <f>VLOOKUP(A926,'2.09.2021'!A$3:'2.09.2021'!I$202,5,)</f>
        <v>44321</v>
      </c>
      <c r="F926" s="2">
        <v>44469</v>
      </c>
      <c r="G926" s="23">
        <f>VLOOKUP(A926,'2.09.2021'!A$3:'2.09.2021'!I$202,7,)</f>
        <v>0.16805555555555554</v>
      </c>
      <c r="H926" t="str">
        <f>VLOOKUP(A926,'2.09.2021'!A$3:'2.09.2021'!I$202,8,)</f>
        <v>HIP-HOP/RAP</v>
      </c>
      <c r="I926" t="str">
        <f>VLOOKUP(A926,'2.09.2021'!A$3:'2.09.2021'!I$202,9,)</f>
        <v>SUA</v>
      </c>
      <c r="J926" t="str">
        <f t="shared" si="35"/>
        <v>Nu</v>
      </c>
    </row>
    <row r="927" spans="1:10" x14ac:dyDescent="0.2">
      <c r="A927" t="s">
        <v>186</v>
      </c>
      <c r="B927" t="s">
        <v>38</v>
      </c>
      <c r="C927">
        <v>6099427</v>
      </c>
      <c r="D927" s="7">
        <f t="shared" si="34"/>
        <v>30497.134999999998</v>
      </c>
      <c r="E927" s="2">
        <f>VLOOKUP(A927,'2.09.2021'!A$3:'2.09.2021'!I$202,5,)</f>
        <v>44315</v>
      </c>
      <c r="F927" s="2">
        <v>44469</v>
      </c>
      <c r="G927" s="23">
        <f>VLOOKUP(A927,'2.09.2021'!A$3:'2.09.2021'!I$202,7,)</f>
        <v>0.14097222222222222</v>
      </c>
      <c r="H927" t="str">
        <f>VLOOKUP(A927,'2.09.2021'!A$3:'2.09.2021'!I$202,8,)</f>
        <v>LATIN URBAN</v>
      </c>
      <c r="I927" t="str">
        <f>VLOOKUP(A927,'2.09.2021'!A$3:'2.09.2021'!I$202,9,)</f>
        <v>Marea Britanie</v>
      </c>
      <c r="J927" t="str">
        <f t="shared" si="35"/>
        <v>Nu</v>
      </c>
    </row>
    <row r="928" spans="1:10" x14ac:dyDescent="0.2">
      <c r="A928" t="s">
        <v>187</v>
      </c>
      <c r="B928" t="s">
        <v>188</v>
      </c>
      <c r="C928">
        <v>6065795</v>
      </c>
      <c r="D928" s="7">
        <f t="shared" si="34"/>
        <v>30328.974999999999</v>
      </c>
      <c r="E928" s="2">
        <f>VLOOKUP(A928,'2.09.2021'!A$3:'2.09.2021'!I$202,5,)</f>
        <v>44362</v>
      </c>
      <c r="F928" s="2">
        <v>44469</v>
      </c>
      <c r="G928" s="23">
        <f>VLOOKUP(A928,'2.09.2021'!A$3:'2.09.2021'!I$202,7,)</f>
        <v>0.14027777777777778</v>
      </c>
      <c r="H928" t="str">
        <f>VLOOKUP(A928,'2.09.2021'!A$3:'2.09.2021'!I$202,8,)</f>
        <v>HIP-HOP/RAP</v>
      </c>
      <c r="I928" t="str">
        <f>VLOOKUP(A928,'2.09.2021'!A$3:'2.09.2021'!I$202,9,)</f>
        <v>Marea Britanie</v>
      </c>
      <c r="J928" t="str">
        <f t="shared" si="35"/>
        <v>Nu</v>
      </c>
    </row>
    <row r="929" spans="1:10" x14ac:dyDescent="0.2">
      <c r="A929" t="s">
        <v>189</v>
      </c>
      <c r="B929" t="s">
        <v>190</v>
      </c>
      <c r="C929">
        <v>6040636</v>
      </c>
      <c r="D929" s="7">
        <f t="shared" si="34"/>
        <v>30203.18</v>
      </c>
      <c r="E929" s="2">
        <v>44246</v>
      </c>
      <c r="F929" s="2">
        <v>44469</v>
      </c>
      <c r="G929" s="23">
        <v>9.8611111111111108E-2</v>
      </c>
      <c r="H929" t="s">
        <v>426</v>
      </c>
      <c r="I929" t="s">
        <v>474</v>
      </c>
      <c r="J929" t="str">
        <f t="shared" si="35"/>
        <v>Nu</v>
      </c>
    </row>
    <row r="930" spans="1:10" x14ac:dyDescent="0.2">
      <c r="A930" t="s">
        <v>191</v>
      </c>
      <c r="B930" t="s">
        <v>192</v>
      </c>
      <c r="C930">
        <v>6034788</v>
      </c>
      <c r="D930" s="7">
        <f t="shared" si="34"/>
        <v>30173.94</v>
      </c>
      <c r="E930" s="2">
        <f>VLOOKUP(A930,'2.09.2021'!A$3:'2.09.2021'!I$202,5,)</f>
        <v>44413</v>
      </c>
      <c r="F930" s="2">
        <v>44469</v>
      </c>
      <c r="G930" s="23">
        <f>VLOOKUP(A930,'2.09.2021'!A$3:'2.09.2021'!I$202,7,)</f>
        <v>0.12013888888888889</v>
      </c>
      <c r="H930" t="str">
        <f>VLOOKUP(A930,'2.09.2021'!A$3:'2.09.2021'!I$202,8,)</f>
        <v>LATIN</v>
      </c>
      <c r="I930" t="str">
        <f>VLOOKUP(A930,'2.09.2021'!A$3:'2.09.2021'!I$202,9,)</f>
        <v>Canada</v>
      </c>
      <c r="J930" t="str">
        <f t="shared" si="35"/>
        <v>Nu</v>
      </c>
    </row>
    <row r="931" spans="1:10" x14ac:dyDescent="0.2">
      <c r="A931" t="s">
        <v>193</v>
      </c>
      <c r="B931" t="s">
        <v>86</v>
      </c>
      <c r="C931">
        <v>6022842</v>
      </c>
      <c r="D931" s="7">
        <f t="shared" ref="D931:D994" si="36">(C931/1000*5)</f>
        <v>30114.21</v>
      </c>
      <c r="E931" s="2">
        <f>VLOOKUP(A931,'2.09.2021'!A$3:'2.09.2021'!I$202,5,)</f>
        <v>44230</v>
      </c>
      <c r="F931" s="2">
        <v>44469</v>
      </c>
      <c r="G931" s="23">
        <f>VLOOKUP(A931,'2.09.2021'!A$3:'2.09.2021'!I$202,7,)</f>
        <v>0.12083333333333333</v>
      </c>
      <c r="H931" t="str">
        <f>VLOOKUP(A931,'2.09.2021'!A$3:'2.09.2021'!I$202,8,)</f>
        <v>HIP-HOP/RAP</v>
      </c>
      <c r="I931" t="str">
        <f>VLOOKUP(A931,'2.09.2021'!A$3:'2.09.2021'!I$202,9,)</f>
        <v>SUA</v>
      </c>
      <c r="J931" t="str">
        <f t="shared" si="35"/>
        <v>Nu</v>
      </c>
    </row>
    <row r="932" spans="1:10" x14ac:dyDescent="0.2">
      <c r="A932" t="s">
        <v>194</v>
      </c>
      <c r="B932" t="s">
        <v>12</v>
      </c>
      <c r="C932">
        <v>5931113</v>
      </c>
      <c r="D932" s="7">
        <f t="shared" si="36"/>
        <v>29655.565000000002</v>
      </c>
      <c r="E932" s="2">
        <f>VLOOKUP(A932,'2.09.2021'!A$3:'2.09.2021'!I$202,5,)</f>
        <v>44262</v>
      </c>
      <c r="F932" s="2">
        <v>44469</v>
      </c>
      <c r="G932" s="23">
        <f>VLOOKUP(A932,'2.09.2021'!A$3:'2.09.2021'!I$202,7,)</f>
        <v>0.10833333333333334</v>
      </c>
      <c r="H932" t="str">
        <f>VLOOKUP(A932,'2.09.2021'!A$3:'2.09.2021'!I$202,8,)</f>
        <v>LATIN URBAN</v>
      </c>
      <c r="I932" t="str">
        <f>VLOOKUP(A932,'2.09.2021'!A$3:'2.09.2021'!I$202,9,)</f>
        <v>SUA</v>
      </c>
      <c r="J932" t="str">
        <f t="shared" si="35"/>
        <v>Nu</v>
      </c>
    </row>
    <row r="933" spans="1:10" x14ac:dyDescent="0.2">
      <c r="A933" t="s">
        <v>195</v>
      </c>
      <c r="B933" t="s">
        <v>196</v>
      </c>
      <c r="C933">
        <v>5902957</v>
      </c>
      <c r="D933" s="7">
        <f t="shared" si="36"/>
        <v>29514.785000000003</v>
      </c>
      <c r="E933" s="2">
        <v>44298</v>
      </c>
      <c r="F933" s="2">
        <v>44469</v>
      </c>
      <c r="G933" s="23">
        <v>5.7638888888888885E-2</v>
      </c>
      <c r="H933" t="s">
        <v>418</v>
      </c>
      <c r="I933" t="s">
        <v>472</v>
      </c>
      <c r="J933" t="str">
        <f t="shared" si="35"/>
        <v>Nu</v>
      </c>
    </row>
    <row r="934" spans="1:10" x14ac:dyDescent="0.2">
      <c r="A934" t="s">
        <v>197</v>
      </c>
      <c r="B934" t="s">
        <v>1</v>
      </c>
      <c r="C934">
        <v>5879073</v>
      </c>
      <c r="D934" s="7">
        <f t="shared" si="36"/>
        <v>29395.365000000002</v>
      </c>
      <c r="E934" s="2">
        <f>VLOOKUP(A934,'2.09.2021'!A$3:'2.09.2021'!I$202,5,)</f>
        <v>44243</v>
      </c>
      <c r="F934" s="2">
        <v>44469</v>
      </c>
      <c r="G934" s="23">
        <f>VLOOKUP(A934,'2.09.2021'!A$3:'2.09.2021'!I$202,7,)</f>
        <v>0.11388888888888889</v>
      </c>
      <c r="H934" t="str">
        <f>VLOOKUP(A934,'2.09.2021'!A$3:'2.09.2021'!I$202,8,)</f>
        <v>LATIN URBAN</v>
      </c>
      <c r="I934" t="str">
        <f>VLOOKUP(A934,'2.09.2021'!A$3:'2.09.2021'!I$202,9,)</f>
        <v>Australia</v>
      </c>
      <c r="J934" t="str">
        <f t="shared" si="35"/>
        <v>Da</v>
      </c>
    </row>
    <row r="935" spans="1:10" x14ac:dyDescent="0.2">
      <c r="A935" t="s">
        <v>198</v>
      </c>
      <c r="B935" t="s">
        <v>138</v>
      </c>
      <c r="C935">
        <v>5872202</v>
      </c>
      <c r="D935" s="7">
        <f t="shared" si="36"/>
        <v>29361.010000000002</v>
      </c>
      <c r="E935" s="2">
        <f>VLOOKUP(A935,'2.09.2021'!A$3:'2.09.2021'!I$202,5,)</f>
        <v>44295</v>
      </c>
      <c r="F935" s="2">
        <v>44469</v>
      </c>
      <c r="G935" s="23">
        <f>VLOOKUP(A935,'2.09.2021'!A$3:'2.09.2021'!I$202,7,)</f>
        <v>0.37361111111111112</v>
      </c>
      <c r="H935" t="str">
        <f>VLOOKUP(A935,'2.09.2021'!A$3:'2.09.2021'!I$202,8,)</f>
        <v>K-POP</v>
      </c>
      <c r="I935" t="str">
        <f>VLOOKUP(A935,'2.09.2021'!A$3:'2.09.2021'!I$202,9,)</f>
        <v>Canada</v>
      </c>
      <c r="J935" t="str">
        <f t="shared" si="35"/>
        <v>Nu</v>
      </c>
    </row>
    <row r="936" spans="1:10" x14ac:dyDescent="0.2">
      <c r="A936" t="s">
        <v>199</v>
      </c>
      <c r="B936" t="s">
        <v>200</v>
      </c>
      <c r="C936">
        <v>5844486</v>
      </c>
      <c r="D936" s="7">
        <f t="shared" si="36"/>
        <v>29222.43</v>
      </c>
      <c r="E936" s="2">
        <v>36603</v>
      </c>
      <c r="F936" s="2">
        <v>44469</v>
      </c>
      <c r="G936" s="23">
        <v>0.19722222222222222</v>
      </c>
      <c r="H936" t="s">
        <v>423</v>
      </c>
      <c r="I936" t="s">
        <v>468</v>
      </c>
      <c r="J936" t="str">
        <f t="shared" si="35"/>
        <v>Nu</v>
      </c>
    </row>
    <row r="937" spans="1:10" x14ac:dyDescent="0.2">
      <c r="A937" t="s">
        <v>201</v>
      </c>
      <c r="B937" t="s">
        <v>202</v>
      </c>
      <c r="C937">
        <v>5818772</v>
      </c>
      <c r="D937" s="7">
        <f t="shared" si="36"/>
        <v>29093.86</v>
      </c>
      <c r="E937" s="2">
        <v>44366</v>
      </c>
      <c r="F937" s="2">
        <v>44469</v>
      </c>
      <c r="G937" s="23">
        <v>0.11805555555555557</v>
      </c>
      <c r="H937" t="s">
        <v>422</v>
      </c>
      <c r="I937" t="s">
        <v>468</v>
      </c>
      <c r="J937" t="str">
        <f t="shared" si="35"/>
        <v>Nu</v>
      </c>
    </row>
    <row r="938" spans="1:10" x14ac:dyDescent="0.2">
      <c r="A938" t="s">
        <v>203</v>
      </c>
      <c r="B938" t="s">
        <v>204</v>
      </c>
      <c r="C938">
        <v>5814634</v>
      </c>
      <c r="D938" s="7">
        <f t="shared" si="36"/>
        <v>29073.17</v>
      </c>
      <c r="E938" s="2">
        <f>VLOOKUP(A938,'2.09.2021'!A$3:'2.09.2021'!I$202,5,)</f>
        <v>44254</v>
      </c>
      <c r="F938" s="2">
        <v>44469</v>
      </c>
      <c r="G938" s="23">
        <f>VLOOKUP(A938,'2.09.2021'!A$3:'2.09.2021'!I$202,7,)</f>
        <v>0.15277777777777776</v>
      </c>
      <c r="H938" t="str">
        <f>VLOOKUP(A938,'2.09.2021'!A$3:'2.09.2021'!I$202,8,)</f>
        <v>K-POP</v>
      </c>
      <c r="I938" t="str">
        <f>VLOOKUP(A938,'2.09.2021'!A$3:'2.09.2021'!I$202,9,)</f>
        <v>SUA</v>
      </c>
      <c r="J938" t="str">
        <f t="shared" si="35"/>
        <v>Nu</v>
      </c>
    </row>
    <row r="939" spans="1:10" x14ac:dyDescent="0.2">
      <c r="A939" t="s">
        <v>205</v>
      </c>
      <c r="B939" t="s">
        <v>206</v>
      </c>
      <c r="C939">
        <v>5813591</v>
      </c>
      <c r="D939" s="7">
        <f t="shared" si="36"/>
        <v>29067.955000000002</v>
      </c>
      <c r="E939" s="2">
        <f>VLOOKUP(A939,'2.09.2021'!A$3:'2.09.2021'!I$202,5,)</f>
        <v>44308</v>
      </c>
      <c r="F939" s="2">
        <v>44469</v>
      </c>
      <c r="G939" s="23">
        <f>VLOOKUP(A939,'2.09.2021'!A$3:'2.09.2021'!I$202,7,)</f>
        <v>0.14722222222222223</v>
      </c>
      <c r="H939" t="str">
        <f>VLOOKUP(A939,'2.09.2021'!A$3:'2.09.2021'!I$202,8,)</f>
        <v>HIP-HOP/RAP</v>
      </c>
      <c r="I939" t="str">
        <f>VLOOKUP(A939,'2.09.2021'!A$3:'2.09.2021'!I$202,9,)</f>
        <v>India</v>
      </c>
      <c r="J939" t="str">
        <f t="shared" si="35"/>
        <v>Nu</v>
      </c>
    </row>
    <row r="940" spans="1:10" x14ac:dyDescent="0.2">
      <c r="A940" t="s">
        <v>448</v>
      </c>
      <c r="B940" t="s">
        <v>207</v>
      </c>
      <c r="C940">
        <v>5787674</v>
      </c>
      <c r="D940" s="7">
        <f t="shared" si="36"/>
        <v>28938.37</v>
      </c>
      <c r="E940" s="2">
        <f>VLOOKUP(A940,'2.09.2021'!A$3:'2.09.2021'!I$202,5,)</f>
        <v>44309</v>
      </c>
      <c r="F940" s="2">
        <v>44469</v>
      </c>
      <c r="G940" s="23">
        <f>VLOOKUP(A940,'2.09.2021'!A$3:'2.09.2021'!I$202,7,)</f>
        <v>0.13333333333333333</v>
      </c>
      <c r="H940" t="str">
        <f>VLOOKUP(A940,'2.09.2021'!A$3:'2.09.2021'!I$202,8,)</f>
        <v>LATIN</v>
      </c>
      <c r="I940" t="str">
        <f>VLOOKUP(A940,'2.09.2021'!A$3:'2.09.2021'!I$202,9,)</f>
        <v>SUA</v>
      </c>
      <c r="J940" t="str">
        <f t="shared" si="35"/>
        <v>Da</v>
      </c>
    </row>
    <row r="941" spans="1:10" x14ac:dyDescent="0.2">
      <c r="A941" t="s">
        <v>449</v>
      </c>
      <c r="B941" t="s">
        <v>76</v>
      </c>
      <c r="C941">
        <v>5781914</v>
      </c>
      <c r="D941" s="7">
        <f t="shared" si="36"/>
        <v>28909.57</v>
      </c>
      <c r="E941" s="2">
        <f>VLOOKUP(A941,'2.09.2021'!A$3:'2.09.2021'!I$202,5,)</f>
        <v>44391</v>
      </c>
      <c r="F941" s="2">
        <v>44469</v>
      </c>
      <c r="G941" s="23">
        <f>VLOOKUP(A941,'2.09.2021'!A$3:'2.09.2021'!I$202,7,)</f>
        <v>0.10208333333333335</v>
      </c>
      <c r="H941" t="str">
        <f>VLOOKUP(A941,'2.09.2021'!A$3:'2.09.2021'!I$202,8,)</f>
        <v>LATIN URBAN</v>
      </c>
      <c r="I941" t="str">
        <f>VLOOKUP(A941,'2.09.2021'!A$3:'2.09.2021'!I$202,9,)</f>
        <v>Marea Britanie</v>
      </c>
      <c r="J941" t="str">
        <f t="shared" si="35"/>
        <v>Da</v>
      </c>
    </row>
    <row r="942" spans="1:10" x14ac:dyDescent="0.2">
      <c r="A942" t="s">
        <v>208</v>
      </c>
      <c r="B942" t="s">
        <v>209</v>
      </c>
      <c r="C942">
        <v>5781468</v>
      </c>
      <c r="D942" s="7">
        <f t="shared" si="36"/>
        <v>28907.34</v>
      </c>
      <c r="E942" s="2">
        <f>VLOOKUP(A942,'2.09.2021'!A$3:'2.09.2021'!I$202,5,)</f>
        <v>44452</v>
      </c>
      <c r="F942" s="2">
        <v>44469</v>
      </c>
      <c r="G942" s="23">
        <f>VLOOKUP(A942,'2.09.2021'!A$3:'2.09.2021'!I$202,7,)</f>
        <v>0.13819444444444443</v>
      </c>
      <c r="H942" t="str">
        <f>VLOOKUP(A942,'2.09.2021'!A$3:'2.09.2021'!I$202,8,)</f>
        <v>HIP-HOP/RAP</v>
      </c>
      <c r="I942" t="str">
        <f>VLOOKUP(A942,'2.09.2021'!A$3:'2.09.2021'!I$202,9,)</f>
        <v>Brazilia</v>
      </c>
      <c r="J942" t="str">
        <f t="shared" si="35"/>
        <v>Nu</v>
      </c>
    </row>
    <row r="943" spans="1:10" x14ac:dyDescent="0.2">
      <c r="A943" t="s">
        <v>210</v>
      </c>
      <c r="B943" t="s">
        <v>211</v>
      </c>
      <c r="C943">
        <v>5780875</v>
      </c>
      <c r="D943" s="7">
        <f t="shared" si="36"/>
        <v>28904.375</v>
      </c>
      <c r="E943" s="2">
        <f>VLOOKUP(A943,'2.09.2021'!A$3:'2.09.2021'!I$202,5,)</f>
        <v>44456</v>
      </c>
      <c r="F943" s="2">
        <v>44469</v>
      </c>
      <c r="G943" s="23">
        <f>VLOOKUP(A943,'2.09.2021'!A$3:'2.09.2021'!I$202,7,)</f>
        <v>0.12361111111111112</v>
      </c>
      <c r="H943" t="str">
        <f>VLOOKUP(A943,'2.09.2021'!A$3:'2.09.2021'!I$202,8,)</f>
        <v>ROCK</v>
      </c>
      <c r="I943" t="str">
        <f>VLOOKUP(A943,'2.09.2021'!A$3:'2.09.2021'!I$202,9,)</f>
        <v>SUA</v>
      </c>
      <c r="J943" t="str">
        <f t="shared" si="35"/>
        <v>Nu</v>
      </c>
    </row>
    <row r="944" spans="1:10" x14ac:dyDescent="0.2">
      <c r="A944" t="s">
        <v>212</v>
      </c>
      <c r="B944" t="s">
        <v>213</v>
      </c>
      <c r="C944">
        <v>5764262</v>
      </c>
      <c r="D944" s="7">
        <f t="shared" si="36"/>
        <v>28821.309999999998</v>
      </c>
      <c r="E944" s="2">
        <f>VLOOKUP(A944,'2.09.2021'!A$3:'2.09.2021'!I$202,5,)</f>
        <v>44337</v>
      </c>
      <c r="F944" s="2">
        <v>44469</v>
      </c>
      <c r="G944" s="23">
        <f>VLOOKUP(A944,'2.09.2021'!A$3:'2.09.2021'!I$202,7,)</f>
        <v>0.22291666666666665</v>
      </c>
      <c r="H944" t="str">
        <f>VLOOKUP(A944,'2.09.2021'!A$3:'2.09.2021'!I$202,8,)</f>
        <v>LATIN URBAN</v>
      </c>
      <c r="I944" t="str">
        <f>VLOOKUP(A944,'2.09.2021'!A$3:'2.09.2021'!I$202,9,)</f>
        <v>Suedia</v>
      </c>
      <c r="J944" t="str">
        <f t="shared" si="35"/>
        <v>Nu</v>
      </c>
    </row>
    <row r="945" spans="1:10" x14ac:dyDescent="0.2">
      <c r="A945" t="s">
        <v>214</v>
      </c>
      <c r="B945" t="s">
        <v>215</v>
      </c>
      <c r="C945">
        <v>5759898</v>
      </c>
      <c r="D945" s="7">
        <f t="shared" si="36"/>
        <v>28799.49</v>
      </c>
      <c r="E945" s="2">
        <v>44297</v>
      </c>
      <c r="F945" s="2">
        <v>44469</v>
      </c>
      <c r="G945" s="23">
        <v>0.10555555555555556</v>
      </c>
      <c r="H945" t="s">
        <v>418</v>
      </c>
      <c r="I945" t="s">
        <v>479</v>
      </c>
      <c r="J945" t="str">
        <f t="shared" si="35"/>
        <v>Nu</v>
      </c>
    </row>
    <row r="946" spans="1:10" x14ac:dyDescent="0.2">
      <c r="A946" t="s">
        <v>216</v>
      </c>
      <c r="B946" t="s">
        <v>217</v>
      </c>
      <c r="C946">
        <v>5734900</v>
      </c>
      <c r="D946" s="7">
        <f t="shared" si="36"/>
        <v>28674.5</v>
      </c>
      <c r="E946" s="2">
        <f>VLOOKUP(A946,'2.09.2021'!A$3:'2.09.2021'!I$202,5,)</f>
        <v>44316</v>
      </c>
      <c r="F946" s="2">
        <v>44469</v>
      </c>
      <c r="G946" s="23">
        <f>VLOOKUP(A946,'2.09.2021'!A$3:'2.09.2021'!I$202,7,)</f>
        <v>0.14305555555555557</v>
      </c>
      <c r="H946" t="str">
        <f>VLOOKUP(A946,'2.09.2021'!A$3:'2.09.2021'!I$202,8,)</f>
        <v>LATIN</v>
      </c>
      <c r="I946" t="str">
        <f>VLOOKUP(A946,'2.09.2021'!A$3:'2.09.2021'!I$202,9,)</f>
        <v>Canada</v>
      </c>
      <c r="J946" t="str">
        <f t="shared" si="35"/>
        <v>Nu</v>
      </c>
    </row>
    <row r="947" spans="1:10" x14ac:dyDescent="0.2">
      <c r="A947" t="s">
        <v>218</v>
      </c>
      <c r="B947" t="s">
        <v>219</v>
      </c>
      <c r="C947">
        <v>5719256</v>
      </c>
      <c r="D947" s="7">
        <f t="shared" si="36"/>
        <v>28596.280000000002</v>
      </c>
      <c r="E947" s="2">
        <f>VLOOKUP(A947,'2.09.2021'!A$3:'2.09.2021'!I$202,5,)</f>
        <v>44320</v>
      </c>
      <c r="F947" s="2">
        <v>44469</v>
      </c>
      <c r="G947" s="23">
        <f>VLOOKUP(A947,'2.09.2021'!A$3:'2.09.2021'!I$202,7,)</f>
        <v>0.18958333333333333</v>
      </c>
      <c r="H947" t="str">
        <f>VLOOKUP(A947,'2.09.2021'!A$3:'2.09.2021'!I$202,8,)</f>
        <v>POP</v>
      </c>
      <c r="I947" t="str">
        <f>VLOOKUP(A947,'2.09.2021'!A$3:'2.09.2021'!I$202,9,)</f>
        <v>Puerto Rico</v>
      </c>
      <c r="J947" t="str">
        <f t="shared" si="35"/>
        <v>Nu</v>
      </c>
    </row>
    <row r="948" spans="1:10" x14ac:dyDescent="0.2">
      <c r="A948" t="s">
        <v>220</v>
      </c>
      <c r="B948" t="s">
        <v>215</v>
      </c>
      <c r="C948">
        <v>5719042</v>
      </c>
      <c r="D948" s="7">
        <f t="shared" si="36"/>
        <v>28595.210000000003</v>
      </c>
      <c r="E948" s="2">
        <f>VLOOKUP(A948,'2.09.2021'!A$3:'2.09.2021'!I$202,5,)</f>
        <v>44412</v>
      </c>
      <c r="F948" s="2">
        <v>44469</v>
      </c>
      <c r="G948" s="23">
        <f>VLOOKUP(A948,'2.09.2021'!A$3:'2.09.2021'!I$202,7,)</f>
        <v>0.1673611111111111</v>
      </c>
      <c r="H948" t="str">
        <f>VLOOKUP(A948,'2.09.2021'!A$3:'2.09.2021'!I$202,8,)</f>
        <v>POP</v>
      </c>
      <c r="I948" t="str">
        <f>VLOOKUP(A948,'2.09.2021'!A$3:'2.09.2021'!I$202,9,)</f>
        <v>Puerto Rico</v>
      </c>
      <c r="J948" t="str">
        <f t="shared" si="35"/>
        <v>Nu</v>
      </c>
    </row>
    <row r="949" spans="1:10" x14ac:dyDescent="0.2">
      <c r="A949" t="s">
        <v>221</v>
      </c>
      <c r="B949" t="s">
        <v>222</v>
      </c>
      <c r="C949">
        <v>5714332</v>
      </c>
      <c r="D949" s="7">
        <f t="shared" si="36"/>
        <v>28571.660000000003</v>
      </c>
      <c r="E949" s="2">
        <f>VLOOKUP(A949,'2.09.2021'!A$3:'2.09.2021'!I$202,5,)</f>
        <v>44286</v>
      </c>
      <c r="F949" s="2">
        <v>44469</v>
      </c>
      <c r="G949" s="23">
        <f>VLOOKUP(A949,'2.09.2021'!A$3:'2.09.2021'!I$202,7,)</f>
        <v>8.8888888888888892E-2</v>
      </c>
      <c r="H949" t="str">
        <f>VLOOKUP(A949,'2.09.2021'!A$3:'2.09.2021'!I$202,8,)</f>
        <v>HIP-HOP/RAP</v>
      </c>
      <c r="I949" t="str">
        <f>VLOOKUP(A949,'2.09.2021'!A$3:'2.09.2021'!I$202,9,)</f>
        <v>Brazilia</v>
      </c>
      <c r="J949" t="str">
        <f t="shared" si="35"/>
        <v>Nu</v>
      </c>
    </row>
    <row r="950" spans="1:10" x14ac:dyDescent="0.2">
      <c r="A950" t="s">
        <v>223</v>
      </c>
      <c r="B950" t="s">
        <v>88</v>
      </c>
      <c r="C950">
        <v>5710496</v>
      </c>
      <c r="D950" s="7">
        <f t="shared" si="36"/>
        <v>28552.48</v>
      </c>
      <c r="E950" s="2">
        <f>VLOOKUP(A950,'2.09.2021'!A$3:'2.09.2021'!I$202,5,)</f>
        <v>44351</v>
      </c>
      <c r="F950" s="2">
        <v>44469</v>
      </c>
      <c r="G950" s="23">
        <f>VLOOKUP(A950,'2.09.2021'!A$3:'2.09.2021'!I$202,7,)</f>
        <v>0.15347222222222223</v>
      </c>
      <c r="H950" t="str">
        <f>VLOOKUP(A950,'2.09.2021'!A$3:'2.09.2021'!I$202,8,)</f>
        <v>POP</v>
      </c>
      <c r="I950" t="str">
        <f>VLOOKUP(A950,'2.09.2021'!A$3:'2.09.2021'!I$202,9,)</f>
        <v>SUA</v>
      </c>
      <c r="J950" t="str">
        <f t="shared" si="35"/>
        <v>Nu</v>
      </c>
    </row>
    <row r="951" spans="1:10" x14ac:dyDescent="0.2">
      <c r="A951" t="s">
        <v>450</v>
      </c>
      <c r="B951" t="s">
        <v>55</v>
      </c>
      <c r="C951">
        <v>5703140</v>
      </c>
      <c r="D951" s="7">
        <f t="shared" si="36"/>
        <v>28515.7</v>
      </c>
      <c r="E951" s="2">
        <f>VLOOKUP(A951,'2.09.2021'!A$3:'2.09.2021'!I$202,5,)</f>
        <v>44435</v>
      </c>
      <c r="F951" s="2">
        <v>44469</v>
      </c>
      <c r="G951" s="23">
        <f>VLOOKUP(A951,'2.09.2021'!A$3:'2.09.2021'!I$202,7,)</f>
        <v>0.11388888888888889</v>
      </c>
      <c r="H951" t="str">
        <f>VLOOKUP(A951,'2.09.2021'!A$3:'2.09.2021'!I$202,8,)</f>
        <v>K-POP</v>
      </c>
      <c r="I951" t="str">
        <f>VLOOKUP(A951,'2.09.2021'!A$3:'2.09.2021'!I$202,9,)</f>
        <v>Korea de Sud</v>
      </c>
      <c r="J951" t="str">
        <f t="shared" si="35"/>
        <v>Da</v>
      </c>
    </row>
    <row r="952" spans="1:10" x14ac:dyDescent="0.2">
      <c r="A952" t="s">
        <v>224</v>
      </c>
      <c r="B952" t="s">
        <v>225</v>
      </c>
      <c r="C952">
        <v>5699299</v>
      </c>
      <c r="D952" s="7">
        <f t="shared" si="36"/>
        <v>28496.494999999999</v>
      </c>
      <c r="E952" s="2">
        <f>VLOOKUP(A952,'2.09.2021'!A$3:'2.09.2021'!I$202,5,)</f>
        <v>44460</v>
      </c>
      <c r="F952" s="2">
        <v>44469</v>
      </c>
      <c r="G952" s="23">
        <f>VLOOKUP(A952,'2.09.2021'!A$3:'2.09.2021'!I$202,7,)</f>
        <v>0.15694444444444444</v>
      </c>
      <c r="H952" t="str">
        <f>VLOOKUP(A952,'2.09.2021'!A$3:'2.09.2021'!I$202,8,)</f>
        <v>HIP-HOP/RAP</v>
      </c>
      <c r="I952" t="str">
        <f>VLOOKUP(A952,'2.09.2021'!A$3:'2.09.2021'!I$202,9,)</f>
        <v>Marea Britanie</v>
      </c>
      <c r="J952" t="str">
        <f t="shared" si="35"/>
        <v>Nu</v>
      </c>
    </row>
    <row r="953" spans="1:10" x14ac:dyDescent="0.2">
      <c r="A953" t="s">
        <v>226</v>
      </c>
      <c r="B953" t="s">
        <v>227</v>
      </c>
      <c r="C953">
        <v>5678972</v>
      </c>
      <c r="D953" s="7">
        <f t="shared" si="36"/>
        <v>28394.86</v>
      </c>
      <c r="E953" s="2">
        <f>VLOOKUP(A953,'2.09.2021'!A$3:'2.09.2021'!I$202,5,)</f>
        <v>44437</v>
      </c>
      <c r="F953" s="2">
        <v>44469</v>
      </c>
      <c r="G953" s="23">
        <f>VLOOKUP(A953,'2.09.2021'!A$3:'2.09.2021'!I$202,7,)</f>
        <v>0.19930555555555554</v>
      </c>
      <c r="H953" t="str">
        <f>VLOOKUP(A953,'2.09.2021'!A$3:'2.09.2021'!I$202,8,)</f>
        <v>LATIN URBAN</v>
      </c>
      <c r="I953" t="str">
        <f>VLOOKUP(A953,'2.09.2021'!A$3:'2.09.2021'!I$202,9,)</f>
        <v>SUA</v>
      </c>
      <c r="J953" t="str">
        <f t="shared" si="35"/>
        <v>Nu</v>
      </c>
    </row>
    <row r="954" spans="1:10" x14ac:dyDescent="0.2">
      <c r="A954" t="s">
        <v>228</v>
      </c>
      <c r="B954" t="s">
        <v>229</v>
      </c>
      <c r="C954">
        <v>5676064</v>
      </c>
      <c r="D954" s="7">
        <f t="shared" si="36"/>
        <v>28380.32</v>
      </c>
      <c r="E954" s="2">
        <f>VLOOKUP(A954,'2.09.2021'!A$3:'2.09.2021'!I$202,5,)</f>
        <v>44336</v>
      </c>
      <c r="F954" s="2">
        <v>44469</v>
      </c>
      <c r="G954" s="23">
        <f>VLOOKUP(A954,'2.09.2021'!A$3:'2.09.2021'!I$202,7,)</f>
        <v>9.7916666666666666E-2</v>
      </c>
      <c r="H954" t="str">
        <f>VLOOKUP(A954,'2.09.2021'!A$3:'2.09.2021'!I$202,8,)</f>
        <v>DANCE</v>
      </c>
      <c r="I954" t="str">
        <f>VLOOKUP(A954,'2.09.2021'!A$3:'2.09.2021'!I$202,9,)</f>
        <v>SUA</v>
      </c>
      <c r="J954" t="str">
        <f t="shared" si="35"/>
        <v>Nu</v>
      </c>
    </row>
    <row r="955" spans="1:10" x14ac:dyDescent="0.2">
      <c r="A955" t="s">
        <v>230</v>
      </c>
      <c r="B955" t="s">
        <v>231</v>
      </c>
      <c r="C955">
        <v>5673821</v>
      </c>
      <c r="D955" s="7">
        <f t="shared" si="36"/>
        <v>28369.105</v>
      </c>
      <c r="E955" s="2">
        <f>VLOOKUP(A955,'2.09.2021'!A$3:'2.09.2021'!I$202,5,)</f>
        <v>44339</v>
      </c>
      <c r="F955" s="2">
        <v>44469</v>
      </c>
      <c r="G955" s="23">
        <f>VLOOKUP(A955,'2.09.2021'!A$3:'2.09.2021'!I$202,7,)</f>
        <v>0.16805555555555554</v>
      </c>
      <c r="H955" t="str">
        <f>VLOOKUP(A955,'2.09.2021'!A$3:'2.09.2021'!I$202,8,)</f>
        <v>HIP-HOP/RAP</v>
      </c>
      <c r="I955" t="str">
        <f>VLOOKUP(A955,'2.09.2021'!A$3:'2.09.2021'!I$202,9,)</f>
        <v>Mexic</v>
      </c>
      <c r="J955" t="str">
        <f t="shared" si="35"/>
        <v>Nu</v>
      </c>
    </row>
    <row r="956" spans="1:10" x14ac:dyDescent="0.2">
      <c r="A956" t="s">
        <v>232</v>
      </c>
      <c r="B956" t="s">
        <v>233</v>
      </c>
      <c r="C956">
        <v>5668382</v>
      </c>
      <c r="D956" s="7">
        <f t="shared" si="36"/>
        <v>28341.909999999996</v>
      </c>
      <c r="E956" s="2">
        <f>VLOOKUP(A956,'2.09.2021'!A$3:'2.09.2021'!I$202,5,)</f>
        <v>44389</v>
      </c>
      <c r="F956" s="2">
        <v>44469</v>
      </c>
      <c r="G956" s="23">
        <f>VLOOKUP(A956,'2.09.2021'!A$3:'2.09.2021'!I$202,7,)</f>
        <v>0.14097222222222222</v>
      </c>
      <c r="H956" t="str">
        <f>VLOOKUP(A956,'2.09.2021'!A$3:'2.09.2021'!I$202,8,)</f>
        <v>POP</v>
      </c>
      <c r="I956" t="str">
        <f>VLOOKUP(A956,'2.09.2021'!A$3:'2.09.2021'!I$202,9,)</f>
        <v>SUA</v>
      </c>
      <c r="J956" t="str">
        <f t="shared" si="35"/>
        <v>Nu</v>
      </c>
    </row>
    <row r="957" spans="1:10" x14ac:dyDescent="0.2">
      <c r="A957" t="s">
        <v>234</v>
      </c>
      <c r="B957" t="s">
        <v>235</v>
      </c>
      <c r="C957">
        <v>5660310</v>
      </c>
      <c r="D957" s="7">
        <f t="shared" si="36"/>
        <v>28301.550000000003</v>
      </c>
      <c r="E957" s="2">
        <f>VLOOKUP(A957,'2.09.2021'!A$3:'2.09.2021'!I$202,5,)</f>
        <v>44285</v>
      </c>
      <c r="F957" s="2">
        <v>44469</v>
      </c>
      <c r="G957" s="23">
        <f>VLOOKUP(A957,'2.09.2021'!A$3:'2.09.2021'!I$202,7,)</f>
        <v>0.12708333333333333</v>
      </c>
      <c r="H957" t="str">
        <f>VLOOKUP(A957,'2.09.2021'!A$3:'2.09.2021'!I$202,8,)</f>
        <v>HIP-HOP/RAP</v>
      </c>
      <c r="I957" t="str">
        <f>VLOOKUP(A957,'2.09.2021'!A$3:'2.09.2021'!I$202,9,)</f>
        <v>Marea Britanie</v>
      </c>
      <c r="J957" t="str">
        <f t="shared" si="35"/>
        <v>Nu</v>
      </c>
    </row>
    <row r="958" spans="1:10" x14ac:dyDescent="0.2">
      <c r="A958" t="s">
        <v>236</v>
      </c>
      <c r="B958" t="s">
        <v>17</v>
      </c>
      <c r="C958">
        <v>5656596</v>
      </c>
      <c r="D958" s="7">
        <f t="shared" si="36"/>
        <v>28282.979999999996</v>
      </c>
      <c r="E958" s="2">
        <f>VLOOKUP(A958,'2.09.2021'!A$3:'2.09.2021'!I$202,5,)</f>
        <v>44347</v>
      </c>
      <c r="F958" s="2">
        <v>44469</v>
      </c>
      <c r="G958" s="23">
        <f>VLOOKUP(A958,'2.09.2021'!A$3:'2.09.2021'!I$202,7,)</f>
        <v>0.12013888888888889</v>
      </c>
      <c r="H958" t="str">
        <f>VLOOKUP(A958,'2.09.2021'!A$3:'2.09.2021'!I$202,8,)</f>
        <v>HIP-HOP/RAP</v>
      </c>
      <c r="I958" t="str">
        <f>VLOOKUP(A958,'2.09.2021'!A$3:'2.09.2021'!I$202,9,)</f>
        <v>SUA</v>
      </c>
      <c r="J958" t="str">
        <f t="shared" si="35"/>
        <v>Nu</v>
      </c>
    </row>
    <row r="959" spans="1:10" x14ac:dyDescent="0.2">
      <c r="A959" t="s">
        <v>237</v>
      </c>
      <c r="B959" t="s">
        <v>238</v>
      </c>
      <c r="C959">
        <v>5626831</v>
      </c>
      <c r="D959" s="7">
        <f t="shared" si="36"/>
        <v>28134.154999999999</v>
      </c>
      <c r="E959" s="2">
        <v>44230</v>
      </c>
      <c r="F959" s="2">
        <v>44469</v>
      </c>
      <c r="G959" s="23">
        <v>9.7916666666666666E-2</v>
      </c>
      <c r="H959" t="s">
        <v>418</v>
      </c>
      <c r="I959" t="s">
        <v>479</v>
      </c>
      <c r="J959" t="str">
        <f t="shared" si="35"/>
        <v>Nu</v>
      </c>
    </row>
    <row r="960" spans="1:10" x14ac:dyDescent="0.2">
      <c r="A960" t="s">
        <v>239</v>
      </c>
      <c r="B960" t="s">
        <v>240</v>
      </c>
      <c r="C960">
        <v>5622520</v>
      </c>
      <c r="D960" s="7">
        <f t="shared" si="36"/>
        <v>28112.600000000002</v>
      </c>
      <c r="E960" s="2">
        <f>VLOOKUP(A960,'2.09.2021'!A$3:'2.09.2021'!I$202,5,)</f>
        <v>44407</v>
      </c>
      <c r="F960" s="2">
        <v>44469</v>
      </c>
      <c r="G960" s="23">
        <f>VLOOKUP(A960,'2.09.2021'!A$3:'2.09.2021'!I$202,7,)</f>
        <v>0.16874999999999998</v>
      </c>
      <c r="H960" t="str">
        <f>VLOOKUP(A960,'2.09.2021'!A$3:'2.09.2021'!I$202,8,)</f>
        <v>POP</v>
      </c>
      <c r="I960" t="str">
        <f>VLOOKUP(A960,'2.09.2021'!A$3:'2.09.2021'!I$202,9,)</f>
        <v>Irlanda</v>
      </c>
      <c r="J960" t="str">
        <f t="shared" si="35"/>
        <v>Nu</v>
      </c>
    </row>
    <row r="961" spans="1:10" x14ac:dyDescent="0.2">
      <c r="A961" t="s">
        <v>241</v>
      </c>
      <c r="B961" t="s">
        <v>242</v>
      </c>
      <c r="C961">
        <v>5615991</v>
      </c>
      <c r="D961" s="7">
        <f t="shared" si="36"/>
        <v>28079.955000000002</v>
      </c>
      <c r="E961" s="2">
        <f>VLOOKUP(A961,'2.09.2021'!A$3:'2.09.2021'!I$202,5,)</f>
        <v>44377</v>
      </c>
      <c r="F961" s="2">
        <v>44469</v>
      </c>
      <c r="G961" s="23">
        <f>VLOOKUP(A961,'2.09.2021'!A$3:'2.09.2021'!I$202,7,)</f>
        <v>0.16527777777777777</v>
      </c>
      <c r="H961" t="str">
        <f>VLOOKUP(A961,'2.09.2021'!A$3:'2.09.2021'!I$202,8,)</f>
        <v>HIP-HOP/RAP</v>
      </c>
      <c r="I961" t="str">
        <f>VLOOKUP(A961,'2.09.2021'!A$3:'2.09.2021'!I$202,9,)</f>
        <v>Marea Britanie</v>
      </c>
      <c r="J961" t="str">
        <f t="shared" si="35"/>
        <v>Nu</v>
      </c>
    </row>
    <row r="962" spans="1:10" x14ac:dyDescent="0.2">
      <c r="A962" t="s">
        <v>243</v>
      </c>
      <c r="B962" t="s">
        <v>244</v>
      </c>
      <c r="C962">
        <v>5613675</v>
      </c>
      <c r="D962" s="7">
        <f t="shared" si="36"/>
        <v>28068.375</v>
      </c>
      <c r="E962" s="2">
        <v>44199</v>
      </c>
      <c r="F962" s="2">
        <v>44469</v>
      </c>
      <c r="G962" s="23">
        <v>9.930555555555555E-2</v>
      </c>
      <c r="H962" t="s">
        <v>423</v>
      </c>
      <c r="I962" t="s">
        <v>468</v>
      </c>
      <c r="J962" t="str">
        <f t="shared" ref="J962:J994" si="37">IF(ISNUMBER(SEARCH("with",A962)),"Da","Nu")</f>
        <v>Nu</v>
      </c>
    </row>
    <row r="963" spans="1:10" x14ac:dyDescent="0.2">
      <c r="A963" t="s">
        <v>245</v>
      </c>
      <c r="B963" t="s">
        <v>246</v>
      </c>
      <c r="C963">
        <v>5573296</v>
      </c>
      <c r="D963" s="7">
        <f t="shared" si="36"/>
        <v>27866.480000000003</v>
      </c>
      <c r="E963" s="2">
        <f>VLOOKUP(A963,'2.09.2021'!A$3:'2.09.2021'!I$202,5,)</f>
        <v>44244</v>
      </c>
      <c r="F963" s="2">
        <v>44469</v>
      </c>
      <c r="G963" s="23">
        <f>VLOOKUP(A963,'2.09.2021'!A$3:'2.09.2021'!I$202,7,)</f>
        <v>0.12013888888888889</v>
      </c>
      <c r="H963" t="str">
        <f>VLOOKUP(A963,'2.09.2021'!A$3:'2.09.2021'!I$202,8,)</f>
        <v>LATIN URBAN</v>
      </c>
      <c r="I963" t="str">
        <f>VLOOKUP(A963,'2.09.2021'!A$3:'2.09.2021'!I$202,9,)</f>
        <v>Australia</v>
      </c>
      <c r="J963" t="str">
        <f t="shared" si="37"/>
        <v>Nu</v>
      </c>
    </row>
    <row r="964" spans="1:10" x14ac:dyDescent="0.2">
      <c r="A964" t="s">
        <v>247</v>
      </c>
      <c r="B964" t="s">
        <v>20</v>
      </c>
      <c r="C964">
        <v>5565289</v>
      </c>
      <c r="D964" s="7">
        <f t="shared" si="36"/>
        <v>27826.445</v>
      </c>
      <c r="E964" s="2">
        <v>44246</v>
      </c>
      <c r="F964" s="2">
        <v>44469</v>
      </c>
      <c r="G964" s="23">
        <v>0.13333333333333333</v>
      </c>
      <c r="H964" t="s">
        <v>423</v>
      </c>
      <c r="I964" t="s">
        <v>420</v>
      </c>
      <c r="J964" t="str">
        <f t="shared" si="37"/>
        <v>Nu</v>
      </c>
    </row>
    <row r="965" spans="1:10" x14ac:dyDescent="0.2">
      <c r="A965" t="s">
        <v>248</v>
      </c>
      <c r="B965" t="s">
        <v>211</v>
      </c>
      <c r="C965">
        <v>5562045</v>
      </c>
      <c r="D965" s="7">
        <f t="shared" si="36"/>
        <v>27810.224999999999</v>
      </c>
      <c r="E965" s="2">
        <f>VLOOKUP(A965,'2.09.2021'!A$3:'2.09.2021'!I$202,5,)</f>
        <v>44282</v>
      </c>
      <c r="F965" s="2">
        <v>44469</v>
      </c>
      <c r="G965" s="23">
        <f>VLOOKUP(A965,'2.09.2021'!A$3:'2.09.2021'!I$202,7,)</f>
        <v>9.7916666666666666E-2</v>
      </c>
      <c r="H965" t="str">
        <f>VLOOKUP(A965,'2.09.2021'!A$3:'2.09.2021'!I$202,8,)</f>
        <v>R&amp;B/SOUL</v>
      </c>
      <c r="I965" t="str">
        <f>VLOOKUP(A965,'2.09.2021'!A$3:'2.09.2021'!I$202,9,)</f>
        <v>SUA</v>
      </c>
      <c r="J965" t="str">
        <f t="shared" si="37"/>
        <v>Nu</v>
      </c>
    </row>
    <row r="966" spans="1:10" x14ac:dyDescent="0.2">
      <c r="A966" t="s">
        <v>451</v>
      </c>
      <c r="B966" t="s">
        <v>244</v>
      </c>
      <c r="C966">
        <v>5547220</v>
      </c>
      <c r="D966" s="7">
        <f t="shared" si="36"/>
        <v>27736.100000000002</v>
      </c>
      <c r="E966" s="2">
        <v>44199</v>
      </c>
      <c r="F966" s="2">
        <v>44469</v>
      </c>
      <c r="G966" s="23">
        <v>0.12430555555555556</v>
      </c>
      <c r="H966" t="s">
        <v>423</v>
      </c>
      <c r="I966" t="s">
        <v>468</v>
      </c>
      <c r="J966" t="str">
        <f t="shared" si="37"/>
        <v>Da</v>
      </c>
    </row>
    <row r="967" spans="1:10" x14ac:dyDescent="0.2">
      <c r="A967" t="s">
        <v>249</v>
      </c>
      <c r="B967" t="s">
        <v>250</v>
      </c>
      <c r="C967">
        <v>5503955</v>
      </c>
      <c r="D967" s="7">
        <f t="shared" si="36"/>
        <v>27519.775000000001</v>
      </c>
      <c r="E967" s="2">
        <f>VLOOKUP(A967,'2.09.2021'!A$3:'2.09.2021'!I$202,5,)</f>
        <v>44340</v>
      </c>
      <c r="F967" s="2">
        <v>44469</v>
      </c>
      <c r="G967" s="23">
        <f>VLOOKUP(A967,'2.09.2021'!A$3:'2.09.2021'!I$202,7,)</f>
        <v>0.23541666666666669</v>
      </c>
      <c r="H967" t="str">
        <f>VLOOKUP(A967,'2.09.2021'!A$3:'2.09.2021'!I$202,8,)</f>
        <v>LATIN URBAN</v>
      </c>
      <c r="I967" t="str">
        <f>VLOOKUP(A967,'2.09.2021'!A$3:'2.09.2021'!I$202,9,)</f>
        <v>Suedia</v>
      </c>
      <c r="J967" t="str">
        <f t="shared" si="37"/>
        <v>Da</v>
      </c>
    </row>
    <row r="968" spans="1:10" x14ac:dyDescent="0.2">
      <c r="A968" t="s">
        <v>452</v>
      </c>
      <c r="B968" t="s">
        <v>233</v>
      </c>
      <c r="C968">
        <v>5488247</v>
      </c>
      <c r="D968" s="7">
        <f t="shared" si="36"/>
        <v>27441.235000000001</v>
      </c>
      <c r="E968" s="2">
        <f>VLOOKUP(A968,'2.09.2021'!A$3:'2.09.2021'!I$202,5,)</f>
        <v>44341</v>
      </c>
      <c r="F968" s="2">
        <v>44469</v>
      </c>
      <c r="G968" s="23">
        <f>VLOOKUP(A968,'2.09.2021'!A$3:'2.09.2021'!I$202,7,)</f>
        <v>0.14097222222222222</v>
      </c>
      <c r="H968" t="str">
        <f>VLOOKUP(A968,'2.09.2021'!A$3:'2.09.2021'!I$202,8,)</f>
        <v>HIP-HOP/RAP</v>
      </c>
      <c r="I968" t="str">
        <f>VLOOKUP(A968,'2.09.2021'!A$3:'2.09.2021'!I$202,9,)</f>
        <v>SUA</v>
      </c>
      <c r="J968" t="str">
        <f t="shared" si="37"/>
        <v>Da</v>
      </c>
    </row>
    <row r="969" spans="1:10" x14ac:dyDescent="0.2">
      <c r="A969" t="s">
        <v>251</v>
      </c>
      <c r="B969" t="s">
        <v>229</v>
      </c>
      <c r="C969">
        <v>5443480</v>
      </c>
      <c r="D969" s="7">
        <f t="shared" si="36"/>
        <v>27217.399999999998</v>
      </c>
      <c r="E969" s="2">
        <f>VLOOKUP(A969,'2.09.2021'!A$3:'2.09.2021'!I$202,5,)</f>
        <v>44413</v>
      </c>
      <c r="F969" s="2">
        <v>44469</v>
      </c>
      <c r="G969" s="23">
        <f>VLOOKUP(A969,'2.09.2021'!A$3:'2.09.2021'!I$202,7,)</f>
        <v>0.12152777777777778</v>
      </c>
      <c r="H969" t="str">
        <f>VLOOKUP(A969,'2.09.2021'!A$3:'2.09.2021'!I$202,8,)</f>
        <v>HIP-HOP/RAP</v>
      </c>
      <c r="I969" t="str">
        <f>VLOOKUP(A969,'2.09.2021'!A$3:'2.09.2021'!I$202,9,)</f>
        <v>SUA</v>
      </c>
      <c r="J969" t="str">
        <f t="shared" si="37"/>
        <v>Nu</v>
      </c>
    </row>
    <row r="970" spans="1:10" x14ac:dyDescent="0.2">
      <c r="A970" t="s">
        <v>252</v>
      </c>
      <c r="B970" t="s">
        <v>154</v>
      </c>
      <c r="C970">
        <v>5426741</v>
      </c>
      <c r="D970" s="7">
        <f t="shared" si="36"/>
        <v>27133.705000000002</v>
      </c>
      <c r="E970" s="2">
        <f>VLOOKUP(A970,'2.09.2021'!A$3:'2.09.2021'!I$202,5,)</f>
        <v>44338</v>
      </c>
      <c r="F970" s="2">
        <v>44469</v>
      </c>
      <c r="G970" s="23">
        <f>VLOOKUP(A970,'2.09.2021'!A$3:'2.09.2021'!I$202,7,)</f>
        <v>0.10069444444444443</v>
      </c>
      <c r="H970" t="str">
        <f>VLOOKUP(A970,'2.09.2021'!A$3:'2.09.2021'!I$202,8,)</f>
        <v>R&amp;B/SOUL</v>
      </c>
      <c r="I970" t="str">
        <f>VLOOKUP(A970,'2.09.2021'!A$3:'2.09.2021'!I$202,9,)</f>
        <v>SUA</v>
      </c>
      <c r="J970" t="str">
        <f t="shared" si="37"/>
        <v>Nu</v>
      </c>
    </row>
    <row r="971" spans="1:10" x14ac:dyDescent="0.2">
      <c r="A971" t="s">
        <v>253</v>
      </c>
      <c r="B971" t="s">
        <v>34</v>
      </c>
      <c r="C971">
        <v>5404280</v>
      </c>
      <c r="D971" s="7">
        <f t="shared" si="36"/>
        <v>27021.399999999998</v>
      </c>
      <c r="E971" s="2">
        <f>VLOOKUP(A971,'2.09.2021'!A$3:'2.09.2021'!I$202,5,)</f>
        <v>44454</v>
      </c>
      <c r="F971" s="2">
        <v>44469</v>
      </c>
      <c r="G971" s="23">
        <f>VLOOKUP(A971,'2.09.2021'!A$3:'2.09.2021'!I$202,7,)</f>
        <v>0.17500000000000002</v>
      </c>
      <c r="H971" t="str">
        <f>VLOOKUP(A971,'2.09.2021'!A$3:'2.09.2021'!I$202,8,)</f>
        <v>DANCE</v>
      </c>
      <c r="I971" t="str">
        <f>VLOOKUP(A971,'2.09.2021'!A$3:'2.09.2021'!I$202,9,)</f>
        <v>Puerto Rico</v>
      </c>
      <c r="J971" t="str">
        <f t="shared" si="37"/>
        <v>Nu</v>
      </c>
    </row>
    <row r="972" spans="1:10" x14ac:dyDescent="0.2">
      <c r="A972" t="s">
        <v>254</v>
      </c>
      <c r="B972" t="s">
        <v>255</v>
      </c>
      <c r="C972">
        <v>5389083</v>
      </c>
      <c r="D972" s="7">
        <f t="shared" si="36"/>
        <v>26945.414999999997</v>
      </c>
      <c r="E972" s="2">
        <f>VLOOKUP(A972,'2.09.2021'!A$3:'2.09.2021'!I$202,5,)</f>
        <v>44339</v>
      </c>
      <c r="F972" s="2">
        <v>44469</v>
      </c>
      <c r="G972" s="23">
        <f>VLOOKUP(A972,'2.09.2021'!A$3:'2.09.2021'!I$202,7,)</f>
        <v>0.24861111111111112</v>
      </c>
      <c r="H972" t="str">
        <f>VLOOKUP(A972,'2.09.2021'!A$3:'2.09.2021'!I$202,8,)</f>
        <v>ROCK</v>
      </c>
      <c r="I972" t="str">
        <f>VLOOKUP(A972,'2.09.2021'!A$3:'2.09.2021'!I$202,9,)</f>
        <v>Țara Galilor</v>
      </c>
      <c r="J972" t="str">
        <f t="shared" si="37"/>
        <v>Nu</v>
      </c>
    </row>
    <row r="973" spans="1:10" x14ac:dyDescent="0.2">
      <c r="A973" t="s">
        <v>256</v>
      </c>
      <c r="B973" t="s">
        <v>257</v>
      </c>
      <c r="C973">
        <v>5388837</v>
      </c>
      <c r="D973" s="7">
        <f t="shared" si="36"/>
        <v>26944.185000000001</v>
      </c>
      <c r="E973" s="2">
        <f>VLOOKUP(A973,'2.09.2021'!A$3:'2.09.2021'!I$202,5,)</f>
        <v>44307</v>
      </c>
      <c r="F973" s="2">
        <v>44469</v>
      </c>
      <c r="G973" s="23">
        <f>VLOOKUP(A973,'2.09.2021'!A$3:'2.09.2021'!I$202,7,)</f>
        <v>0.14583333333333334</v>
      </c>
      <c r="H973" t="str">
        <f>VLOOKUP(A973,'2.09.2021'!A$3:'2.09.2021'!I$202,8,)</f>
        <v>R&amp;B/SOUL</v>
      </c>
      <c r="I973" t="str">
        <f>VLOOKUP(A973,'2.09.2021'!A$3:'2.09.2021'!I$202,9,)</f>
        <v>Brazilia</v>
      </c>
      <c r="J973" t="str">
        <f t="shared" si="37"/>
        <v>Nu</v>
      </c>
    </row>
    <row r="974" spans="1:10" x14ac:dyDescent="0.2">
      <c r="A974" t="s">
        <v>258</v>
      </c>
      <c r="B974" t="s">
        <v>23</v>
      </c>
      <c r="C974">
        <v>5383428</v>
      </c>
      <c r="D974" s="7">
        <f t="shared" si="36"/>
        <v>26917.14</v>
      </c>
      <c r="E974" s="2">
        <f>VLOOKUP(A974,'2.09.2021'!A$3:'2.09.2021'!I$202,5,)</f>
        <v>44245</v>
      </c>
      <c r="F974" s="2">
        <v>44469</v>
      </c>
      <c r="G974" s="23">
        <f>VLOOKUP(A974,'2.09.2021'!A$3:'2.09.2021'!I$202,7,)</f>
        <v>0.11388888888888889</v>
      </c>
      <c r="H974" t="str">
        <f>VLOOKUP(A974,'2.09.2021'!A$3:'2.09.2021'!I$202,8,)</f>
        <v>LATIN URBAN</v>
      </c>
      <c r="I974" t="str">
        <f>VLOOKUP(A974,'2.09.2021'!A$3:'2.09.2021'!I$202,9,)</f>
        <v>SUA</v>
      </c>
      <c r="J974" t="str">
        <f t="shared" si="37"/>
        <v>Nu</v>
      </c>
    </row>
    <row r="975" spans="1:10" x14ac:dyDescent="0.2">
      <c r="A975" t="s">
        <v>259</v>
      </c>
      <c r="B975" t="s">
        <v>260</v>
      </c>
      <c r="C975">
        <v>5381038</v>
      </c>
      <c r="D975" s="7">
        <f t="shared" si="36"/>
        <v>26905.19</v>
      </c>
      <c r="E975" s="2">
        <v>44397</v>
      </c>
      <c r="F975" s="2">
        <v>44469</v>
      </c>
      <c r="G975" s="23">
        <v>0.20555555555555557</v>
      </c>
      <c r="H975" t="s">
        <v>422</v>
      </c>
      <c r="I975" t="s">
        <v>468</v>
      </c>
      <c r="J975" t="str">
        <f t="shared" si="37"/>
        <v>Da</v>
      </c>
    </row>
    <row r="976" spans="1:10" x14ac:dyDescent="0.2">
      <c r="A976" t="s">
        <v>261</v>
      </c>
      <c r="B976" t="s">
        <v>262</v>
      </c>
      <c r="C976">
        <v>5380811</v>
      </c>
      <c r="D976" s="7">
        <f t="shared" si="36"/>
        <v>26904.055</v>
      </c>
      <c r="E976" s="2">
        <f>VLOOKUP(A976,'2.09.2021'!A$3:'2.09.2021'!I$202,5,)</f>
        <v>44259</v>
      </c>
      <c r="F976" s="2">
        <v>44469</v>
      </c>
      <c r="G976" s="23">
        <f>VLOOKUP(A976,'2.09.2021'!A$3:'2.09.2021'!I$202,7,)</f>
        <v>0.10833333333333334</v>
      </c>
      <c r="H976" t="str">
        <f>VLOOKUP(A976,'2.09.2021'!A$3:'2.09.2021'!I$202,8,)</f>
        <v>HIP-HOP/RAP</v>
      </c>
      <c r="I976" t="str">
        <f>VLOOKUP(A976,'2.09.2021'!A$3:'2.09.2021'!I$202,9,)</f>
        <v>Marea Britanie</v>
      </c>
      <c r="J976" t="str">
        <f t="shared" si="37"/>
        <v>Nu</v>
      </c>
    </row>
    <row r="977" spans="1:10" x14ac:dyDescent="0.2">
      <c r="A977" t="s">
        <v>263</v>
      </c>
      <c r="B977" t="s">
        <v>213</v>
      </c>
      <c r="C977">
        <v>5377017</v>
      </c>
      <c r="D977" s="7">
        <f t="shared" si="36"/>
        <v>26885.084999999999</v>
      </c>
      <c r="E977" s="2">
        <f>VLOOKUP(A977,'2.09.2021'!A$3:'2.09.2021'!I$202,5,)</f>
        <v>44256</v>
      </c>
      <c r="F977" s="2">
        <v>44469</v>
      </c>
      <c r="G977" s="23">
        <f>VLOOKUP(A977,'2.09.2021'!A$3:'2.09.2021'!I$202,7,)</f>
        <v>0.13749999999999998</v>
      </c>
      <c r="H977" t="str">
        <f>VLOOKUP(A977,'2.09.2021'!A$3:'2.09.2021'!I$202,8,)</f>
        <v>HIP-HOP/RAP</v>
      </c>
      <c r="I977" t="str">
        <f>VLOOKUP(A977,'2.09.2021'!A$3:'2.09.2021'!I$202,9,)</f>
        <v>Suedia</v>
      </c>
      <c r="J977" t="str">
        <f t="shared" si="37"/>
        <v>Nu</v>
      </c>
    </row>
    <row r="978" spans="1:10" x14ac:dyDescent="0.2">
      <c r="A978" t="s">
        <v>264</v>
      </c>
      <c r="B978" t="s">
        <v>265</v>
      </c>
      <c r="C978">
        <v>5355014</v>
      </c>
      <c r="D978" s="7">
        <f t="shared" si="36"/>
        <v>26775.07</v>
      </c>
      <c r="E978" s="2">
        <f>VLOOKUP(A978,'2.09.2021'!A$3:'2.09.2021'!I$202,5,)</f>
        <v>44414</v>
      </c>
      <c r="F978" s="2">
        <v>44469</v>
      </c>
      <c r="G978" s="23">
        <f>VLOOKUP(A978,'2.09.2021'!A$3:'2.09.2021'!I$202,7,)</f>
        <v>0.12013888888888889</v>
      </c>
      <c r="H978" t="str">
        <f>VLOOKUP(A978,'2.09.2021'!A$3:'2.09.2021'!I$202,8,)</f>
        <v>LATIN URBAN</v>
      </c>
      <c r="I978" t="str">
        <f>VLOOKUP(A978,'2.09.2021'!A$3:'2.09.2021'!I$202,9,)</f>
        <v>Australia</v>
      </c>
      <c r="J978" t="str">
        <f t="shared" si="37"/>
        <v>Nu</v>
      </c>
    </row>
    <row r="979" spans="1:10" x14ac:dyDescent="0.2">
      <c r="A979" t="s">
        <v>266</v>
      </c>
      <c r="B979" t="s">
        <v>267</v>
      </c>
      <c r="C979">
        <v>5336586</v>
      </c>
      <c r="D979" s="7">
        <f t="shared" si="36"/>
        <v>26682.93</v>
      </c>
      <c r="E979" s="2">
        <v>43498</v>
      </c>
      <c r="F979" s="2">
        <v>44469</v>
      </c>
      <c r="G979" s="23">
        <v>0.14097222222222222</v>
      </c>
      <c r="H979" t="s">
        <v>422</v>
      </c>
      <c r="I979" t="s">
        <v>469</v>
      </c>
      <c r="J979" t="str">
        <f t="shared" si="37"/>
        <v>Nu</v>
      </c>
    </row>
    <row r="980" spans="1:10" x14ac:dyDescent="0.2">
      <c r="A980" t="s">
        <v>268</v>
      </c>
      <c r="B980" t="s">
        <v>269</v>
      </c>
      <c r="C980">
        <v>5328742</v>
      </c>
      <c r="D980" s="7">
        <f t="shared" si="36"/>
        <v>26643.71</v>
      </c>
      <c r="E980" s="2">
        <f>VLOOKUP(A980,'2.09.2021'!A$3:'2.09.2021'!I$202,5,)</f>
        <v>44350</v>
      </c>
      <c r="F980" s="2">
        <v>44469</v>
      </c>
      <c r="G980" s="23">
        <f>VLOOKUP(A980,'2.09.2021'!A$3:'2.09.2021'!I$202,7,)</f>
        <v>0.14444444444444446</v>
      </c>
      <c r="H980" t="str">
        <f>VLOOKUP(A980,'2.09.2021'!A$3:'2.09.2021'!I$202,8,)</f>
        <v>HIP-HOP/RAP</v>
      </c>
      <c r="I980" t="str">
        <f>VLOOKUP(A980,'2.09.2021'!A$3:'2.09.2021'!I$202,9,)</f>
        <v>SUA</v>
      </c>
      <c r="J980" t="str">
        <f t="shared" si="37"/>
        <v>Nu</v>
      </c>
    </row>
    <row r="981" spans="1:10" x14ac:dyDescent="0.2">
      <c r="A981" t="s">
        <v>270</v>
      </c>
      <c r="B981" t="s">
        <v>271</v>
      </c>
      <c r="C981">
        <v>5292411</v>
      </c>
      <c r="D981" s="7">
        <f t="shared" si="36"/>
        <v>26462.055</v>
      </c>
      <c r="E981" s="2">
        <f>VLOOKUP(A981,'2.09.2021'!A$3:'2.09.2021'!I$202,5,)</f>
        <v>44309</v>
      </c>
      <c r="F981" s="2">
        <v>44469</v>
      </c>
      <c r="G981" s="23">
        <f>VLOOKUP(A981,'2.09.2021'!A$3:'2.09.2021'!I$202,7,)</f>
        <v>0.16805555555555554</v>
      </c>
      <c r="H981" t="str">
        <f>VLOOKUP(A981,'2.09.2021'!A$3:'2.09.2021'!I$202,8,)</f>
        <v>HIP-HOP/RAP</v>
      </c>
      <c r="I981" t="str">
        <f>VLOOKUP(A981,'2.09.2021'!A$3:'2.09.2021'!I$202,9,)</f>
        <v>SUA</v>
      </c>
      <c r="J981" t="str">
        <f t="shared" si="37"/>
        <v>Nu</v>
      </c>
    </row>
    <row r="982" spans="1:10" x14ac:dyDescent="0.2">
      <c r="A982" t="s">
        <v>272</v>
      </c>
      <c r="B982" t="s">
        <v>273</v>
      </c>
      <c r="C982">
        <v>5281989</v>
      </c>
      <c r="D982" s="7">
        <f t="shared" si="36"/>
        <v>26409.945</v>
      </c>
      <c r="E982" s="2">
        <f>VLOOKUP(A982,'2.09.2021'!A$3:'2.09.2021'!I$202,5,)</f>
        <v>44360</v>
      </c>
      <c r="F982" s="2">
        <v>44469</v>
      </c>
      <c r="G982" s="23">
        <f>VLOOKUP(A982,'2.09.2021'!A$3:'2.09.2021'!I$202,7,)</f>
        <v>0.15694444444444444</v>
      </c>
      <c r="H982" t="str">
        <f>VLOOKUP(A982,'2.09.2021'!A$3:'2.09.2021'!I$202,8,)</f>
        <v>POP</v>
      </c>
      <c r="I982" t="str">
        <f>VLOOKUP(A982,'2.09.2021'!A$3:'2.09.2021'!I$202,9,)</f>
        <v>India</v>
      </c>
      <c r="J982" t="str">
        <f t="shared" si="37"/>
        <v>Nu</v>
      </c>
    </row>
    <row r="983" spans="1:10" x14ac:dyDescent="0.2">
      <c r="A983" t="s">
        <v>453</v>
      </c>
      <c r="B983" t="s">
        <v>20</v>
      </c>
      <c r="C983">
        <v>5263075</v>
      </c>
      <c r="D983" s="7">
        <f t="shared" si="36"/>
        <v>26315.375</v>
      </c>
      <c r="E983" s="2">
        <f>VLOOKUP(A983,'2.09.2021'!A$3:'2.09.2021'!I$202,5,)</f>
        <v>44381</v>
      </c>
      <c r="F983" s="2">
        <v>44469</v>
      </c>
      <c r="G983" s="23">
        <f>VLOOKUP(A983,'2.09.2021'!A$3:'2.09.2021'!I$202,7,)</f>
        <v>0.14444444444444446</v>
      </c>
      <c r="H983" t="str">
        <f>VLOOKUP(A983,'2.09.2021'!A$3:'2.09.2021'!I$202,8,)</f>
        <v>HIP-HOP/RAP</v>
      </c>
      <c r="I983" t="str">
        <f>VLOOKUP(A983,'2.09.2021'!A$3:'2.09.2021'!I$202,9,)</f>
        <v>Canada</v>
      </c>
      <c r="J983" t="str">
        <f t="shared" si="37"/>
        <v>Da</v>
      </c>
    </row>
    <row r="984" spans="1:10" x14ac:dyDescent="0.2">
      <c r="A984" t="s">
        <v>274</v>
      </c>
      <c r="B984" t="s">
        <v>84</v>
      </c>
      <c r="C984">
        <v>5260914</v>
      </c>
      <c r="D984" s="7">
        <f t="shared" si="36"/>
        <v>26304.57</v>
      </c>
      <c r="E984" s="2">
        <v>44231</v>
      </c>
      <c r="F984" s="2">
        <v>44469</v>
      </c>
      <c r="G984" s="23">
        <v>0.12361111111111112</v>
      </c>
      <c r="H984" t="s">
        <v>422</v>
      </c>
      <c r="I984" t="s">
        <v>469</v>
      </c>
      <c r="J984" t="str">
        <f t="shared" si="37"/>
        <v>Nu</v>
      </c>
    </row>
    <row r="985" spans="1:10" x14ac:dyDescent="0.2">
      <c r="A985" t="s">
        <v>275</v>
      </c>
      <c r="B985" t="s">
        <v>276</v>
      </c>
      <c r="C985">
        <v>5252128</v>
      </c>
      <c r="D985" s="7">
        <f t="shared" si="36"/>
        <v>26260.639999999999</v>
      </c>
      <c r="E985" s="2">
        <f>VLOOKUP(A985,'2.09.2021'!A$3:'2.09.2021'!I$202,5,)</f>
        <v>44209</v>
      </c>
      <c r="F985" s="2">
        <v>44469</v>
      </c>
      <c r="G985" s="23">
        <f>VLOOKUP(A985,'2.09.2021'!A$3:'2.09.2021'!I$202,7,)</f>
        <v>0.15902777777777777</v>
      </c>
      <c r="H985" t="str">
        <f>VLOOKUP(A985,'2.09.2021'!A$3:'2.09.2021'!I$202,8,)</f>
        <v>LATIN</v>
      </c>
      <c r="I985" t="str">
        <f>VLOOKUP(A985,'2.09.2021'!A$3:'2.09.2021'!I$202,9,)</f>
        <v>Franța</v>
      </c>
      <c r="J985" t="str">
        <f t="shared" si="37"/>
        <v>Nu</v>
      </c>
    </row>
    <row r="986" spans="1:10" x14ac:dyDescent="0.2">
      <c r="A986" t="s">
        <v>277</v>
      </c>
      <c r="B986" t="s">
        <v>69</v>
      </c>
      <c r="C986">
        <v>5213828</v>
      </c>
      <c r="D986" s="7">
        <f t="shared" si="36"/>
        <v>26069.140000000003</v>
      </c>
      <c r="E986" s="2">
        <f>VLOOKUP(A986,'2.09.2021'!A$3:'2.09.2021'!I$202,5,)</f>
        <v>44248</v>
      </c>
      <c r="F986" s="2">
        <v>44469</v>
      </c>
      <c r="G986" s="23">
        <f>VLOOKUP(A986,'2.09.2021'!A$3:'2.09.2021'!I$202,7,)</f>
        <v>0.15972222222222224</v>
      </c>
      <c r="H986" t="str">
        <f>VLOOKUP(A986,'2.09.2021'!A$3:'2.09.2021'!I$202,8,)</f>
        <v>HIP-HOP/RAP</v>
      </c>
      <c r="I986" t="str">
        <f>VLOOKUP(A986,'2.09.2021'!A$3:'2.09.2021'!I$202,9,)</f>
        <v>Columbia</v>
      </c>
      <c r="J986" t="str">
        <f t="shared" si="37"/>
        <v>Nu</v>
      </c>
    </row>
    <row r="987" spans="1:10" x14ac:dyDescent="0.2">
      <c r="A987" t="s">
        <v>278</v>
      </c>
      <c r="B987" t="s">
        <v>34</v>
      </c>
      <c r="C987">
        <v>5202781</v>
      </c>
      <c r="D987" s="7">
        <f t="shared" si="36"/>
        <v>26013.904999999999</v>
      </c>
      <c r="E987" s="2">
        <v>44469</v>
      </c>
      <c r="F987" s="2">
        <v>44469</v>
      </c>
      <c r="G987" s="23">
        <v>9.7916666666666666E-2</v>
      </c>
      <c r="H987" t="s">
        <v>418</v>
      </c>
      <c r="I987" t="s">
        <v>474</v>
      </c>
      <c r="J987" t="str">
        <f t="shared" si="37"/>
        <v>Nu</v>
      </c>
    </row>
    <row r="988" spans="1:10" x14ac:dyDescent="0.2">
      <c r="A988" t="s">
        <v>454</v>
      </c>
      <c r="B988" t="s">
        <v>279</v>
      </c>
      <c r="C988">
        <v>5199617</v>
      </c>
      <c r="D988" s="7">
        <f t="shared" si="36"/>
        <v>25998.084999999999</v>
      </c>
      <c r="E988" s="2">
        <f>VLOOKUP(A988,'2.09.2021'!A$3:'2.09.2021'!I$202,5,)</f>
        <v>44383</v>
      </c>
      <c r="F988" s="2">
        <v>44469</v>
      </c>
      <c r="G988" s="23">
        <f>VLOOKUP(A988,'2.09.2021'!A$3:'2.09.2021'!I$202,7,)</f>
        <v>0.13958333333333334</v>
      </c>
      <c r="H988" t="str">
        <f>VLOOKUP(A988,'2.09.2021'!A$3:'2.09.2021'!I$202,8,)</f>
        <v>HIP-HOP/RAP</v>
      </c>
      <c r="I988" t="str">
        <f>VLOOKUP(A988,'2.09.2021'!A$3:'2.09.2021'!I$202,9,)</f>
        <v>Argentina</v>
      </c>
      <c r="J988" t="str">
        <f t="shared" si="37"/>
        <v>Da</v>
      </c>
    </row>
    <row r="989" spans="1:10" x14ac:dyDescent="0.2">
      <c r="A989" t="s">
        <v>280</v>
      </c>
      <c r="B989" t="s">
        <v>281</v>
      </c>
      <c r="C989">
        <v>5197568</v>
      </c>
      <c r="D989" s="7">
        <f t="shared" si="36"/>
        <v>25987.84</v>
      </c>
      <c r="E989" s="2">
        <v>44414</v>
      </c>
      <c r="F989" s="2">
        <v>44469</v>
      </c>
      <c r="G989" s="23">
        <v>0.10625</v>
      </c>
      <c r="H989" t="s">
        <v>423</v>
      </c>
      <c r="I989" t="s">
        <v>468</v>
      </c>
      <c r="J989" t="str">
        <f t="shared" si="37"/>
        <v>Nu</v>
      </c>
    </row>
    <row r="990" spans="1:10" x14ac:dyDescent="0.2">
      <c r="A990" t="s">
        <v>282</v>
      </c>
      <c r="B990" t="s">
        <v>283</v>
      </c>
      <c r="C990">
        <v>5191972</v>
      </c>
      <c r="D990" s="7">
        <f t="shared" si="36"/>
        <v>25959.86</v>
      </c>
      <c r="E990" s="2">
        <v>44478</v>
      </c>
      <c r="F990" s="2">
        <v>44469</v>
      </c>
      <c r="G990" s="23">
        <v>0.16388888888888889</v>
      </c>
      <c r="H990" t="s">
        <v>422</v>
      </c>
      <c r="I990" t="s">
        <v>468</v>
      </c>
      <c r="J990" t="str">
        <f t="shared" si="37"/>
        <v>Nu</v>
      </c>
    </row>
    <row r="991" spans="1:10" x14ac:dyDescent="0.2">
      <c r="A991" t="s">
        <v>284</v>
      </c>
      <c r="B991" t="s">
        <v>62</v>
      </c>
      <c r="C991">
        <v>5181671</v>
      </c>
      <c r="D991" s="7">
        <f t="shared" si="36"/>
        <v>25908.355000000003</v>
      </c>
      <c r="E991" s="2">
        <v>44306</v>
      </c>
      <c r="F991" s="2">
        <v>44469</v>
      </c>
      <c r="G991" s="23">
        <v>0.10416666666666667</v>
      </c>
      <c r="H991" t="s">
        <v>422</v>
      </c>
      <c r="I991" t="s">
        <v>468</v>
      </c>
      <c r="J991" t="str">
        <f t="shared" si="37"/>
        <v>Nu</v>
      </c>
    </row>
    <row r="992" spans="1:10" x14ac:dyDescent="0.2">
      <c r="A992" t="s">
        <v>285</v>
      </c>
      <c r="B992" t="s">
        <v>286</v>
      </c>
      <c r="C992">
        <v>5178174</v>
      </c>
      <c r="D992" s="7">
        <f t="shared" si="36"/>
        <v>25890.87</v>
      </c>
      <c r="E992" s="2">
        <f>VLOOKUP(A992,'2.09.2021'!A$3:'2.09.2021'!I$202,5,)</f>
        <v>44439</v>
      </c>
      <c r="F992" s="2">
        <v>44469</v>
      </c>
      <c r="G992" s="23">
        <f>VLOOKUP(A992,'2.09.2021'!A$3:'2.09.2021'!I$202,7,)</f>
        <v>9.5833333333333326E-2</v>
      </c>
      <c r="H992" t="str">
        <f>VLOOKUP(A992,'2.09.2021'!A$3:'2.09.2021'!I$202,8,)</f>
        <v>HIP-HOP/RAP</v>
      </c>
      <c r="I992" t="str">
        <f>VLOOKUP(A992,'2.09.2021'!A$3:'2.09.2021'!I$202,9,)</f>
        <v>Marea Britanie</v>
      </c>
      <c r="J992" t="str">
        <f t="shared" si="37"/>
        <v>Nu</v>
      </c>
    </row>
    <row r="993" spans="1:10" x14ac:dyDescent="0.2">
      <c r="A993" t="s">
        <v>287</v>
      </c>
      <c r="B993" t="s">
        <v>288</v>
      </c>
      <c r="C993">
        <v>5170773</v>
      </c>
      <c r="D993" s="7">
        <f t="shared" si="36"/>
        <v>25853.865000000002</v>
      </c>
      <c r="E993" s="2">
        <v>44280</v>
      </c>
      <c r="F993" s="2">
        <v>44469</v>
      </c>
      <c r="G993" s="23">
        <v>0.24930555555555556</v>
      </c>
      <c r="H993" t="s">
        <v>418</v>
      </c>
      <c r="I993" t="s">
        <v>478</v>
      </c>
      <c r="J993" t="str">
        <f t="shared" si="37"/>
        <v>Nu</v>
      </c>
    </row>
    <row r="994" spans="1:10" x14ac:dyDescent="0.2">
      <c r="A994" t="s">
        <v>289</v>
      </c>
      <c r="B994" t="s">
        <v>62</v>
      </c>
      <c r="C994">
        <v>5170252</v>
      </c>
      <c r="D994" s="7">
        <f t="shared" si="36"/>
        <v>25851.260000000002</v>
      </c>
      <c r="E994" s="2">
        <v>44400</v>
      </c>
      <c r="F994" s="2">
        <v>44469</v>
      </c>
      <c r="G994" s="23">
        <v>0.13958333333333334</v>
      </c>
      <c r="H994" t="s">
        <v>422</v>
      </c>
      <c r="I994" t="s">
        <v>468</v>
      </c>
      <c r="J994" t="str">
        <f t="shared" si="37"/>
        <v>Nu</v>
      </c>
    </row>
    <row r="995" spans="1:10" x14ac:dyDescent="0.2">
      <c r="A995" t="s">
        <v>290</v>
      </c>
      <c r="B995" t="s">
        <v>158</v>
      </c>
      <c r="C995">
        <v>5154356</v>
      </c>
      <c r="D995" s="7">
        <f t="shared" ref="D995:D1001" si="38">(C995/1000*5)</f>
        <v>25771.78</v>
      </c>
      <c r="E995" s="2">
        <f>VLOOKUP(A995,'2.09.2021'!A$3:'2.09.2021'!I$202,5,)</f>
        <v>44208</v>
      </c>
      <c r="F995" s="2">
        <v>44469</v>
      </c>
      <c r="G995" s="23">
        <f>VLOOKUP(A995,'2.09.2021'!A$3:'2.09.2021'!I$202,7,)</f>
        <v>0.16527777777777777</v>
      </c>
      <c r="H995" t="str">
        <f>VLOOKUP(A995,'2.09.2021'!A$3:'2.09.2021'!I$202,8,)</f>
        <v>ROCK</v>
      </c>
      <c r="I995" t="str">
        <f>VLOOKUP(A995,'2.09.2021'!A$3:'2.09.2021'!I$202,9,)</f>
        <v>SUA</v>
      </c>
      <c r="J995" t="str">
        <f t="shared" ref="J995:J1000" si="39">IF(ISNUMBER(SEARCH("with",A995)),"Da","Nu")</f>
        <v>Nu</v>
      </c>
    </row>
    <row r="996" spans="1:10" x14ac:dyDescent="0.2">
      <c r="A996" t="s">
        <v>291</v>
      </c>
      <c r="B996" t="s">
        <v>200</v>
      </c>
      <c r="C996">
        <v>5127066</v>
      </c>
      <c r="D996" s="7">
        <f t="shared" si="38"/>
        <v>25635.329999999998</v>
      </c>
      <c r="E996" s="2">
        <v>44439</v>
      </c>
      <c r="F996" s="2">
        <v>44469</v>
      </c>
      <c r="G996" s="23">
        <v>0.22430555555555556</v>
      </c>
      <c r="H996" t="s">
        <v>423</v>
      </c>
      <c r="I996" t="s">
        <v>468</v>
      </c>
      <c r="J996" t="str">
        <f t="shared" si="39"/>
        <v>Da</v>
      </c>
    </row>
    <row r="997" spans="1:10" x14ac:dyDescent="0.2">
      <c r="A997" t="s">
        <v>292</v>
      </c>
      <c r="B997" t="s">
        <v>43</v>
      </c>
      <c r="C997">
        <v>5123926</v>
      </c>
      <c r="D997" s="7">
        <f t="shared" si="38"/>
        <v>25619.63</v>
      </c>
      <c r="E997" s="2">
        <f>VLOOKUP(A997,'2.09.2021'!A$3:'2.09.2021'!I$202,5,)</f>
        <v>44242</v>
      </c>
      <c r="F997" s="2">
        <v>44469</v>
      </c>
      <c r="G997" s="23">
        <f>VLOOKUP(A997,'2.09.2021'!A$3:'2.09.2021'!I$202,7,)</f>
        <v>0.14652777777777778</v>
      </c>
      <c r="H997" t="str">
        <f>VLOOKUP(A997,'2.09.2021'!A$3:'2.09.2021'!I$202,8,)</f>
        <v>RHYTHM &amp; BLUES</v>
      </c>
      <c r="I997" t="str">
        <f>VLOOKUP(A997,'2.09.2021'!A$3:'2.09.2021'!I$202,9,)</f>
        <v>Canada</v>
      </c>
      <c r="J997" t="str">
        <f t="shared" si="39"/>
        <v>Nu</v>
      </c>
    </row>
    <row r="998" spans="1:10" x14ac:dyDescent="0.2">
      <c r="A998" t="s">
        <v>293</v>
      </c>
      <c r="B998" t="s">
        <v>294</v>
      </c>
      <c r="C998">
        <v>5061858</v>
      </c>
      <c r="D998" s="7">
        <f t="shared" si="38"/>
        <v>25309.29</v>
      </c>
      <c r="E998" s="2">
        <v>44347</v>
      </c>
      <c r="F998" s="2">
        <v>44469</v>
      </c>
      <c r="G998" s="23">
        <v>0.18124999999999999</v>
      </c>
      <c r="H998" t="s">
        <v>428</v>
      </c>
      <c r="I998" t="s">
        <v>468</v>
      </c>
      <c r="J998" t="str">
        <f t="shared" si="39"/>
        <v>Nu</v>
      </c>
    </row>
    <row r="999" spans="1:10" x14ac:dyDescent="0.2">
      <c r="A999" t="s">
        <v>295</v>
      </c>
      <c r="B999" t="s">
        <v>296</v>
      </c>
      <c r="C999">
        <v>5055761</v>
      </c>
      <c r="D999" s="7">
        <f t="shared" si="38"/>
        <v>25278.805</v>
      </c>
      <c r="E999" s="2">
        <f>VLOOKUP(A999,'2.09.2021'!A$3:'2.09.2021'!I$202,5,)</f>
        <v>44214</v>
      </c>
      <c r="F999" s="2">
        <v>44469</v>
      </c>
      <c r="G999" s="23">
        <f>VLOOKUP(A999,'2.09.2021'!A$3:'2.09.2021'!I$202,7,)</f>
        <v>0.11388888888888889</v>
      </c>
      <c r="H999" t="str">
        <f>VLOOKUP(A999,'2.09.2021'!A$3:'2.09.2021'!I$202,8,)</f>
        <v>HIP-HOP/RAP</v>
      </c>
      <c r="I999" t="str">
        <f>VLOOKUP(A999,'2.09.2021'!A$3:'2.09.2021'!I$202,9,)</f>
        <v>Germania</v>
      </c>
      <c r="J999" t="str">
        <f t="shared" si="39"/>
        <v>Nu</v>
      </c>
    </row>
    <row r="1000" spans="1:10" x14ac:dyDescent="0.2">
      <c r="A1000" t="s">
        <v>455</v>
      </c>
      <c r="B1000" t="s">
        <v>297</v>
      </c>
      <c r="C1000">
        <v>5048295</v>
      </c>
      <c r="D1000" s="7">
        <f t="shared" si="38"/>
        <v>25241.474999999999</v>
      </c>
      <c r="E1000" s="2">
        <f>VLOOKUP(A1000,'2.09.2021'!A$3:'2.09.2021'!I$202,5,)</f>
        <v>44371</v>
      </c>
      <c r="F1000" s="2">
        <v>44469</v>
      </c>
      <c r="G1000" s="23">
        <f>VLOOKUP(A1000,'2.09.2021'!A$3:'2.09.2021'!I$202,7,)</f>
        <v>0.14097222222222222</v>
      </c>
      <c r="H1000" t="str">
        <f>VLOOKUP(A1000,'2.09.2021'!A$3:'2.09.2021'!I$202,8,)</f>
        <v>HIP-HOP/RAP</v>
      </c>
      <c r="I1000" t="str">
        <f>VLOOKUP(A1000,'2.09.2021'!A$3:'2.09.2021'!I$202,9,)</f>
        <v>SUA</v>
      </c>
      <c r="J1000" t="str">
        <f t="shared" si="39"/>
        <v>Da</v>
      </c>
    </row>
    <row r="1001" spans="1:10" x14ac:dyDescent="0.2">
      <c r="A1001" t="s">
        <v>298</v>
      </c>
      <c r="B1001" t="s">
        <v>299</v>
      </c>
      <c r="C1001">
        <v>5024228</v>
      </c>
      <c r="D1001" s="7">
        <f t="shared" si="38"/>
        <v>25121.14</v>
      </c>
      <c r="E1001" s="2">
        <v>44375</v>
      </c>
      <c r="F1001" s="2">
        <v>44469</v>
      </c>
      <c r="G1001" s="23">
        <v>0.13958333333333334</v>
      </c>
      <c r="H1001" t="s">
        <v>418</v>
      </c>
      <c r="I1001" t="s">
        <v>472</v>
      </c>
      <c r="J1001" t="str">
        <f>IF(ISNUMBER(SEARCH("with",A1001)),"Da","Nu")</f>
        <v>Nu</v>
      </c>
    </row>
    <row r="1003" spans="1:10" x14ac:dyDescent="0.2">
      <c r="D1003" s="3">
        <f>AVERAGE(D2:D1001)</f>
        <v>50752.803889999908</v>
      </c>
    </row>
    <row r="1004" spans="1:10" x14ac:dyDescent="0.2">
      <c r="D1004" s="3">
        <f>SUM(D1:D1001)</f>
        <v>50752803.889999911</v>
      </c>
    </row>
  </sheetData>
  <conditionalFormatting sqref="J2">
    <cfRule type="containsText" dxfId="10" priority="11" operator="containsText" text="Da">
      <formula>NOT(ISERROR(SEARCH("Da",J2)))</formula>
    </cfRule>
  </conditionalFormatting>
  <conditionalFormatting sqref="J2:J201">
    <cfRule type="containsText" dxfId="9" priority="9" operator="containsText" text="Nu">
      <formula>NOT(ISERROR(SEARCH("Nu",J2)))</formula>
    </cfRule>
    <cfRule type="containsText" dxfId="8" priority="10" operator="containsText" text="Da">
      <formula>NOT(ISERROR(SEARCH("Da",J2)))</formula>
    </cfRule>
  </conditionalFormatting>
  <conditionalFormatting sqref="J202:J401">
    <cfRule type="containsText" dxfId="7" priority="7" operator="containsText" text="Da">
      <formula>NOT(ISERROR(SEARCH("Da",J202)))</formula>
    </cfRule>
    <cfRule type="containsText" dxfId="6" priority="8" operator="containsText" text="Nu">
      <formula>NOT(ISERROR(SEARCH("Nu",J202)))</formula>
    </cfRule>
  </conditionalFormatting>
  <conditionalFormatting sqref="J402:J601">
    <cfRule type="containsText" dxfId="5" priority="5" operator="containsText" text="Da">
      <formula>NOT(ISERROR(SEARCH("Da",J402)))</formula>
    </cfRule>
    <cfRule type="containsText" dxfId="4" priority="6" operator="containsText" text="Nu">
      <formula>NOT(ISERROR(SEARCH("Nu",J402)))</formula>
    </cfRule>
  </conditionalFormatting>
  <conditionalFormatting sqref="J602:J801">
    <cfRule type="containsText" dxfId="3" priority="3" operator="containsText" text="Da">
      <formula>NOT(ISERROR(SEARCH("Da",J602)))</formula>
    </cfRule>
    <cfRule type="containsText" dxfId="2" priority="4" operator="containsText" text="Nu">
      <formula>NOT(ISERROR(SEARCH("Nu",J602)))</formula>
    </cfRule>
  </conditionalFormatting>
  <conditionalFormatting sqref="J802:J1001">
    <cfRule type="containsText" dxfId="1" priority="1" operator="containsText" text="Da">
      <formula>NOT(ISERROR(SEARCH("Da",J802)))</formula>
    </cfRule>
    <cfRule type="containsText" dxfId="0" priority="2" operator="containsText" text="Nu">
      <formula>NOT(ISERROR(SEARCH("Nu",J802)))</formula>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12109-F997-3C4E-A3B9-7EB0E8592106}">
  <sheetPr>
    <tabColor theme="5" tint="0.59999389629810485"/>
  </sheetPr>
  <dimension ref="A1:M31"/>
  <sheetViews>
    <sheetView showGridLines="0" showRowColHeaders="0" tabSelected="1" zoomScale="92" workbookViewId="0">
      <selection activeCell="O16" sqref="O16"/>
    </sheetView>
  </sheetViews>
  <sheetFormatPr baseColWidth="10" defaultColWidth="11" defaultRowHeight="16" x14ac:dyDescent="0.2"/>
  <cols>
    <col min="1" max="1" width="16.83203125" bestFit="1" customWidth="1"/>
    <col min="2" max="2" width="22.33203125" bestFit="1" customWidth="1"/>
    <col min="3" max="3" width="24.33203125" bestFit="1" customWidth="1"/>
    <col min="4" max="4" width="27.1640625" bestFit="1" customWidth="1"/>
    <col min="5" max="5" width="29" bestFit="1" customWidth="1"/>
    <col min="6" max="6" width="22.33203125" bestFit="1" customWidth="1"/>
    <col min="7" max="7" width="13.83203125" bestFit="1" customWidth="1"/>
    <col min="8" max="8" width="34" bestFit="1" customWidth="1"/>
    <col min="9" max="9" width="28.33203125" bestFit="1" customWidth="1"/>
    <col min="10" max="10" width="16.5" bestFit="1" customWidth="1"/>
    <col min="11" max="11" width="34" bestFit="1" customWidth="1"/>
    <col min="12" max="12" width="10" bestFit="1" customWidth="1"/>
    <col min="13" max="13" width="13" bestFit="1" customWidth="1"/>
    <col min="14" max="14" width="34" bestFit="1" customWidth="1"/>
    <col min="15" max="15" width="9.1640625" bestFit="1" customWidth="1"/>
    <col min="16" max="16" width="9.5" bestFit="1" customWidth="1"/>
    <col min="17" max="17" width="18.1640625" bestFit="1" customWidth="1"/>
    <col min="18" max="18" width="14" bestFit="1" customWidth="1"/>
    <col min="19" max="19" width="9.1640625" bestFit="1" customWidth="1"/>
    <col min="20" max="20" width="10.1640625" bestFit="1" customWidth="1"/>
    <col min="21" max="21" width="18" bestFit="1" customWidth="1"/>
    <col min="22" max="22" width="11.33203125" bestFit="1" customWidth="1"/>
    <col min="23" max="23" width="9.1640625" bestFit="1" customWidth="1"/>
    <col min="24" max="25" width="10" bestFit="1" customWidth="1"/>
    <col min="26" max="26" width="9.6640625" bestFit="1" customWidth="1"/>
    <col min="27" max="27" width="14" bestFit="1" customWidth="1"/>
    <col min="28" max="28" width="13.1640625" bestFit="1" customWidth="1"/>
    <col min="29" max="29" width="10.83203125" bestFit="1" customWidth="1"/>
  </cols>
  <sheetData>
    <row r="1" spans="1:13" x14ac:dyDescent="0.2">
      <c r="A1" s="25" t="s">
        <v>465</v>
      </c>
      <c r="C1" s="25" t="s">
        <v>464</v>
      </c>
      <c r="E1" s="38" t="s">
        <v>506</v>
      </c>
      <c r="F1" s="38"/>
      <c r="G1" s="30"/>
      <c r="H1" s="29"/>
      <c r="I1" s="25" t="s">
        <v>421</v>
      </c>
      <c r="J1" s="25" t="s">
        <v>517</v>
      </c>
    </row>
    <row r="2" spans="1:13" x14ac:dyDescent="0.2">
      <c r="A2" s="26">
        <v>50752803.889999911</v>
      </c>
      <c r="B2" s="26"/>
      <c r="C2" s="28">
        <v>10150560778</v>
      </c>
      <c r="E2" t="s">
        <v>507</v>
      </c>
      <c r="F2" s="26">
        <f>AVERAGE('2.09.2021'!$D$3:$D$202)</f>
        <v>52013.156149999966</v>
      </c>
      <c r="G2" s="26"/>
      <c r="H2" s="25" t="s">
        <v>513</v>
      </c>
      <c r="I2">
        <f>COUNTIF(Dataset!J2:J1001,"Da")</f>
        <v>165</v>
      </c>
      <c r="J2" t="s">
        <v>515</v>
      </c>
      <c r="L2" s="39"/>
      <c r="M2" s="39"/>
    </row>
    <row r="3" spans="1:13" x14ac:dyDescent="0.2">
      <c r="E3" t="s">
        <v>508</v>
      </c>
      <c r="F3" s="26">
        <f>AVERAGE('9.09.2021'!$D$3:$D$202)</f>
        <v>49350.929150000011</v>
      </c>
      <c r="G3" s="26"/>
      <c r="H3" s="25" t="s">
        <v>514</v>
      </c>
      <c r="I3">
        <f>COUNTIF(Dataset!J2:J1001,"Nu")</f>
        <v>835</v>
      </c>
      <c r="J3" t="s">
        <v>516</v>
      </c>
      <c r="L3" s="40"/>
      <c r="M3" s="41"/>
    </row>
    <row r="4" spans="1:13" x14ac:dyDescent="0.2">
      <c r="E4" t="s">
        <v>509</v>
      </c>
      <c r="F4" s="26">
        <f>AVERAGE('16.09.2021'!$D$3:$D$202)</f>
        <v>48355.189924999962</v>
      </c>
      <c r="G4" s="26"/>
      <c r="L4" s="42"/>
      <c r="M4" s="41"/>
    </row>
    <row r="5" spans="1:13" x14ac:dyDescent="0.2">
      <c r="A5" s="27" t="s">
        <v>505</v>
      </c>
      <c r="E5" t="s">
        <v>510</v>
      </c>
      <c r="F5" s="26">
        <f>AVERAGE('23.09.2021'!$D$3:$D$202)</f>
        <v>56193.574849999968</v>
      </c>
      <c r="G5" s="26"/>
      <c r="H5" s="25"/>
      <c r="I5" s="25" t="s">
        <v>521</v>
      </c>
      <c r="J5" s="25" t="s">
        <v>522</v>
      </c>
      <c r="L5" s="40"/>
      <c r="M5" s="41"/>
    </row>
    <row r="6" spans="1:13" x14ac:dyDescent="0.2">
      <c r="A6" s="26">
        <v>50752.803889999908</v>
      </c>
      <c r="E6" t="s">
        <v>511</v>
      </c>
      <c r="F6" s="26">
        <f>AVERAGE('30.09.2021'!$D$3:$D$202)</f>
        <v>47851.169375000034</v>
      </c>
      <c r="G6" s="26"/>
      <c r="H6" s="25" t="s">
        <v>513</v>
      </c>
      <c r="I6" s="26">
        <f>SUMIF(Dataset!J2:J1001,"Da",Dataset!D2:D1001)</f>
        <v>10934650.924999999</v>
      </c>
      <c r="J6" s="26">
        <f>I6/165</f>
        <v>66270.611666666664</v>
      </c>
      <c r="L6" s="41"/>
      <c r="M6" s="41"/>
    </row>
    <row r="7" spans="1:13" x14ac:dyDescent="0.2">
      <c r="H7" s="25" t="s">
        <v>514</v>
      </c>
      <c r="I7" s="26">
        <f>SUMIF(Dataset!J2:J1001,"Nu",Dataset!D2:D1001)</f>
        <v>39818152.964999937</v>
      </c>
      <c r="J7" s="26">
        <f>I7/I3</f>
        <v>47686.410736526872</v>
      </c>
    </row>
    <row r="8" spans="1:13" x14ac:dyDescent="0.2">
      <c r="E8" s="25" t="s">
        <v>512</v>
      </c>
      <c r="F8" s="26">
        <f>AVERAGE(F2:F6)</f>
        <v>50752.803889999988</v>
      </c>
      <c r="G8" s="26"/>
      <c r="H8" s="25" t="s">
        <v>523</v>
      </c>
      <c r="J8" s="26">
        <f>J6-J7</f>
        <v>18584.200930139792</v>
      </c>
    </row>
    <row r="9" spans="1:13" x14ac:dyDescent="0.2">
      <c r="A9" s="2"/>
      <c r="H9" s="25" t="s">
        <v>517</v>
      </c>
      <c r="J9" s="37">
        <f>100%-J7/J6</f>
        <v>0.28042899352757034</v>
      </c>
    </row>
    <row r="10" spans="1:13" x14ac:dyDescent="0.2">
      <c r="A10" s="2"/>
    </row>
    <row r="11" spans="1:13" x14ac:dyDescent="0.2">
      <c r="A11" s="2"/>
    </row>
    <row r="12" spans="1:13" x14ac:dyDescent="0.2">
      <c r="A12" s="2"/>
    </row>
    <row r="13" spans="1:13" x14ac:dyDescent="0.2">
      <c r="A13" s="2"/>
    </row>
    <row r="14" spans="1:13" x14ac:dyDescent="0.2">
      <c r="A14" s="34"/>
      <c r="B14" s="27" t="s">
        <v>504</v>
      </c>
      <c r="C14" s="27"/>
      <c r="D14" s="27"/>
      <c r="E14" s="27"/>
      <c r="G14" s="34" t="s">
        <v>462</v>
      </c>
      <c r="H14" s="36" t="s">
        <v>524</v>
      </c>
      <c r="J14" s="34" t="s">
        <v>462</v>
      </c>
      <c r="K14" s="36" t="s">
        <v>465</v>
      </c>
    </row>
    <row r="15" spans="1:13" x14ac:dyDescent="0.2">
      <c r="A15" s="34"/>
      <c r="B15" s="27" t="s">
        <v>468</v>
      </c>
      <c r="C15" s="27"/>
      <c r="D15" s="27" t="s">
        <v>518</v>
      </c>
      <c r="E15" s="27" t="s">
        <v>519</v>
      </c>
      <c r="G15" s="31" t="s">
        <v>271</v>
      </c>
      <c r="H15" s="26">
        <v>4</v>
      </c>
      <c r="J15" s="31" t="s">
        <v>271</v>
      </c>
      <c r="K15" s="26">
        <v>107568.59</v>
      </c>
    </row>
    <row r="16" spans="1:13" x14ac:dyDescent="0.2">
      <c r="A16" s="34" t="s">
        <v>462</v>
      </c>
      <c r="B16" s="27" t="s">
        <v>464</v>
      </c>
      <c r="C16" s="27" t="s">
        <v>520</v>
      </c>
      <c r="D16" s="27"/>
      <c r="E16" s="27"/>
      <c r="G16" s="32" t="s">
        <v>423</v>
      </c>
      <c r="H16" s="26">
        <v>4</v>
      </c>
      <c r="J16" s="32">
        <v>44441</v>
      </c>
      <c r="K16" s="26">
        <v>27040.400000000001</v>
      </c>
    </row>
    <row r="17" spans="1:11" x14ac:dyDescent="0.2">
      <c r="A17" s="33" t="s">
        <v>271</v>
      </c>
      <c r="B17" s="28">
        <v>21513718</v>
      </c>
      <c r="C17" s="28">
        <v>4</v>
      </c>
      <c r="D17" s="28">
        <v>21513718</v>
      </c>
      <c r="E17" s="28">
        <v>4</v>
      </c>
      <c r="G17" s="35" t="s">
        <v>463</v>
      </c>
      <c r="H17" s="36">
        <v>4</v>
      </c>
      <c r="J17" s="32">
        <v>44448</v>
      </c>
      <c r="K17" s="26">
        <v>27374.595000000001</v>
      </c>
    </row>
    <row r="18" spans="1:11" x14ac:dyDescent="0.2">
      <c r="A18" s="32" t="s">
        <v>270</v>
      </c>
      <c r="B18" s="9">
        <v>21513718</v>
      </c>
      <c r="C18" s="9">
        <v>4</v>
      </c>
      <c r="D18" s="9">
        <v>21513718</v>
      </c>
      <c r="E18" s="9">
        <v>4</v>
      </c>
      <c r="J18" s="32">
        <v>44455</v>
      </c>
      <c r="K18" s="26">
        <v>26691.54</v>
      </c>
    </row>
    <row r="19" spans="1:11" x14ac:dyDescent="0.2">
      <c r="A19" s="35" t="s">
        <v>463</v>
      </c>
      <c r="B19" s="27">
        <v>21513718</v>
      </c>
      <c r="C19" s="27">
        <v>4</v>
      </c>
      <c r="D19" s="27">
        <v>21513718</v>
      </c>
      <c r="E19" s="27">
        <v>4</v>
      </c>
      <c r="J19" s="32">
        <v>44469</v>
      </c>
      <c r="K19" s="26">
        <v>26462.055</v>
      </c>
    </row>
    <row r="20" spans="1:11" x14ac:dyDescent="0.2">
      <c r="J20" s="35" t="s">
        <v>463</v>
      </c>
      <c r="K20" s="36">
        <v>107568.59</v>
      </c>
    </row>
    <row r="27" spans="1:11" x14ac:dyDescent="0.2">
      <c r="G27" s="34" t="s">
        <v>462</v>
      </c>
      <c r="H27" s="36" t="s">
        <v>465</v>
      </c>
      <c r="J27" s="25" t="s">
        <v>525</v>
      </c>
      <c r="K27" s="36">
        <f>GETPIVOTDATA("Venituri (nr vizulizari/1000*5)",$A$5)</f>
        <v>50752.803889999908</v>
      </c>
    </row>
    <row r="28" spans="1:11" x14ac:dyDescent="0.2">
      <c r="G28" s="31" t="s">
        <v>271</v>
      </c>
      <c r="H28" s="26">
        <v>107568.59</v>
      </c>
      <c r="J28" t="str">
        <f>IF(H28-K27&lt;0,"Artistul nu a depășit media veniturilor, înregistrând următorul procent din venitul mediu ", "Artistul a depășit media veniturilor artiștilor de top din ultimele 5 săptămâni cu ")</f>
        <v xml:space="preserve">Artistul a depășit media veniturilor artiștilor de top din ultimele 5 săptămâni cu </v>
      </c>
    </row>
    <row r="29" spans="1:11" x14ac:dyDescent="0.2">
      <c r="G29" s="35" t="s">
        <v>463</v>
      </c>
      <c r="H29" s="36">
        <v>107568.59</v>
      </c>
    </row>
    <row r="31" spans="1:11" x14ac:dyDescent="0.2">
      <c r="J31" s="37">
        <f>H28/K27</f>
        <v>2.1194610298406547</v>
      </c>
    </row>
  </sheetData>
  <mergeCells count="1">
    <mergeCell ref="E1:F1"/>
  </mergeCells>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58D0C-9CD6-6649-B628-4F18B440C452}">
  <sheetPr>
    <tabColor rgb="FF7030A0"/>
  </sheetPr>
  <dimension ref="A1"/>
  <sheetViews>
    <sheetView showGridLines="0" showRowColHeaders="0" zoomScale="80" zoomScaleNormal="130" workbookViewId="0">
      <selection activeCell="X30" sqref="X30"/>
    </sheetView>
  </sheetViews>
  <sheetFormatPr baseColWidth="10" defaultColWidth="10.83203125" defaultRowHeight="16" x14ac:dyDescent="0.2"/>
  <cols>
    <col min="1" max="16384" width="10.83203125" style="24"/>
  </cols>
  <sheetData/>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2.09.2021</vt:lpstr>
      <vt:lpstr>9.09.2021</vt:lpstr>
      <vt:lpstr>16.09.2021</vt:lpstr>
      <vt:lpstr>23.09.2021</vt:lpstr>
      <vt:lpstr>30.09.2021</vt:lpstr>
      <vt:lpstr>Dataset</vt:lpstr>
      <vt:lpstr>Pivotables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2021-10-08T17:37:13Z</dcterms:created>
  <dcterms:modified xsi:type="dcterms:W3CDTF">2021-11-07T17:17:02Z</dcterms:modified>
</cp:coreProperties>
</file>